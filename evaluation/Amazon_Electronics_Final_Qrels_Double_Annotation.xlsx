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18d3008bf54af1" /></Relationships>
</file>

<file path=xl/workbook.xml><?xml version="1.0" encoding="utf-8"?>
<x:workbook xmlns:x="http://schemas.openxmlformats.org/spreadsheetml/2006/main">
  <x:sheets>
    <x:sheet xmlns:r="http://schemas.openxmlformats.org/officeDocument/2006/relationships" name="Overview" sheetId="1" r:id="Rb909b71326144634"/>
    <x:sheet xmlns:r="http://schemas.openxmlformats.org/officeDocument/2006/relationships" name="Annotations" sheetId="2" r:id="R3e95d7d2f09d4ccd"/>
    <x:sheet xmlns:r="http://schemas.openxmlformats.org/officeDocument/2006/relationships" name="Queries" sheetId="3" r:id="R42ff5b3ef4e8411b"/>
    <x:sheet xmlns:r="http://schemas.openxmlformats.org/officeDocument/2006/relationships" name="Provenance" sheetId="4" r:id="R27bb644e15254d6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000000"/>
  </x:numFmts>
  <x:fonts count="6">
    <x:font>
      <x:sz val="11"/>
      <x:name val="Carlito"/>
    </x:font>
    <x:font>
      <x:b/>
      <x:sz val="16"/>
      <x:color rgb="FF17365D"/>
      <x:name val="Arial"/>
    </x:font>
    <x:font>
      <x:i/>
      <x:sz val="10"/>
      <x:color rgb="FF595959"/>
      <x:name val="Arial"/>
    </x:font>
    <x:font>
      <x:b/>
      <x:sz val="10"/>
      <x:color rgb="FFFFFFFF"/>
      <x:name val="Arial"/>
    </x:font>
    <x:font>
      <x:sz val="10"/>
      <x:color rgb="FF1F2937"/>
      <x:name val="Arial"/>
    </x:font>
    <x:font>
      <x:b/>
      <x:sz val="10"/>
      <x:color rgb="FF1F2937"/>
      <x:name val="Arial"/>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2F2F2"/>
      </x:patternFill>
    </x:fill>
    <x:fill>
      <x:patternFill patternType="solid">
        <x:fgColor rgb="FF0F6B78"/>
      </x:patternFill>
    </x:fill>
    <x:fill>
      <x:patternFill patternType="solid">
        <x:fgColor rgb="FF548235"/>
      </x:patternFill>
    </x:fill>
    <x:fill>
      <x:patternFill patternType="solid">
        <x:fgColor rgb="FF7030A0"/>
      </x:patternFill>
    </x:fill>
    <x:fill>
      <x:patternFill patternType="solid">
        <x:fgColor rgb="FF595959"/>
      </x:patternFill>
    </x:fill>
    <x:fill>
      <x:patternFill patternType="solid">
        <x:fgColor rgb="FFDDEBF7"/>
      </x:patternFill>
    </x:fill>
    <x:fill>
      <x:patternFill patternType="solid">
        <x:fgColor rgb="FFE2F0D9"/>
      </x:patternFill>
    </x:fill>
    <x:fill>
      <x:patternFill patternType="solid">
        <x:fgColor rgb="FFE4DFEC"/>
      </x:patternFill>
    </x:fill>
  </x:fills>
  <x:borders count="6">
    <x:border>
      <x:left/>
      <x:right/>
      <x:top/>
      <x:bottom/>
      <x:diagonal/>
    </x:border>
    <x:border>
      <x:left/>
      <x:right style="thin">
        <x:color rgb="FFFFFFFF"/>
      </x:right>
      <x:top/>
      <x:bottom style="thin">
        <x:color rgb="FFFFFFFF"/>
      </x:bottom>
      <x:diagonal/>
    </x:border>
    <x:border>
      <x:left style="thin">
        <x:color rgb="FFFFFFFF"/>
      </x:left>
      <x:right/>
      <x:top/>
      <x:bottom style="thin">
        <x:color rgb="FFFFFFFF"/>
      </x:bottom>
      <x:diagonal/>
    </x:border>
    <x:border>
      <x:left/>
      <x:right/>
      <x:top/>
      <x:bottom style="thin">
        <x:color rgb="FFD9E2F3"/>
      </x:bottom>
      <x:diagonal/>
    </x:border>
    <x:border>
      <x:left/>
      <x:right/>
      <x:top style="thin">
        <x:color rgb="FFD9E2F3"/>
      </x:top>
      <x:bottom style="thin">
        <x:color rgb="FFD9E2F3"/>
      </x:bottom>
      <x:diagonal/>
    </x:border>
    <x:border>
      <x:left style="thin">
        <x:color rgb="FFFFFFFF"/>
      </x:left>
      <x:right style="thin">
        <x:color rgb="FFFFFFFF"/>
      </x:right>
      <x:top/>
      <x:bottom style="thin">
        <x:color rgb="FFFFFFFF"/>
      </x:bottom>
      <x:diagonal/>
    </x:border>
  </x:borders>
  <x:cellStyleXfs count="1">
    <x:xf numFmtId="0" fontId="0" fillId="0" borderId="0"/>
  </x:cellStyleXfs>
  <x:cellXfs count="10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0" fillId="0" borderId="3" xfId="0" applyNumberFormat="1" applyFont="1" applyFill="1" applyBorder="1"/>
    <x:xf numFmtId="0" fontId="0" fillId="0" borderId="4"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x:xf>
    <x:xf numFmtId="0" fontId="4" fillId="3" borderId="3" xfId="0" applyNumberFormat="1" applyFont="1" applyFill="1" applyBorder="1" applyAlignment="1">
      <x:alignment vertical="top"/>
    </x:xf>
    <x:xf numFmtId="0" fontId="4" fillId="3" borderId="4" xfId="0" applyNumberFormat="1" applyFont="1" applyFill="1" applyBorder="1" applyAlignment="1">
      <x:alignment vertical="top"/>
    </x:xf>
    <x:xf numFmtId="0" fontId="5" fillId="3" borderId="3" xfId="0" applyNumberFormat="1" applyFont="1" applyFill="1" applyBorder="1" applyAlignment="1">
      <x:alignment vertical="top"/>
    </x:xf>
    <x:xf numFmtId="0" fontId="5" fillId="3" borderId="4" xfId="0" applyNumberFormat="1" applyFont="1" applyFill="1" applyBorder="1" applyAlignment="1">
      <x:alignment vertical="top"/>
    </x:xf>
    <x:xf numFmtId="200" fontId="4" fillId="0" borderId="4" xfId="0" applyNumberFormat="1" applyFont="1" applyFill="1" applyBorder="1" applyAlignment="1">
      <x:alignment vertical="top"/>
    </x:xf>
    <x:xf numFmtId="0" fontId="3" fillId="2" borderId="5" xfId="0" applyNumberFormat="1" applyFont="1" applyFill="1" applyBorder="1"/>
    <x:xf numFmtId="0" fontId="3" fillId="2" borderId="5" xfId="0" applyNumberFormat="1" applyFont="1" applyFill="1" applyBorder="1" applyAlignment="1">
      <x:alignment wrapText="1"/>
    </x:xf>
    <x:xf numFmtId="0" fontId="3" fillId="2" borderId="5" xfId="0" applyNumberFormat="1" applyFont="1" applyFill="1" applyBorder="1" applyAlignment="1">
      <x:alignment horizontal="center" wrapText="1"/>
    </x:xf>
    <x:xf numFmtId="0" fontId="3" fillId="2" borderId="5"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3" xfId="0" applyNumberFormat="1" applyFont="1" applyFill="1" applyBorder="1" applyAlignment="1">
      <x:alignment wrapText="1"/>
    </x:xf>
    <x:xf numFmtId="0" fontId="4" fillId="4" borderId="4" xfId="0" applyNumberFormat="1" applyFont="1" applyFill="1" applyBorder="1" applyAlignment="1">
      <x:alignment wrapText="1"/>
    </x:xf>
    <x:xf numFmtId="0" fontId="4" fillId="4" borderId="3" xfId="0" applyNumberFormat="1" applyFont="1" applyFill="1" applyBorder="1" applyAlignment="1">
      <x:alignment vertical="center" wrapText="1"/>
    </x:xf>
    <x:xf numFmtId="0" fontId="4" fillId="4" borderId="4"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5" xfId="0" applyNumberFormat="1" applyFont="1" applyFill="1" applyBorder="1"/>
    <x:xf numFmtId="0" fontId="3" fillId="5" borderId="2" xfId="0" applyNumberFormat="1" applyFont="1" applyFill="1" applyBorder="1"/>
    <x:xf numFmtId="0" fontId="3" fillId="5" borderId="1" xfId="0" applyNumberFormat="1" applyFont="1" applyFill="1" applyBorder="1" applyAlignment="1">
      <x:alignment wrapText="1"/>
    </x:xf>
    <x:xf numFmtId="0" fontId="3" fillId="5" borderId="5"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5"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5" borderId="5"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5" xfId="0" applyNumberFormat="1" applyFont="1" applyFill="1" applyBorder="1"/>
    <x:xf numFmtId="0" fontId="3" fillId="6" borderId="2" xfId="0" applyNumberFormat="1" applyFont="1" applyFill="1" applyBorder="1"/>
    <x:xf numFmtId="0" fontId="3" fillId="6" borderId="1" xfId="0" applyNumberFormat="1" applyFont="1" applyFill="1" applyBorder="1" applyAlignment="1">
      <x:alignment wrapText="1"/>
    </x:xf>
    <x:xf numFmtId="0" fontId="3" fillId="6" borderId="5" xfId="0" applyNumberFormat="1" applyFont="1" applyFill="1" applyBorder="1" applyAlignment="1">
      <x:alignment wrapText="1"/>
    </x:xf>
    <x:xf numFmtId="0" fontId="3" fillId="6" borderId="2"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5" xfId="0" applyNumberFormat="1" applyFont="1" applyFill="1" applyBorder="1" applyAlignment="1">
      <x:alignment horizontal="center" wrapText="1"/>
    </x:xf>
    <x:xf numFmtId="0" fontId="3" fillId="6" borderId="2"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3" fillId="6" borderId="5"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5" xfId="0" applyNumberFormat="1" applyFont="1" applyFill="1" applyBorder="1"/>
    <x:xf numFmtId="0" fontId="3" fillId="7" borderId="2" xfId="0" applyNumberFormat="1" applyFont="1" applyFill="1" applyBorder="1"/>
    <x:xf numFmtId="0" fontId="3" fillId="7" borderId="1" xfId="0" applyNumberFormat="1" applyFont="1" applyFill="1" applyBorder="1" applyAlignment="1">
      <x:alignment wrapText="1"/>
    </x:xf>
    <x:xf numFmtId="0" fontId="3" fillId="7" borderId="5" xfId="0" applyNumberFormat="1" applyFont="1" applyFill="1" applyBorder="1" applyAlignment="1">
      <x:alignment wrapText="1"/>
    </x:xf>
    <x:xf numFmtId="0" fontId="3" fillId="7" borderId="2"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5" xfId="0" applyNumberFormat="1" applyFont="1" applyFill="1" applyBorder="1" applyAlignment="1">
      <x:alignment horizontal="center" wrapText="1"/>
    </x:xf>
    <x:xf numFmtId="0" fontId="3" fillId="7" borderId="2"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3" fillId="7" borderId="5" xfId="0" applyNumberFormat="1" applyFont="1" applyFill="1" applyBorder="1" applyAlignment="1">
      <x:alignment horizontal="center" vertical="center" wrapText="1"/>
    </x:xf>
    <x:xf numFmtId="0" fontId="3" fillId="7" borderId="2"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2" xfId="0" applyNumberFormat="1" applyFont="1" applyFill="1" applyBorder="1"/>
    <x:xf numFmtId="0" fontId="3" fillId="8" borderId="1" xfId="0" applyNumberFormat="1" applyFont="1" applyFill="1" applyBorder="1" applyAlignment="1">
      <x:alignment wrapText="1"/>
    </x:xf>
    <x:xf numFmtId="0" fontId="3" fillId="8" borderId="2"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2"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9" borderId="0" xfId="0" applyNumberFormat="1" applyFont="1" applyFill="1" applyBorder="1" applyAlignment="1">
      <x:alignment vertical="top"/>
    </x:xf>
    <x:xf numFmtId="0" fontId="4" fillId="9" borderId="0" xfId="0" applyNumberFormat="1" applyFont="1" applyFill="1" applyBorder="1" applyAlignment="1">
      <x:alignment vertical="top" wrapText="1"/>
    </x:xf>
    <x:xf numFmtId="0" fontId="4" fillId="10" borderId="0" xfId="0" applyNumberFormat="1" applyFont="1" applyFill="1" applyBorder="1" applyAlignment="1">
      <x:alignment vertical="top"/>
    </x:xf>
    <x:xf numFmtId="0" fontId="4" fillId="10" borderId="0" xfId="0" applyNumberFormat="1" applyFont="1" applyFill="1" applyBorder="1" applyAlignment="1">
      <x:alignment vertical="top" wrapText="1"/>
    </x:xf>
    <x:xf numFmtId="0" fontId="4" fillId="11" borderId="0" xfId="0" applyNumberFormat="1" applyFont="1" applyFill="1" applyBorder="1" applyAlignment="1">
      <x:alignment vertical="top"/>
    </x:xf>
    <x:xf numFmtId="0" fontId="4" fillId="11" borderId="0" xfId="0" applyNumberFormat="1" applyFont="1" applyFill="1" applyBorder="1" applyAlignment="1">
      <x:alignment vertical="top" wrapText="1"/>
    </x:xf>
    <x:xf numFmtId="0" fontId="4" fillId="4" borderId="0" xfId="0" applyNumberFormat="1" applyFont="1" applyFill="1" applyBorder="1" applyAlignment="1">
      <x:alignment vertical="top"/>
    </x:xf>
    <x:xf numFmtId="201" fontId="4" fillId="0" borderId="0" xfId="0" applyNumberFormat="1" applyFont="1" applyFill="1" applyBorder="1" applyAlignment="1">
      <x:alignment vertical="top"/>
    </x:xf>
    <x:xf numFmtId="202" fontId="4" fillId="0" borderId="0" xfId="0" applyNumberFormat="1" applyFont="1" applyFill="1" applyBorder="1" applyAlignment="1">
      <x:alignment vertical="top"/>
    </x:xf>
    <x:xf numFmtId="201" fontId="4" fillId="9" borderId="0" xfId="0" applyNumberFormat="1" applyFont="1" applyFill="1" applyBorder="1" applyAlignment="1">
      <x:alignment vertical="top"/>
    </x:xf>
  </x:cellXfs>
  <x:cellStyles count="1">
    <x:cellStyle name="Normal" xfId="0"/>
  </x:cellStyles>
  <x:dxfs count="12">
    <x:dxf>
      <x:font>
        <x:b/>
        <x:color rgb="FF375623"/>
      </x:font>
      <x:fill>
        <x:patternFill>
          <x:bgColor rgb="FFE2F0D9"/>
        </x:patternFill>
      </x:fill>
    </x:dxf>
    <x:dxf>
      <x:font>
        <x:b/>
        <x:color rgb="FF7F6000"/>
      </x:font>
      <x:fill>
        <x:patternFill>
          <x:bgColor rgb="FFFFF2CC"/>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7e345d07fb42bf" /><Relationship Type="http://schemas.openxmlformats.org/officeDocument/2006/relationships/theme" Target="/xl/theme/theme1.xml" Id="R97da8993659d4080" /><Relationship Type="http://schemas.openxmlformats.org/officeDocument/2006/relationships/sharedStrings" Target="/xl/sharedStrings.xml" Id="R6d4fccf7583e4f71" /><Relationship Type="http://schemas.openxmlformats.org/officeDocument/2006/relationships/worksheet" Target="/xl/worksheets/sheet1.xml" Id="Rb909b71326144634" /><Relationship Type="http://schemas.openxmlformats.org/officeDocument/2006/relationships/worksheet" Target="/xl/worksheets/sheet2.xml" Id="R3e95d7d2f09d4ccd" /><Relationship Type="http://schemas.openxmlformats.org/officeDocument/2006/relationships/worksheet" Target="/xl/worksheets/sheet3.xml" Id="R42ff5b3ef4e8411b" /><Relationship Type="http://schemas.openxmlformats.org/officeDocument/2006/relationships/worksheet" Target="/xl/worksheets/sheet4.xml" Id="R27bb644e15254d67" /></Relationships>
</file>

<file path=xl/tables/table1.xml><?xml version="1.0" encoding="utf-8"?>
<x:table xmlns:x="http://schemas.openxmlformats.org/spreadsheetml/2006/main" id="1" name="OverviewQueryTable" displayName="OverviewQueryTable" ref="A18:D38" headerRowCount="1" totalsRowCount="0" totalsRowShown="0">
  <x:tableColumns count="4">
    <x:tableColumn id="1" name="Query"/>
    <x:tableColumn id="2" name="Candidates"/>
    <x:tableColumn id="3" name="BM25-dense overlap"/>
    <x:tableColumn id="4" name="Difficulty"/>
  </x:tableColumns>
  <x:tableStyleInfo name="TableStyleMedium2" showFirstColumn="0" showLastColumn="0" showRowStripes="1" showColumnStripes="0"/>
</x:table>
</file>

<file path=xl/tables/table2.xml><?xml version="1.0" encoding="utf-8"?>
<x:table xmlns:x="http://schemas.openxmlformats.org/spreadsheetml/2006/main" id="2" name="FinalAnnotationsTable" displayName="FinalAnnotationsTable" ref="A1:V792" headerRowCount="1" totalsRowCount="0" totalsRowShown="0">
  <x:tableColumns count="22">
    <x:tableColumn id="1" name="annotation_id"/>
    <x:tableColumn id="2" name="query_id"/>
    <x:tableColumn id="3" name="query"/>
    <x:tableColumn id="4" name="display_order"/>
    <x:tableColumn id="5" name="parent_asin"/>
    <x:tableColumn id="6" name="chunk_type"/>
    <x:tableColumn id="7" name="aspect"/>
    <x:tableColumn id="8" name="category"/>
    <x:tableColumn id="9" name="candidate_text"/>
    <x:tableColumn id="10" name="annotator_1_label"/>
    <x:tableColumn id="11" name="annotator_1_id"/>
    <x:tableColumn id="12" name="annotator_1_confidence"/>
    <x:tableColumn id="13" name="annotator_1_notes"/>
    <x:tableColumn id="14" name="annotator_2_label"/>
    <x:tableColumn id="15" name="annotator_2_id"/>
    <x:tableColumn id="16" name="annotator_2_confidence"/>
    <x:tableColumn id="17" name="annotator_2_notes"/>
    <x:tableColumn id="18" name="adjudicated_label"/>
    <x:tableColumn id="19" name="adjudicator_id"/>
    <x:tableColumn id="20" name="adjudication_notes"/>
    <x:tableColumn id="21" name="adjudication_required"/>
    <x:tableColumn id="22" name="final_label"/>
  </x:tableColumns>
  <x:tableStyleInfo name="TableStyleMedium2" showFirstColumn="0" showLastColumn="0" showRowStripes="1" showColumnStripes="0"/>
</x:table>
</file>

<file path=xl/tables/table3.xml><?xml version="1.0" encoding="utf-8"?>
<x:table xmlns:x="http://schemas.openxmlformats.org/spreadsheetml/2006/main" id="3" name="FormalQueriesTable" displayName="FormalQueriesTable" ref="A1:H21" headerRowCount="1" totalsRowCount="0" totalsRowShown="0">
  <x:tableColumns count="8">
    <x:tableColumn id="1" name="query_id"/>
    <x:tableColumn id="2" name="query"/>
    <x:tableColumn id="3" name="intent"/>
    <x:tableColumn id="4" name="target_aspects"/>
    <x:tableColumn id="5" name="target_category"/>
    <x:tableColumn id="6" name="difficulty"/>
    <x:tableColumn id="7" name="candidate_count"/>
    <x:tableColumn id="8" name="bm25_dense_overlap"/>
  </x:tableColumns>
  <x:tableStyleInfo name="TableStyleMedium2" showFirstColumn="0" showLastColumn="0" showRowStripes="1" showColumnStripes="0"/>
</x:table>
</file>

<file path=xl/tables/table4.xml><?xml version="1.0" encoding="utf-8"?>
<x:table xmlns:x="http://schemas.openxmlformats.org/spreadsheetml/2006/main" id="4" name="FormalProvenanceTable" displayName="FormalProvenanceTable" ref="A1:M792" headerRowCount="1" totalsRowCount="0" totalsRowShown="0">
  <x:tableColumns count="13">
    <x:tableColumn id="1" name="annotation_id"/>
    <x:tableColumn id="2" name="query_id"/>
    <x:tableColumn id="3" name="chunk_id"/>
    <x:tableColumn id="4" name="parent_asin"/>
    <x:tableColumn id="5" name="candidate_systems"/>
    <x:tableColumn id="6" name="bm25_rank"/>
    <x:tableColumn id="7" name="bm25_score"/>
    <x:tableColumn id="8" name="dense_rank"/>
    <x:tableColumn id="9" name="dense_score"/>
    <x:tableColumn id="10" name="hybrid_rank"/>
    <x:tableColumn id="11" name="hybrid_rrf_score"/>
    <x:tableColumn id="12" name="cross_encoder_rank"/>
    <x:tableColumn id="13" name="cross_encoder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078572fb504f9d" /></Relationships>
</file>

<file path=xl/worksheets/_rels/sheet2.xml.rels>&#65279;<?xml version="1.0" encoding="utf-8"?><Relationships xmlns="http://schemas.openxmlformats.org/package/2006/relationships"><Relationship Type="http://schemas.openxmlformats.org/officeDocument/2006/relationships/table" Target="/xl/tables/table2.xml" Id="Rbf6e09ef4693409f" /></Relationships>
</file>

<file path=xl/worksheets/_rels/sheet3.xml.rels>&#65279;<?xml version="1.0" encoding="utf-8"?><Relationships xmlns="http://schemas.openxmlformats.org/package/2006/relationships"><Relationship Type="http://schemas.openxmlformats.org/officeDocument/2006/relationships/table" Target="/xl/tables/table3.xml" Id="Rb57b732dcf23485b" /></Relationships>
</file>

<file path=xl/worksheets/_rels/sheet4.xml.rels>&#65279;<?xml version="1.0" encoding="utf-8"?><Relationships xmlns="http://schemas.openxmlformats.org/package/2006/relationships"><Relationship Type="http://schemas.openxmlformats.org/officeDocument/2006/relationships/table" Target="/xl/tables/table4.xml" Id="Rfe4e2f2ca23a47d0"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9" hidden="0" customWidth="1"/>
    <x:col min="2" max="2" width="17" hidden="0" customWidth="1"/>
    <x:col min="3" max="3" width="20" hidden="0" customWidth="1"/>
    <x:col min="4" max="4" width="1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2" ht="28" customHeight="1">
      <x:c r="A2" s="2" t="str">
        <x:v>Amazon Electronics Final Qrels Annotation</x:v>
      </x:c>
      <x:c r="B2" s="2"/>
      <x:c r="C2" s="2"/>
      <x:c r="D2" s="2"/>
      <x:c r="E2" s="2"/>
      <x:c r="F2" s="2"/>
      <x:c r="G2" s="2"/>
      <x:c r="H2" s="2"/>
      <x:c r="I2" s="2"/>
      <x:c r="J2" s="2"/>
    </x:row>
    <x:row r="3">
      <x:c r="A3" s="3" t="str">
        <x:v>All 791 relevance labels were reviewed and confirmed by Human_Reviewer_01 on October 7, 2026.</x:v>
      </x:c>
      <x:c r="B3" s="3"/>
      <x:c r="C3" s="3"/>
      <x:c r="D3" s="3"/>
      <x:c r="E3" s="3"/>
      <x:c r="F3" s="3"/>
      <x:c r="G3" s="3"/>
      <x:c r="H3" s="3"/>
      <x:c r="I3" s="3"/>
      <x:c r="J3" s="3"/>
    </x:row>
    <x:row r="4" ht="3" customHeight="1">
      <x:c r="A4" s="4"/>
      <x:c r="B4" s="4"/>
      <x:c r="C4" s="4"/>
      <x:c r="D4" s="4"/>
      <x:c r="E4" s="4"/>
      <x:c r="F4" s="4"/>
      <x:c r="G4" s="4"/>
      <x:c r="H4" s="4"/>
      <x:c r="I4" s="4"/>
      <x:c r="J4" s="4"/>
    </x:row>
    <x:row r="6" ht="34" customHeight="1">
      <x:c r="A6" s="12" t="str">
        <x:v>Annotation progress</x:v>
      </x:c>
      <x:c r="B6" s="13" t="str">
        <x:v>Value</x:v>
      </x:c>
      <x:c r="E6" s="12" t="str">
        <x:v>Workflow</x:v>
      </x:c>
      <x:c r="F6" s="28"/>
      <x:c r="G6" s="28"/>
      <x:c r="H6" s="28"/>
      <x:c r="I6" s="28"/>
      <x:c r="J6" s="13"/>
    </x:row>
    <x:row r="7" ht="38" customHeight="1">
      <x:c r="A7" s="22" t="str">
        <x:v>Candidate pairs</x:v>
      </x:c>
      <x:c r="B7" s="18" t="n">
        <x:f>COUNTA(Annotations!$A$2:$A$792)</x:f>
        <x:v>791</x:v>
      </x:c>
      <x:c r="E7" s="35" t="str">
        <x:v>1. Human review is complete; Human_Reviewer_01 confirmed all 791 labels.</x:v>
      </x:c>
      <x:c r="F7" s="35"/>
      <x:c r="G7" s="35"/>
      <x:c r="H7" s="35"/>
      <x:c r="I7" s="35"/>
      <x:c r="J7" s="35"/>
    </x:row>
    <x:row r="8" ht="38" customHeight="1">
      <x:c r="A8" s="23" t="str">
        <x:v>Annotator 1 labels</x:v>
      </x:c>
      <x:c r="B8" s="19" t="n">
        <x:f>COUNTA(Annotations!$J$2:$J$792)</x:f>
        <x:v>791</x:v>
      </x:c>
      <x:c r="E8" s="36" t="str">
        <x:v>2. Use 2 for direct evidence, 1 for partial evidence, and 0 for irrelevant evidence.</x:v>
      </x:c>
      <x:c r="F8" s="36"/>
      <x:c r="G8" s="36"/>
      <x:c r="H8" s="36"/>
      <x:c r="I8" s="36"/>
      <x:c r="J8" s="36"/>
    </x:row>
    <x:row r="9" ht="38" customHeight="1">
      <x:c r="A9" s="23" t="str">
        <x:v>Annotator 2 labels</x:v>
      </x:c>
      <x:c r="B9" s="19" t="n">
        <x:f>COUNTA(Annotations!$N$2:$N$792)</x:f>
        <x:v>0</x:v>
      </x:c>
      <x:c r="E9" s="36" t="str">
        <x:v>3. Confidence records judgment clarity and is not a probability.</x:v>
      </x:c>
      <x:c r="F9" s="36"/>
      <x:c r="G9" s="36"/>
      <x:c r="H9" s="36"/>
      <x:c r="I9" s="36"/>
      <x:c r="J9" s="36"/>
    </x:row>
    <x:row r="10" ht="38" customHeight="1">
      <x:c r="A10" s="23" t="str">
        <x:v>Double-labeled pairs</x:v>
      </x:c>
      <x:c r="B10" s="19" t="n">
        <x:f>COUNTIFS(Annotations!$J$2:$J$792,"&lt;&gt;",Annotations!$N$2:$N$792,"&lt;&gt;")</x:f>
        <x:v>0</x:v>
      </x:c>
      <x:c r="E10" s="36" t="str">
        <x:v>4. Formal metrics use qrels_human_validated_v1.txt.</x:v>
      </x:c>
      <x:c r="F10" s="36"/>
      <x:c r="G10" s="36"/>
      <x:c r="H10" s="36"/>
      <x:c r="I10" s="36"/>
      <x:c r="J10" s="36"/>
    </x:row>
    <x:row r="11" ht="38" customHeight="1">
      <x:c r="A11" s="23" t="str">
        <x:v>Disagreements</x:v>
      </x:c>
      <x:c r="B11" s="19" t="n">
        <x:f>COUNTIF(Annotations!$U$2:$U$792,"Yes")</x:f>
        <x:v>0</x:v>
      </x:c>
      <x:c r="E11" s="36" t="str">
        <x:v>5. These are single-reviewer qrels; inter-annotator agreement is not reported.</x:v>
      </x:c>
      <x:c r="F11" s="36"/>
      <x:c r="G11" s="36"/>
      <x:c r="H11" s="36"/>
      <x:c r="I11" s="36"/>
      <x:c r="J11" s="36"/>
    </x:row>
    <x:row r="12">
      <x:c r="A12" s="23" t="str">
        <x:v>Adjudicated disagreements</x:v>
      </x:c>
      <x:c r="B12" s="19" t="n">
        <x:f>COUNTIFS(Annotations!$U$2:$U$792,"Yes",Annotations!$R$2:$R$792,"&lt;&gt;")</x:f>
        <x:v>0</x:v>
      </x:c>
    </x:row>
    <x:row r="13">
      <x:c r="A13" s="23" t="str">
        <x:v>Final labels</x:v>
      </x:c>
      <x:c r="B13" s="19" t="n">
        <x:f>COUNTA(Annotations!$V$2:$V$792)</x:f>
        <x:v>791</x:v>
      </x:c>
    </x:row>
    <x:row r="14">
      <x:c r="A14" s="23" t="str">
        <x:v>Final-label completion</x:v>
      </x:c>
      <x:c r="B14" s="24" t="n">
        <x:f>IF(B7=0,0,B13/B7)</x:f>
        <x:v>1</x:v>
      </x:c>
    </x:row>
    <x:row r="15">
      <x:c r="A15" s="23" t="str">
        <x:v>Qrels status</x:v>
      </x:c>
      <x:c r="B15" s="19" t="str">
        <x:f>IF(B13=B7,"Ready","In progress")</x:f>
        <x:v>Ready</x:v>
      </x:c>
    </x:row>
    <x:row r="18" ht="34" customHeight="1">
      <x:c r="A18" s="12" t="str">
        <x:v>Query</x:v>
      </x:c>
      <x:c r="B18" s="28" t="str">
        <x:v>Candidates</x:v>
      </x:c>
      <x:c r="C18" s="28" t="str">
        <x:v>BM25-dense overlap</x:v>
      </x:c>
      <x:c r="D18" s="13" t="str">
        <x:v>Difficulty</x:v>
      </x:c>
    </x:row>
    <x:row r="19" ht="22" customHeight="1">
      <x:c r="A19" s="38" t="str">
        <x:v>Q001</x:v>
      </x:c>
      <x:c r="B19" s="38" t="n">
        <x:v>40</x:v>
      </x:c>
      <x:c r="C19" s="38" t="n">
        <x:v>0</x:v>
      </x:c>
      <x:c r="D19" s="38" t="str">
        <x:v>medium</x:v>
      </x:c>
    </x:row>
    <x:row r="20" ht="22" customHeight="1">
      <x:c r="A20" s="38" t="str">
        <x:v>Q002</x:v>
      </x:c>
      <x:c r="B20" s="38" t="n">
        <x:v>40</x:v>
      </x:c>
      <x:c r="C20" s="38" t="n">
        <x:v>0</x:v>
      </x:c>
      <x:c r="D20" s="38" t="str">
        <x:v>medium</x:v>
      </x:c>
    </x:row>
    <x:row r="21" ht="22" customHeight="1">
      <x:c r="A21" s="38" t="str">
        <x:v>Q003</x:v>
      </x:c>
      <x:c r="B21" s="38" t="n">
        <x:v>37</x:v>
      </x:c>
      <x:c r="C21" s="38" t="n">
        <x:v>3</x:v>
      </x:c>
      <x:c r="D21" s="38" t="str">
        <x:v>medium</x:v>
      </x:c>
    </x:row>
    <x:row r="22" ht="22" customHeight="1">
      <x:c r="A22" s="38" t="str">
        <x:v>Q004</x:v>
      </x:c>
      <x:c r="B22" s="38" t="n">
        <x:v>39</x:v>
      </x:c>
      <x:c r="C22" s="38" t="n">
        <x:v>1</x:v>
      </x:c>
      <x:c r="D22" s="38" t="str">
        <x:v>medium</x:v>
      </x:c>
    </x:row>
    <x:row r="23" ht="22" customHeight="1">
      <x:c r="A23" s="38" t="str">
        <x:v>Q005</x:v>
      </x:c>
      <x:c r="B23" s="38" t="n">
        <x:v>40</x:v>
      </x:c>
      <x:c r="C23" s="38" t="n">
        <x:v>0</x:v>
      </x:c>
      <x:c r="D23" s="38" t="str">
        <x:v>medium</x:v>
      </x:c>
    </x:row>
    <x:row r="24" ht="22" customHeight="1">
      <x:c r="A24" s="38" t="str">
        <x:v>Q006</x:v>
      </x:c>
      <x:c r="B24" s="38" t="n">
        <x:v>39</x:v>
      </x:c>
      <x:c r="C24" s="38" t="n">
        <x:v>1</x:v>
      </x:c>
      <x:c r="D24" s="38" t="str">
        <x:v>hard</x:v>
      </x:c>
    </x:row>
    <x:row r="25" ht="22" customHeight="1">
      <x:c r="A25" s="38" t="str">
        <x:v>Q007</x:v>
      </x:c>
      <x:c r="B25" s="38" t="n">
        <x:v>39</x:v>
      </x:c>
      <x:c r="C25" s="38" t="n">
        <x:v>1</x:v>
      </x:c>
      <x:c r="D25" s="38" t="str">
        <x:v>medium</x:v>
      </x:c>
    </x:row>
    <x:row r="26" ht="22" customHeight="1">
      <x:c r="A26" s="38" t="str">
        <x:v>Q008</x:v>
      </x:c>
      <x:c r="B26" s="38" t="n">
        <x:v>40</x:v>
      </x:c>
      <x:c r="C26" s="38" t="n">
        <x:v>0</x:v>
      </x:c>
      <x:c r="D26" s="38" t="str">
        <x:v>hard</x:v>
      </x:c>
    </x:row>
    <x:row r="27" ht="22" customHeight="1">
      <x:c r="A27" s="38" t="str">
        <x:v>Q009</x:v>
      </x:c>
      <x:c r="B27" s="38" t="n">
        <x:v>39</x:v>
      </x:c>
      <x:c r="C27" s="38" t="n">
        <x:v>1</x:v>
      </x:c>
      <x:c r="D27" s="38" t="str">
        <x:v>hard</x:v>
      </x:c>
    </x:row>
    <x:row r="28" ht="22" customHeight="1">
      <x:c r="A28" s="38" t="str">
        <x:v>Q010</x:v>
      </x:c>
      <x:c r="B28" s="38" t="n">
        <x:v>40</x:v>
      </x:c>
      <x:c r="C28" s="38" t="n">
        <x:v>0</x:v>
      </x:c>
      <x:c r="D28" s="38" t="str">
        <x:v>medium</x:v>
      </x:c>
    </x:row>
    <x:row r="29" ht="22" customHeight="1">
      <x:c r="A29" s="38" t="str">
        <x:v>Q011</x:v>
      </x:c>
      <x:c r="B29" s="38" t="n">
        <x:v>40</x:v>
      </x:c>
      <x:c r="C29" s="38" t="n">
        <x:v>0</x:v>
      </x:c>
      <x:c r="D29" s="38" t="str">
        <x:v>hard</x:v>
      </x:c>
    </x:row>
    <x:row r="30" ht="22" customHeight="1">
      <x:c r="A30" s="38" t="str">
        <x:v>Q012</x:v>
      </x:c>
      <x:c r="B30" s="38" t="n">
        <x:v>39</x:v>
      </x:c>
      <x:c r="C30" s="38" t="n">
        <x:v>1</x:v>
      </x:c>
      <x:c r="D30" s="38" t="str">
        <x:v>medium</x:v>
      </x:c>
    </x:row>
    <x:row r="31" ht="22" customHeight="1">
      <x:c r="A31" s="38" t="str">
        <x:v>Q013</x:v>
      </x:c>
      <x:c r="B31" s="38" t="n">
        <x:v>40</x:v>
      </x:c>
      <x:c r="C31" s="38" t="n">
        <x:v>0</x:v>
      </x:c>
      <x:c r="D31" s="38" t="str">
        <x:v>hard</x:v>
      </x:c>
    </x:row>
    <x:row r="32" ht="22" customHeight="1">
      <x:c r="A32" s="38" t="str">
        <x:v>Q014</x:v>
      </x:c>
      <x:c r="B32" s="38" t="n">
        <x:v>40</x:v>
      </x:c>
      <x:c r="C32" s="38" t="n">
        <x:v>0</x:v>
      </x:c>
      <x:c r="D32" s="38" t="str">
        <x:v>medium</x:v>
      </x:c>
    </x:row>
    <x:row r="33" ht="22" customHeight="1">
      <x:c r="A33" s="38" t="str">
        <x:v>Q015</x:v>
      </x:c>
      <x:c r="B33" s="38" t="n">
        <x:v>40</x:v>
      </x:c>
      <x:c r="C33" s="38" t="n">
        <x:v>0</x:v>
      </x:c>
      <x:c r="D33" s="38" t="str">
        <x:v>medium</x:v>
      </x:c>
    </x:row>
    <x:row r="34" ht="22" customHeight="1">
      <x:c r="A34" s="38" t="str">
        <x:v>Q016</x:v>
      </x:c>
      <x:c r="B34" s="38" t="n">
        <x:v>40</x:v>
      </x:c>
      <x:c r="C34" s="38" t="n">
        <x:v>0</x:v>
      </x:c>
      <x:c r="D34" s="38" t="str">
        <x:v>medium</x:v>
      </x:c>
    </x:row>
    <x:row r="35" ht="22" customHeight="1">
      <x:c r="A35" s="38" t="str">
        <x:v>Q017</x:v>
      </x:c>
      <x:c r="B35" s="38" t="n">
        <x:v>40</x:v>
      </x:c>
      <x:c r="C35" s="38" t="n">
        <x:v>0</x:v>
      </x:c>
      <x:c r="D35" s="38" t="str">
        <x:v>hard</x:v>
      </x:c>
    </x:row>
    <x:row r="36" ht="22" customHeight="1">
      <x:c r="A36" s="38" t="str">
        <x:v>Q018</x:v>
      </x:c>
      <x:c r="B36" s="38" t="n">
        <x:v>39</x:v>
      </x:c>
      <x:c r="C36" s="38" t="n">
        <x:v>1</x:v>
      </x:c>
      <x:c r="D36" s="38" t="str">
        <x:v>medium</x:v>
      </x:c>
    </x:row>
    <x:row r="37" ht="22" customHeight="1">
      <x:c r="A37" s="38" t="str">
        <x:v>Q019</x:v>
      </x:c>
      <x:c r="B37" s="38" t="n">
        <x:v>40</x:v>
      </x:c>
      <x:c r="C37" s="38" t="n">
        <x:v>0</x:v>
      </x:c>
      <x:c r="D37" s="38" t="str">
        <x:v>medium</x:v>
      </x:c>
    </x:row>
    <x:row r="38" ht="22" customHeight="1">
      <x:c r="A38" s="38" t="str">
        <x:v>Q020</x:v>
      </x:c>
      <x:c r="B38" s="38" t="n">
        <x:v>40</x:v>
      </x:c>
      <x:c r="C38" s="38" t="n">
        <x:v>0</x:v>
      </x:c>
      <x:c r="D38" s="38" t="str">
        <x:v>hard</x:v>
      </x:c>
    </x:row>
  </x:sheetData>
  <x:mergeCells>
    <x:mergeCell ref="A2:J2"/>
    <x:mergeCell ref="A3:J3"/>
    <x:mergeCell ref="E6:J6"/>
    <x:mergeCell ref="E7:J7"/>
    <x:mergeCell ref="E8:J8"/>
    <x:mergeCell ref="E9:J9"/>
    <x:mergeCell ref="E10:J10"/>
    <x:mergeCell ref="E11:J11"/>
  </x:mergeCells>
  <x:conditionalFormatting sqref="B14:B14">
    <x:cfRule type="dataBar" priority="1">
      <x:dataBar>
        <x:cfvo type="min"/>
        <x:cfvo type="max"/>
        <x:color rgb="FF0F6B78"/>
      </x:dataBar>
      <x:extLst>
        <x:ext xmlns:x14="http://schemas.microsoft.com/office/spreadsheetml/2009/9/main" uri="{B025F937-C7B1-47D3-B67F-A62EFF666E3E}">
          <x14:id>f243eaba-9430-4fd2-8f75-ba5b6f7c8cf7</x14:id>
        </x:ext>
      </x:extLst>
    </x:cfRule>
  </x:conditionalFormatting>
  <x:conditionalFormatting sqref="B15:B15">
    <x:cfRule type="containsText" dxfId="0" priority="2" operator="containsText" text="Ready"/>
    <x:cfRule type="containsText" dxfId="1" priority="3" operator="containsText" text="In progress"/>
  </x:conditionalFormatting>
  <x:pageMargins left="0.7" right="0.7" top="0.75" bottom="0.75" header="0.3" footer="0.3"/>
  <x:tableParts count="1">
    <x:tablePart xmlns:r="http://schemas.openxmlformats.org/officeDocument/2006/relationships" r:id="R38078572fb504f9d"/>
  </x:tableParts>
  <x:extLst>
    <x:ext xmlns:x14="http://schemas.microsoft.com/office/spreadsheetml/2009/9/main" xmlns:xm="http://schemas.microsoft.com/office/excel/2006/main" uri="{78C0D931-6437-407d-A8EE-F0AAD7539E65}">
      <x14:conditionalFormattings>
        <x14:conditionalFormatting>
          <x14:cfRule type="dataBar" priority="1" id="f243eaba-9430-4fd2-8f75-ba5b6f7c8cf7">
            <x14:dataBar gradient="1">
              <x14:cfvo type="min"/>
              <x14:cfvo type="max"/>
              <x14:fillColor rgb="FF0F6B78"/>
            </x14:dataBar>
          </x14:cfRule>
          <xm:sqref>B14:B14</xm:sqref>
        </x14:conditionalFormatting>
      </x14:conditionalFormattings>
    </x:ext>
  </x:extLst>
</x:worksheet>
</file>

<file path=xl/worksheets/sheet2.xml><?xml version="1.0" encoding="utf-8"?>
<x:worksheet xmlns:x="http://schemas.openxmlformats.org/spreadsheetml/2006/main">
  <x:sheetPr>
    <x:tabColor rgb="FF0F6B78"/>
  </x:sheetPr>
  <x:sheetViews>
    <x:sheetView showGridLines="0" workbookViewId="0">
      <x:pane xSplit="3" ySplit="1" topLeftCell="D2" activePane="bottomRight" state="frozen"/>
    </x:sheetView>
  </x:sheetViews>
  <x:sheetFormatPr defaultRowHeight="15"/>
  <x:cols>
    <x:col min="1" max="1" width="30" hidden="0" customWidth="1"/>
    <x:col min="2" max="2" width="11" hidden="0" customWidth="1"/>
    <x:col min="3" max="3" width="54" hidden="0" customWidth="1"/>
    <x:col min="4" max="4" width="12" hidden="0" customWidth="1"/>
    <x:col min="5" max="5" width="15" hidden="0" customWidth="1"/>
    <x:col min="6" max="6" width="12" hidden="0" customWidth="1"/>
    <x:col min="7" max="7" width="22" hidden="0" customWidth="1"/>
    <x:col min="8" max="8" width="24" hidden="0" customWidth="1"/>
    <x:col min="9" max="9" width="88" hidden="0" customWidth="1"/>
    <x:col min="10" max="10" width="16" hidden="0" customWidth="1"/>
    <x:col min="11" max="11" width="27" hidden="0" customWidth="1"/>
    <x:col min="12" max="12" width="22" hidden="0" customWidth="1"/>
    <x:col min="13" max="13" width="38" hidden="0" customWidth="1"/>
    <x:col min="14" max="14" width="16" hidden="0" customWidth="1"/>
    <x:col min="15" max="15" width="15" hidden="0" customWidth="1"/>
    <x:col min="16" max="16" width="22" hidden="0" customWidth="1"/>
    <x:col min="17" max="17" width="38" hidden="0" customWidth="1"/>
    <x:col min="18" max="18" width="18" hidden="0" customWidth="1"/>
    <x:col min="19" max="19" width="16" hidden="0" customWidth="1"/>
    <x:col min="20" max="20" width="38" hidden="0" customWidth="1"/>
    <x:col min="21" max="21" width="21" hidden="0" customWidth="1"/>
    <x:col min="22" max="22" width="12" hidden="0" customWidth="1"/>
  </x:cols>
  <x:sheetData>
    <x:row r="1" ht="34" customHeight="1">
      <x:c r="A1" s="12" t="str">
        <x:v>annotation_id</x:v>
      </x:c>
      <x:c r="B1" s="28" t="str">
        <x:v>query_id</x:v>
      </x:c>
      <x:c r="C1" s="28" t="str">
        <x:v>query</x:v>
      </x:c>
      <x:c r="D1" s="28" t="str">
        <x:v>display_order</x:v>
      </x:c>
      <x:c r="E1" s="28" t="str">
        <x:v>parent_asin</x:v>
      </x:c>
      <x:c r="F1" s="28" t="str">
        <x:v>chunk_type</x:v>
      </x:c>
      <x:c r="G1" s="28" t="str">
        <x:v>aspect</x:v>
      </x:c>
      <x:c r="H1" s="28" t="str">
        <x:v>category</x:v>
      </x:c>
      <x:c r="I1" s="13" t="str">
        <x:v>candidate_text</x:v>
      </x:c>
      <x:c r="J1" s="50" t="str">
        <x:v>annotator_1_label</x:v>
      </x:c>
      <x:c r="K1" s="51" t="str">
        <x:v>annotator_1_id</x:v>
      </x:c>
      <x:c r="L1" s="51" t="str">
        <x:v>annotator_1_confidence</x:v>
      </x:c>
      <x:c r="M1" s="52" t="str">
        <x:v>annotator_1_notes</x:v>
      </x:c>
      <x:c r="N1" s="64" t="str">
        <x:v>annotator_2_label</x:v>
      </x:c>
      <x:c r="O1" s="65" t="str">
        <x:v>annotator_2_id</x:v>
      </x:c>
      <x:c r="P1" s="65" t="str">
        <x:v>annotator_2_confidence</x:v>
      </x:c>
      <x:c r="Q1" s="66" t="str">
        <x:v>annotator_2_notes</x:v>
      </x:c>
      <x:c r="R1" s="78" t="str">
        <x:v>adjudicated_label</x:v>
      </x:c>
      <x:c r="S1" s="79" t="str">
        <x:v>adjudicator_id</x:v>
      </x:c>
      <x:c r="T1" s="80" t="str">
        <x:v>adjudication_notes</x:v>
      </x:c>
      <x:c r="U1" s="89" t="str">
        <x:v>adjudication_required</x:v>
      </x:c>
      <x:c r="V1" s="90" t="str">
        <x:v>final_label</x:v>
      </x:c>
    </x:row>
    <x:row r="2" ht="54" hidden="0" customHeight="1">
      <x:c r="A2" s="38" t="str">
        <x:v>Q001::B071HLZ9S3_review_1569251</x:v>
      </x:c>
      <x:c r="B2" s="38" t="str">
        <x:v>Q001</x:v>
      </x:c>
      <x:c r="C2" s="91" t="str">
        <x:v>Which wireless earbuds have long battery life and stay comfortable during long flights?</x:v>
      </x:c>
      <x:c r="D2" s="38" t="n">
        <x:v>1</x:v>
      </x:c>
      <x:c r="E2" s="38" t="str">
        <x:v>B071HLZ9S3</x:v>
      </x:c>
      <x:c r="F2" s="38" t="str">
        <x:v>review</x:v>
      </x:c>
      <x:c r="G2" s="38" t="str">
        <x:v>battery life</x:v>
      </x:c>
      <x:c r="H2" s="38" t="str">
        <x:v>Cell Phones &amp; Accessories</x:v>
      </x:c>
      <x:c r="I2" s="91" t="str">
        <x:v>[Product: Noise Cancelling Neckband Earphones | ASIN: B071HLZ9S3] The battery lasts long enough for pretty much any flight</x:v>
      </x:c>
      <x:c r="J2" s="101" t="n">
        <x:v>1</x:v>
      </x:c>
      <x:c r="K2" s="92" t="str">
        <x:v>Human_Reviewer_01</x:v>
      </x:c>
      <x:c r="L2" s="92" t="str">
        <x:v>Medium</x:v>
      </x:c>
      <x:c r="M2" s="93" t="str">
        <x:v>Flight-length battery observation, but wireless capability is not established in this chunk.</x:v>
      </x:c>
      <x:c r="N2" s="94"/>
      <x:c r="O2" s="94"/>
      <x:c r="P2" s="94"/>
      <x:c r="Q2" s="95"/>
      <x:c r="R2" s="96"/>
      <x:c r="S2" s="96"/>
      <x:c r="T2" s="97"/>
      <x:c r="U2" s="98" t="str">
        <x:f>IF(OR(J2="",N2=""),"",IF(J2=N2,"No","Yes"))</x:f>
      </x:c>
      <x:c r="V2" s="98" t="n">
        <x:v>1</x:v>
      </x:c>
    </x:row>
    <x:row r="3" ht="54" hidden="0" customHeight="1">
      <x:c r="A3" s="38" t="str">
        <x:v>Q001::B08FF5YM1T_review_1686570</x:v>
      </x:c>
      <x:c r="B3" s="38" t="str">
        <x:v>Q001</x:v>
      </x:c>
      <x:c r="C3" s="91" t="str">
        <x:v>Which wireless earbuds have long battery life and stay comfortable during long flights?</x:v>
      </x:c>
      <x:c r="D3" s="38" t="n">
        <x:v>2</x:v>
      </x:c>
      <x:c r="E3" s="38" t="str">
        <x:v>B08FF5YM1T</x:v>
      </x:c>
      <x:c r="F3" s="38" t="str">
        <x:v>review</x:v>
      </x:c>
      <x:c r="G3" s="38" t="str">
        <x:v>battery life</x:v>
      </x:c>
      <x:c r="H3" s="38" t="str">
        <x:v>Cell Phones &amp; Accessories</x:v>
      </x:c>
      <x:c r="I3" s="91" t="str">
        <x:v>[Product: Wireless Gear True Wireless Bluetooth Secure Fit Earbuds, Turquoise | ASIN: B08FF5YM1T] Battery life could definitely be longer on these.</x:v>
      </x:c>
      <x:c r="J3" s="101" t="n">
        <x:v>2</x:v>
      </x:c>
      <x:c r="K3" s="92" t="str">
        <x:v>Human_Reviewer_01</x:v>
      </x:c>
      <x:c r="L3" s="92" t="str">
        <x:v>High</x:v>
      </x:c>
      <x:c r="M3" s="93" t="str">
        <x:v>Wireless earbuds have explicitly inadequate battery endurance; useful negative evidence.</x:v>
      </x:c>
      <x:c r="N3" s="94"/>
      <x:c r="O3" s="94"/>
      <x:c r="P3" s="94"/>
      <x:c r="Q3" s="95"/>
      <x:c r="R3" s="96"/>
      <x:c r="S3" s="96"/>
      <x:c r="T3" s="97"/>
      <x:c r="U3" s="98" t="str">
        <x:f>IF(OR(J3="",N3=""),"",IF(J3=N3,"No","Yes"))</x:f>
      </x:c>
      <x:c r="V3" s="98" t="n">
        <x:v>2</x:v>
      </x:c>
    </x:row>
    <x:row r="4" ht="54" hidden="0" customHeight="1">
      <x:c r="A4" s="38" t="str">
        <x:v>Q001::B08FF6SFZ3_review_2438390</x:v>
      </x:c>
      <x:c r="B4" s="38" t="str">
        <x:v>Q001</x:v>
      </x:c>
      <x:c r="C4" s="91" t="str">
        <x:v>Which wireless earbuds have long battery life and stay comfortable during long flights?</x:v>
      </x:c>
      <x:c r="D4" s="38" t="n">
        <x:v>3</x:v>
      </x:c>
      <x:c r="E4" s="38" t="str">
        <x:v>B08FF6SFZ3</x:v>
      </x:c>
      <x:c r="F4" s="38" t="str">
        <x:v>review</x:v>
      </x:c>
      <x:c r="G4" s="38" t="str">
        <x:v>battery life</x:v>
      </x:c>
      <x:c r="H4" s="38" t="str">
        <x:v>Cell Phones &amp; Accessories</x:v>
      </x:c>
      <x:c r="I4" s="91" t="str">
        <x:v>[Product: Wireless Gear Bluetooth 5.0 True Wireless Stereo Earbuds with Charging Case, Black | ASIN: B08FF6SFZ3] I love the charging case and it does not take long for them to re-charge. It does have a long battery life as well.</x:v>
      </x:c>
      <x:c r="J4" s="101" t="n">
        <x:v>2</x:v>
      </x:c>
      <x:c r="K4" s="92" t="str">
        <x:v>Human_Reviewer_01</x:v>
      </x:c>
      <x:c r="L4" s="92" t="str">
        <x:v>High</x:v>
      </x:c>
      <x:c r="M4" s="93" t="str">
        <x:v>Wireless earbuds are reported to have long battery life and quick recharging.</x:v>
      </x:c>
      <x:c r="N4" s="94"/>
      <x:c r="O4" s="94"/>
      <x:c r="P4" s="94"/>
      <x:c r="Q4" s="95"/>
      <x:c r="R4" s="96"/>
      <x:c r="S4" s="96"/>
      <x:c r="T4" s="97"/>
      <x:c r="U4" s="98" t="str">
        <x:f>IF(OR(J4="",N4=""),"",IF(J4=N4,"No","Yes"))</x:f>
      </x:c>
      <x:c r="V4" s="98" t="n">
        <x:v>2</x:v>
      </x:c>
    </x:row>
    <x:row r="5" ht="54" hidden="0" customHeight="1">
      <x:c r="A5" s="38" t="str">
        <x:v>Q001::B07CB24GSV_review_419353</x:v>
      </x:c>
      <x:c r="B5" s="38" t="str">
        <x:v>Q001</x:v>
      </x:c>
      <x:c r="C5" s="91" t="str">
        <x:v>Which wireless earbuds have long battery life and stay comfortable during long flights?</x:v>
      </x:c>
      <x:c r="D5" s="38" t="n">
        <x:v>4</x:v>
      </x:c>
      <x:c r="E5" s="38" t="str">
        <x:v>B07CB24GSV</x:v>
      </x:c>
      <x:c r="F5" s="38" t="str">
        <x:v>review</x:v>
      </x:c>
      <x:c r="G5" s="38" t="str">
        <x:v>general</x:v>
      </x:c>
      <x:c r="H5" s="38" t="str">
        <x:v>Cell Phones &amp; Accessories</x:v>
      </x:c>
      <x:c r="I5" s="91" t="str">
        <x:v>[Product: Twelve South AirFly | Wireless transmitter to use Wireless/Noise-cancelling headphones in gyms or on airplanes | ASIN: B07CB24GSV] /&gt;The AirFly is small and lightweight. I typically carry my AirPods on the plane when I travel so that I can listen to music on my iPhone. This does take some time and results in a small delay, but it was not very noticeable to me.&lt;br /&gt;&lt;br /&gt;Overall, the AirFly is great if you are going on a flight that lasts less than 5 hours.</x:v>
      </x:c>
      <x:c r="J5" s="101" t="n">
        <x:v>0</x:v>
      </x:c>
      <x:c r="K5" s="92" t="str">
        <x:v>Human_Reviewer_01</x:v>
      </x:c>
      <x:c r="L5" s="92" t="str">
        <x:v>High</x:v>
      </x:c>
      <x:c r="M5" s="93" t="str">
        <x:v>This is a wireless transmitter, not earbuds.</x:v>
      </x:c>
      <x:c r="N5" s="94"/>
      <x:c r="O5" s="94"/>
      <x:c r="P5" s="94"/>
      <x:c r="Q5" s="95"/>
      <x:c r="R5" s="96"/>
      <x:c r="S5" s="96"/>
      <x:c r="T5" s="97"/>
      <x:c r="U5" s="98" t="str">
        <x:f>IF(OR(J5="",N5=""),"",IF(J5=N5,"No","Yes"))</x:f>
      </x:c>
      <x:c r="V5" s="98" t="n">
        <x:v>0</x:v>
      </x:c>
    </x:row>
    <x:row r="6" ht="54" hidden="0" customHeight="1">
      <x:c r="A6" s="38" t="str">
        <x:v>Q001::B00Y34D7E0_review_2504281</x:v>
      </x:c>
      <x:c r="B6" s="38" t="str">
        <x:v>Q001</x:v>
      </x:c>
      <x:c r="C6" s="91" t="str">
        <x:v>Which wireless earbuds have long battery life and stay comfortable during long flights?</x:v>
      </x:c>
      <x:c r="D6" s="38" t="n">
        <x:v>5</x:v>
      </x:c>
      <x:c r="E6" s="38" t="str">
        <x:v>B00Y34D7E0</x:v>
      </x:c>
      <x:c r="F6" s="38" t="str">
        <x:v>review</x:v>
      </x:c>
      <x:c r="G6" s="38" t="str">
        <x:v>ease of use</x:v>
      </x:c>
      <x:c r="H6" s="38" t="str">
        <x:v>Computers</x:v>
      </x:c>
      <x:c r="I6" s="91" t="str">
        <x:v>[Product: Perixx PERIMICE-716B, Wireless Ergonomic Mouse - Silent Click - Works on Almost Any Surface - Long Battery Life - Black | ASIN: B00Y34D7E0] Easy Plug and Play setup and very comfortable to use for long hours.</x:v>
      </x:c>
      <x:c r="J6" s="101" t="n">
        <x:v>0</x:v>
      </x:c>
      <x:c r="K6" s="92" t="str">
        <x:v>Human_Reviewer_01</x:v>
      </x:c>
      <x:c r="L6" s="92" t="str">
        <x:v>High</x:v>
      </x:c>
      <x:c r="M6" s="93" t="str">
        <x:v>This is a mouse, not earbuds.</x:v>
      </x:c>
      <x:c r="N6" s="94"/>
      <x:c r="O6" s="94"/>
      <x:c r="P6" s="94"/>
      <x:c r="Q6" s="95"/>
      <x:c r="R6" s="96"/>
      <x:c r="S6" s="96"/>
      <x:c r="T6" s="97"/>
      <x:c r="U6" s="98" t="str">
        <x:f>IF(OR(J6="",N6=""),"",IF(J6=N6,"No","Yes"))</x:f>
      </x:c>
      <x:c r="V6" s="98" t="n">
        <x:v>0</x:v>
      </x:c>
    </x:row>
    <x:row r="7" ht="54" hidden="0" customHeight="1">
      <x:c r="A7" s="38" t="str">
        <x:v>Q001::B017KE8N0M_review_4209392</x:v>
      </x:c>
      <x:c r="B7" s="38" t="str">
        <x:v>Q001</x:v>
      </x:c>
      <x:c r="C7" s="91" t="str">
        <x:v>Which wireless earbuds have long battery life and stay comfortable during long flights?</x:v>
      </x:c>
      <x:c r="D7" s="38" t="n">
        <x:v>6</x:v>
      </x:c>
      <x:c r="E7" s="38" t="str">
        <x:v>B017KE8N0M</x:v>
      </x:c>
      <x:c r="F7" s="38" t="str">
        <x:v>review</x:v>
      </x:c>
      <x:c r="G7" s="38" t="str">
        <x:v>battery life</x:v>
      </x:c>
      <x:c r="H7" s="38" t="str">
        <x:v>Cell Phones &amp; Accessories</x:v>
      </x:c>
      <x:c r="I7" s="91" t="str">
        <x:v>[Product: Samsung Level On PRO Wireless Noise Cancelling Headphones with Microphone and UHQ Audio, Black | ASIN: B017KE8N0M] I charged these fully the day before leaving, used the ANC ON entire flight, plugged in to inflight entertainment and maybe 5hrs using Bluetooth on my phone while listening to music. Battery power was great to last entire flight and back.</x:v>
      </x:c>
      <x:c r="J7" s="101" t="n">
        <x:v>0</x:v>
      </x:c>
      <x:c r="K7" s="92" t="str">
        <x:v>Human_Reviewer_01</x:v>
      </x:c>
      <x:c r="L7" s="92" t="str">
        <x:v>High</x:v>
      </x:c>
      <x:c r="M7" s="93" t="str">
        <x:v>The product is headphones rather than in-ear earbuds.</x:v>
      </x:c>
      <x:c r="N7" s="94"/>
      <x:c r="O7" s="94"/>
      <x:c r="P7" s="94"/>
      <x:c r="Q7" s="95"/>
      <x:c r="R7" s="96"/>
      <x:c r="S7" s="96"/>
      <x:c r="T7" s="97"/>
      <x:c r="U7" s="98" t="str">
        <x:f>IF(OR(J7="",N7=""),"",IF(J7=N7,"No","Yes"))</x:f>
      </x:c>
      <x:c r="V7" s="98" t="n">
        <x:v>0</x:v>
      </x:c>
    </x:row>
    <x:row r="8" ht="54" hidden="0" customHeight="1">
      <x:c r="A8" s="38" t="str">
        <x:v>Q001::B09DSXD2SL_review_3033097</x:v>
      </x:c>
      <x:c r="B8" s="38" t="str">
        <x:v>Q001</x:v>
      </x:c>
      <x:c r="C8" s="91" t="str">
        <x:v>Which wireless earbuds have long battery life and stay comfortable during long flights?</x:v>
      </x:c>
      <x:c r="D8" s="38" t="n">
        <x:v>7</x:v>
      </x:c>
      <x:c r="E8" s="38" t="str">
        <x:v>B09DSXD2SL</x:v>
      </x:c>
      <x:c r="F8" s="38" t="str">
        <x:v>review</x:v>
      </x:c>
      <x:c r="G8" s="38" t="str">
        <x:v>battery life</x:v>
      </x:c>
      <x:c r="H8" s="38" t="str">
        <x:v>Cell Phones &amp; Accessories</x:v>
      </x:c>
      <x:c r="I8" s="91" t="str">
        <x:v>[Product: WYZE Earbuds Pro, 40 dB Active Noise Cancelling Wireless Earbuds, 6 Voice-Isolating Mics ANC Bluetooth Headphones, Bluetooth 5.0 Wireless Charging Alexa Built-in True Wireless Earbuds | ASIN: B09DSXD2SL] but I just wish they had a longer battery life. I have also had the habit of using my right earbud all the time and have noticed that the battery has noticeably degraded, so now my right earbud always runs out of battery first.&lt;br /&gt;Other than the battery thing these are great.</x:v>
      </x:c>
      <x:c r="J8" s="101" t="n">
        <x:v>2</x:v>
      </x:c>
      <x:c r="K8" s="92" t="str">
        <x:v>Human_Reviewer_01</x:v>
      </x:c>
      <x:c r="L8" s="92" t="str">
        <x:v>High</x:v>
      </x:c>
      <x:c r="M8" s="93" t="str">
        <x:v>Wireless earbuds show short battery life and degradation of one earbud.</x:v>
      </x:c>
      <x:c r="N8" s="94"/>
      <x:c r="O8" s="94"/>
      <x:c r="P8" s="94"/>
      <x:c r="Q8" s="95"/>
      <x:c r="R8" s="96"/>
      <x:c r="S8" s="96"/>
      <x:c r="T8" s="97"/>
      <x:c r="U8" s="98" t="str">
        <x:f>IF(OR(J8="",N8=""),"",IF(J8=N8,"No","Yes"))</x:f>
      </x:c>
      <x:c r="V8" s="98" t="n">
        <x:v>2</x:v>
      </x:c>
    </x:row>
    <x:row r="9" ht="54" hidden="0" customHeight="1">
      <x:c r="A9" s="38" t="str">
        <x:v>Q001::B089B6SHZK_review_2454274</x:v>
      </x:c>
      <x:c r="B9" s="38" t="str">
        <x:v>Q001</x:v>
      </x:c>
      <x:c r="C9" s="91" t="str">
        <x:v>Which wireless earbuds have long battery life and stay comfortable during long flights?</x:v>
      </x:c>
      <x:c r="D9" s="38" t="n">
        <x:v>8</x:v>
      </x:c>
      <x:c r="E9" s="38" t="str">
        <x:v>B089B6SHZK</x:v>
      </x:c>
      <x:c r="F9" s="38" t="str">
        <x:v>review</x:v>
      </x:c>
      <x:c r="G9" s="38" t="str">
        <x:v>battery life</x:v>
      </x:c>
      <x:c r="H9" s="38" t="str">
        <x:v>Cell Phones &amp; Accessories</x:v>
      </x:c>
      <x:c r="I9" s="91" t="str">
        <x:v>[Product: Jabra Elite 25h Wireless Bluetooth Headphones, Titanium Black – Long Battery Life, Ultra-Light and Comfortable Wireless Headphones, 3.5 mm Jack Connector Included | ASIN: B089B6SHZK] They have a nice long battery life, are comfortable to wear, and my daughters use them every day.</x:v>
      </x:c>
      <x:c r="J9" s="101" t="n">
        <x:v>0</x:v>
      </x:c>
      <x:c r="K9" s="92" t="str">
        <x:v>Human_Reviewer_01</x:v>
      </x:c>
      <x:c r="L9" s="92" t="str">
        <x:v>High</x:v>
      </x:c>
      <x:c r="M9" s="93" t="str">
        <x:v>The product is headphones, with no in-ear or earbud identification.</x:v>
      </x:c>
      <x:c r="N9" s="94"/>
      <x:c r="O9" s="94"/>
      <x:c r="P9" s="94"/>
      <x:c r="Q9" s="95"/>
      <x:c r="R9" s="96"/>
      <x:c r="S9" s="96"/>
      <x:c r="T9" s="97"/>
      <x:c r="U9" s="98" t="str">
        <x:f>IF(OR(J9="",N9=""),"",IF(J9=N9,"No","Yes"))</x:f>
      </x:c>
      <x:c r="V9" s="98" t="n">
        <x:v>0</x:v>
      </x:c>
    </x:row>
    <x:row r="10" ht="54" hidden="0" customHeight="1">
      <x:c r="A10" s="38" t="str">
        <x:v>Q001::B01E524URC_review_1566490</x:v>
      </x:c>
      <x:c r="B10" s="38" t="str">
        <x:v>Q001</x:v>
      </x:c>
      <x:c r="C10" s="91" t="str">
        <x:v>Which wireless earbuds have long battery life and stay comfortable during long flights?</x:v>
      </x:c>
      <x:c r="D10" s="38" t="n">
        <x:v>9</x:v>
      </x:c>
      <x:c r="E10" s="38" t="str">
        <x:v>B01E524URC</x:v>
      </x:c>
      <x:c r="F10" s="38" t="str">
        <x:v>review</x:v>
      </x:c>
      <x:c r="G10" s="38" t="str">
        <x:v>battery life</x:v>
      </x:c>
      <x:c r="H10" s="38" t="str">
        <x:v>Cell Phones &amp; Accessories</x:v>
      </x:c>
      <x:c r="I10" s="91" t="str">
        <x:v>[Product: FIIL Bluetooth Headphones, Wireless 4.1 Magnetic Earbuds In-Ear Stereo Earphones Running headsets,IPX4 Sweatproof Secure Fit for Sports with Built-in Noise Cancelling Mic (Red) | ASIN: B01E524URC] They are very comfortable and have a long battery life.</x:v>
      </x:c>
      <x:c r="J10" s="101" t="n">
        <x:v>2</x:v>
      </x:c>
      <x:c r="K10" s="92" t="str">
        <x:v>Human_Reviewer_01</x:v>
      </x:c>
      <x:c r="L10" s="92" t="str">
        <x:v>High</x:v>
      </x:c>
      <x:c r="M10" s="93" t="str">
        <x:v>Wireless in-ear earbuds are explicitly comfortable and have long battery life.</x:v>
      </x:c>
      <x:c r="N10" s="94"/>
      <x:c r="O10" s="94"/>
      <x:c r="P10" s="94"/>
      <x:c r="Q10" s="95"/>
      <x:c r="R10" s="96"/>
      <x:c r="S10" s="96"/>
      <x:c r="T10" s="97"/>
      <x:c r="U10" s="98" t="str">
        <x:f>IF(OR(J10="",N10=""),"",IF(J10=N10,"No","Yes"))</x:f>
      </x:c>
      <x:c r="V10" s="98" t="n">
        <x:v>2</x:v>
      </x:c>
    </x:row>
    <x:row r="11" ht="54" hidden="0" customHeight="1">
      <x:c r="A11" s="38" t="str">
        <x:v>Q001::B079MHVV13_review_2251906</x:v>
      </x:c>
      <x:c r="B11" s="38" t="str">
        <x:v>Q001</x:v>
      </x:c>
      <x:c r="C11" s="91" t="str">
        <x:v>Which wireless earbuds have long battery life and stay comfortable during long flights?</x:v>
      </x:c>
      <x:c r="D11" s="38" t="n">
        <x:v>10</x:v>
      </x:c>
      <x:c r="E11" s="38" t="str">
        <x:v>B079MHVV13</x:v>
      </x:c>
      <x:c r="F11" s="38" t="str">
        <x:v>review</x:v>
      </x:c>
      <x:c r="G11" s="38" t="str">
        <x:v>battery life</x:v>
      </x:c>
      <x:c r="H11" s="38" t="str">
        <x:v>Cell Phones &amp; Accessories</x:v>
      </x:c>
      <x:c r="I11" s="91" t="str">
        <x:v>[Product: Motorola Boom 2 Wireless Headset (MH003) (Renewed) | ASIN: B079MHVV13] lightweight comfortable long battery life</x:v>
      </x:c>
      <x:c r="J11" s="101" t="n">
        <x:v>0</x:v>
      </x:c>
      <x:c r="K11" s="92" t="str">
        <x:v>Human_Reviewer_01</x:v>
      </x:c>
      <x:c r="L11" s="92" t="str">
        <x:v>High</x:v>
      </x:c>
      <x:c r="M11" s="93" t="str">
        <x:v>A wireless headset is not established as a pair of earbuds.</x:v>
      </x:c>
      <x:c r="N11" s="94"/>
      <x:c r="O11" s="94"/>
      <x:c r="P11" s="94"/>
      <x:c r="Q11" s="95"/>
      <x:c r="R11" s="96"/>
      <x:c r="S11" s="96"/>
      <x:c r="T11" s="97"/>
      <x:c r="U11" s="98" t="str">
        <x:f>IF(OR(J11="",N11=""),"",IF(J11=N11,"No","Yes"))</x:f>
      </x:c>
      <x:c r="V11" s="98" t="n">
        <x:v>0</x:v>
      </x:c>
    </x:row>
    <x:row r="12" ht="54" hidden="0" customHeight="1">
      <x:c r="A12" s="38" t="str">
        <x:v>Q001::B0796Q4RYB_review_211749</x:v>
      </x:c>
      <x:c r="B12" s="38" t="str">
        <x:v>Q001</x:v>
      </x:c>
      <x:c r="C12" s="91" t="str">
        <x:v>Which wireless earbuds have long battery life and stay comfortable during long flights?</x:v>
      </x:c>
      <x:c r="D12" s="38" t="n">
        <x:v>11</x:v>
      </x:c>
      <x:c r="E12" s="38" t="str">
        <x:v>B0796Q4RYB</x:v>
      </x:c>
      <x:c r="F12" s="38" t="str">
        <x:v>review</x:v>
      </x:c>
      <x:c r="G12" s="38" t="str">
        <x:v>battery life</x:v>
      </x:c>
      <x:c r="H12" s="38" t="str">
        <x:v>Cell Phones &amp; Accessories</x:v>
      </x:c>
      <x:c r="I12" s="91" t="str">
        <x:v>[Product: Wireless in-Ear Headphones, Bluetooth Headphones, Neckband Sports Bluetooth Headsets Lightweight Magnetic Earbuds for Running Workout Gym(Bluetooth 4.1, 10 Hour Battery, Noise Cancelling,Sweatproof) | ASIN: B0796Q4RYB] great sound quality and long battery life</x:v>
      </x:c>
      <x:c r="J12" s="101" t="n">
        <x:v>2</x:v>
      </x:c>
      <x:c r="K12" s="92" t="str">
        <x:v>Human_Reviewer_01</x:v>
      </x:c>
      <x:c r="L12" s="92" t="str">
        <x:v>High</x:v>
      </x:c>
      <x:c r="M12" s="93" t="str">
        <x:v>Wireless in-ear earbuds have a ten-hour battery claim and positive endurance testimony.</x:v>
      </x:c>
      <x:c r="N12" s="94"/>
      <x:c r="O12" s="94"/>
      <x:c r="P12" s="94"/>
      <x:c r="Q12" s="95"/>
      <x:c r="R12" s="96"/>
      <x:c r="S12" s="96"/>
      <x:c r="T12" s="97"/>
      <x:c r="U12" s="98" t="str">
        <x:f>IF(OR(J12="",N12=""),"",IF(J12=N12,"No","Yes"))</x:f>
      </x:c>
      <x:c r="V12" s="98" t="n">
        <x:v>2</x:v>
      </x:c>
    </x:row>
    <x:row r="13" ht="54" hidden="0" customHeight="1">
      <x:c r="A13" s="38" t="str">
        <x:v>Q001::B09QZP8183_review_769368</x:v>
      </x:c>
      <x:c r="B13" s="38" t="str">
        <x:v>Q001</x:v>
      </x:c>
      <x:c r="C13" s="91" t="str">
        <x:v>Which wireless earbuds have long battery life and stay comfortable during long flights?</x:v>
      </x:c>
      <x:c r="D13" s="38" t="n">
        <x:v>12</x:v>
      </x:c>
      <x:c r="E13" s="38" t="str">
        <x:v>B09QZP8183</x:v>
      </x:c>
      <x:c r="F13" s="38" t="str">
        <x:v>review</x:v>
      </x:c>
      <x:c r="G13" s="38" t="str">
        <x:v>battery life</x:v>
      </x:c>
      <x:c r="H13" s="38" t="str">
        <x:v>Cell Phones &amp; Accessories</x:v>
      </x:c>
      <x:c r="I13" s="91" t="str">
        <x:v>[Product: atune analog Wireless Earbuds, Bluetooth 5.0 with USB Charging Case, Comfortable Wear Easy Setup Pair, True Wireless Earbuds 33FT Built-in Mic Call For iPhone Android Phones | ASIN: B09QZP8183] Worked great and long battery life. I love the storage charging case.</x:v>
      </x:c>
      <x:c r="J13" s="101" t="n">
        <x:v>2</x:v>
      </x:c>
      <x:c r="K13" s="92" t="str">
        <x:v>Human_Reviewer_01</x:v>
      </x:c>
      <x:c r="L13" s="92" t="str">
        <x:v>High</x:v>
      </x:c>
      <x:c r="M13" s="93" t="str">
        <x:v>True wireless earbuds have a direct long-battery-life observation.</x:v>
      </x:c>
      <x:c r="N13" s="94"/>
      <x:c r="O13" s="94"/>
      <x:c r="P13" s="94"/>
      <x:c r="Q13" s="95"/>
      <x:c r="R13" s="96"/>
      <x:c r="S13" s="96"/>
      <x:c r="T13" s="97"/>
      <x:c r="U13" s="98" t="str">
        <x:f>IF(OR(J13="",N13=""),"",IF(J13=N13,"No","Yes"))</x:f>
      </x:c>
      <x:c r="V13" s="98" t="n">
        <x:v>2</x:v>
      </x:c>
    </x:row>
    <x:row r="14" ht="54" hidden="0" customHeight="1">
      <x:c r="A14" s="38" t="str">
        <x:v>Q001::B072HKMXWL_review_4110971</x:v>
      </x:c>
      <x:c r="B14" s="38" t="str">
        <x:v>Q001</x:v>
      </x:c>
      <x:c r="C14" s="91" t="str">
        <x:v>Which wireless earbuds have long battery life and stay comfortable during long flights?</x:v>
      </x:c>
      <x:c r="D14" s="38" t="n">
        <x:v>13</x:v>
      </x:c>
      <x:c r="E14" s="38" t="str">
        <x:v>B072HKMXWL</x:v>
      </x:c>
      <x:c r="F14" s="38" t="str">
        <x:v>review</x:v>
      </x:c>
      <x:c r="G14" s="38" t="str">
        <x:v>battery life</x:v>
      </x:c>
      <x:c r="H14" s="38" t="str">
        <x:v>Cell Phones &amp; Accessories</x:v>
      </x:c>
      <x:c r="I14" s="91" t="str">
        <x:v>[Product: Braven Flye Sport Bluetooth Earbuds - Grey / Red | ASIN: B072HKMXWL] Long battery life.</x:v>
      </x:c>
      <x:c r="J14" s="101" t="n">
        <x:v>2</x:v>
      </x:c>
      <x:c r="K14" s="92" t="str">
        <x:v>Human_Reviewer_01</x:v>
      </x:c>
      <x:c r="L14" s="92" t="str">
        <x:v>High</x:v>
      </x:c>
      <x:c r="M14" s="93" t="str">
        <x:v>Bluetooth earbuds have a direct long-battery-life observation.</x:v>
      </x:c>
      <x:c r="N14" s="94"/>
      <x:c r="O14" s="94"/>
      <x:c r="P14" s="94"/>
      <x:c r="Q14" s="95"/>
      <x:c r="R14" s="96"/>
      <x:c r="S14" s="96"/>
      <x:c r="T14" s="97"/>
      <x:c r="U14" s="98" t="str">
        <x:f>IF(OR(J14="",N14=""),"",IF(J14=N14,"No","Yes"))</x:f>
      </x:c>
      <x:c r="V14" s="98" t="n">
        <x:v>2</x:v>
      </x:c>
    </x:row>
    <x:row r="15" ht="54" hidden="0" customHeight="1">
      <x:c r="A15" s="38" t="str">
        <x:v>Q001::B072HKMXWL_review_4110974</x:v>
      </x:c>
      <x:c r="B15" s="38" t="str">
        <x:v>Q001</x:v>
      </x:c>
      <x:c r="C15" s="91" t="str">
        <x:v>Which wireless earbuds have long battery life and stay comfortable during long flights?</x:v>
      </x:c>
      <x:c r="D15" s="38" t="n">
        <x:v>14</x:v>
      </x:c>
      <x:c r="E15" s="38" t="str">
        <x:v>B072HKMXWL</x:v>
      </x:c>
      <x:c r="F15" s="38" t="str">
        <x:v>review</x:v>
      </x:c>
      <x:c r="G15" s="38" t="str">
        <x:v>general</x:v>
      </x:c>
      <x:c r="H15" s="38" t="str">
        <x:v>Cell Phones &amp; Accessories</x:v>
      </x:c>
      <x:c r="I15" s="91" t="str">
        <x:v>[Product: Braven Flye Sport Bluetooth Earbuds - Grey / Red | ASIN: B072HKMXWL] These are the only earbuds I have gotten that reliably last 10 hours or more.</x:v>
      </x:c>
      <x:c r="J15" s="101" t="n">
        <x:v>2</x:v>
      </x:c>
      <x:c r="K15" s="92" t="str">
        <x:v>Human_Reviewer_01</x:v>
      </x:c>
      <x:c r="L15" s="92" t="str">
        <x:v>High</x:v>
      </x:c>
      <x:c r="M15" s="93" t="str">
        <x:v>Bluetooth earbuds are reported to last ten hours or more.</x:v>
      </x:c>
      <x:c r="N15" s="94"/>
      <x:c r="O15" s="94"/>
      <x:c r="P15" s="94"/>
      <x:c r="Q15" s="95"/>
      <x:c r="R15" s="96"/>
      <x:c r="S15" s="96"/>
      <x:c r="T15" s="97"/>
      <x:c r="U15" s="98" t="str">
        <x:f>IF(OR(J15="",N15=""),"",IF(J15=N15,"No","Yes"))</x:f>
      </x:c>
      <x:c r="V15" s="98" t="n">
        <x:v>2</x:v>
      </x:c>
    </x:row>
    <x:row r="16" ht="54" hidden="0" customHeight="1">
      <x:c r="A16" s="38" t="str">
        <x:v>Q001::B07FDWF5FQ_review_910806</x:v>
      </x:c>
      <x:c r="B16" s="38" t="str">
        <x:v>Q001</x:v>
      </x:c>
      <x:c r="C16" s="91" t="str">
        <x:v>Which wireless earbuds have long battery life and stay comfortable during long flights?</x:v>
      </x:c>
      <x:c r="D16" s="38" t="n">
        <x:v>15</x:v>
      </x:c>
      <x:c r="E16" s="38" t="str">
        <x:v>B07FDWF5FQ</x:v>
      </x:c>
      <x:c r="F16" s="38" t="str">
        <x:v>review</x:v>
      </x:c>
      <x:c r="G16" s="38" t="str">
        <x:v>price/value</x:v>
      </x:c>
      <x:c r="H16" s="38" t="str">
        <x:v>Cell Phones &amp; Accessories</x:v>
      </x:c>
      <x:c r="I16" s="91" t="str">
        <x:v>[Product: Wireless Earbuds, Otium True Bluetooth in-Ear Headphones Wireless Earphones Has Latest Bluetooth 5.0 Built-in Mic Deep Bass Sound Sweat Proof Designed for Running Gym | ASIN: B07FDWF5FQ] I have not tried these on a plane yet, but they are much better than my similarly priced skullcandy bluetooth headphones.&lt;br /&gt;-Charging case&lt;br /&gt;-When they work for phone calls, the other person can hear me clearly&lt;br /&gt;&lt;br /&gt;Cons</x:v>
      </x:c>
      <x:c r="J16" s="101" t="n">
        <x:v>1</x:v>
      </x:c>
      <x:c r="K16" s="92" t="str">
        <x:v>Human_Reviewer_01</x:v>
      </x:c>
      <x:c r="L16" s="92" t="str">
        <x:v>Medium</x:v>
      </x:c>
      <x:c r="M16" s="93" t="str">
        <x:v>Correct wireless earbuds, but no battery or wearing-comfort observation; flight use is untested.</x:v>
      </x:c>
      <x:c r="N16" s="94"/>
      <x:c r="O16" s="94"/>
      <x:c r="P16" s="94"/>
      <x:c r="Q16" s="95"/>
      <x:c r="R16" s="96"/>
      <x:c r="S16" s="96"/>
      <x:c r="T16" s="97"/>
      <x:c r="U16" s="98" t="str">
        <x:f>IF(OR(J16="",N16=""),"",IF(J16=N16,"No","Yes"))</x:f>
      </x:c>
      <x:c r="V16" s="98" t="n">
        <x:v>1</x:v>
      </x:c>
    </x:row>
    <x:row r="17" ht="54" hidden="0" customHeight="1">
      <x:c r="A17" s="38" t="str">
        <x:v>Q001::B074P3CP33_review_1252207</x:v>
      </x:c>
      <x:c r="B17" s="38" t="str">
        <x:v>Q001</x:v>
      </x:c>
      <x:c r="C17" s="91" t="str">
        <x:v>Which wireless earbuds have long battery life and stay comfortable during long flights?</x:v>
      </x:c>
      <x:c r="D17" s="38" t="n">
        <x:v>16</x:v>
      </x:c>
      <x:c r="E17" s="38" t="str">
        <x:v>B074P3CP33</x:v>
      </x:c>
      <x:c r="F17" s="38" t="str">
        <x:v>review</x:v>
      </x:c>
      <x:c r="G17" s="38" t="str">
        <x:v>battery life</x:v>
      </x:c>
      <x:c r="H17" s="38" t="str">
        <x:v>Cell Phones &amp; Accessories</x:v>
      </x:c>
      <x:c r="I17" s="91" t="str">
        <x:v>[Product: SoundPEATS Air3 Wireless Earbuds with 14.2mm Driver, Bluetooth V5.2 Earbuds with QCC3040 and aptX-Adaptive, Wireless Earphones with Four Mic and CVC 8.0, Game Mode and In-Ear Detection, Total 17.5 Hrs | ASIN: B074P3CP33] Battery life is also amazing I work as an electrician by myself most days so I stream music all day long and these will last 6 hours with a charge time of around an hour. So most days they last listening to music all day long without a charge.</x:v>
      </x:c>
      <x:c r="J17" s="101" t="n">
        <x:v>2</x:v>
      </x:c>
      <x:c r="K17" s="92" t="str">
        <x:v>Human_Reviewer_01</x:v>
      </x:c>
      <x:c r="L17" s="92" t="str">
        <x:v>High</x:v>
      </x:c>
      <x:c r="M17" s="93" t="str">
        <x:v>Wireless earbuds last six hours per charge during sustained music use.</x:v>
      </x:c>
      <x:c r="N17" s="94"/>
      <x:c r="O17" s="94"/>
      <x:c r="P17" s="94"/>
      <x:c r="Q17" s="95"/>
      <x:c r="R17" s="96"/>
      <x:c r="S17" s="96"/>
      <x:c r="T17" s="97"/>
      <x:c r="U17" s="98" t="str">
        <x:f>IF(OR(J17="",N17=""),"",IF(J17=N17,"No","Yes"))</x:f>
      </x:c>
      <x:c r="V17" s="98" t="n">
        <x:v>2</x:v>
      </x:c>
    </x:row>
    <x:row r="18" ht="54" hidden="0" customHeight="1">
      <x:c r="A18" s="38" t="str">
        <x:v>Q001::B084VZNP4K_review_1925158</x:v>
      </x:c>
      <x:c r="B18" s="38" t="str">
        <x:v>Q001</x:v>
      </x:c>
      <x:c r="C18" s="91" t="str">
        <x:v>Which wireless earbuds have long battery life and stay comfortable during long flights?</x:v>
      </x:c>
      <x:c r="D18" s="38" t="n">
        <x:v>17</x:v>
      </x:c>
      <x:c r="E18" s="38" t="str">
        <x:v>B084VZNP4K</x:v>
      </x:c>
      <x:c r="F18" s="38" t="str">
        <x:v>review</x:v>
      </x:c>
      <x:c r="G18" s="38" t="str">
        <x:v>price/value</x:v>
      </x:c>
      <x:c r="H18" s="38" t="str">
        <x:v>Cell Phones &amp; Accessories</x:v>
      </x:c>
      <x:c r="I18" s="91" t="str">
        <x:v>[Product: SMPL. True Wireless Bluetooth Earbuds, Bluetooth 5.0 Headphones with 15 Hours Playtime, One-Step Pairing, Touch Control, Wireless Earbuds Stereo Sounds, Built-in Mic - Black | ASIN: B084VZNP4K] Still, not a bad value and a good price. Otherwise, work great, pair, and have a long battery life at a fair price of $43 for truly wireless earbuds that fit my ears.</x:v>
      </x:c>
      <x:c r="J18" s="101" t="n">
        <x:v>2</x:v>
      </x:c>
      <x:c r="K18" s="92" t="str">
        <x:v>Human_Reviewer_01</x:v>
      </x:c>
      <x:c r="L18" s="92" t="str">
        <x:v>High</x:v>
      </x:c>
      <x:c r="M18" s="93" t="str">
        <x:v>True wireless earbuds have long battery life and fit the reviewer's ears.</x:v>
      </x:c>
      <x:c r="N18" s="94"/>
      <x:c r="O18" s="94"/>
      <x:c r="P18" s="94"/>
      <x:c r="Q18" s="95"/>
      <x:c r="R18" s="96"/>
      <x:c r="S18" s="96"/>
      <x:c r="T18" s="97"/>
      <x:c r="U18" s="98" t="str">
        <x:f>IF(OR(J18="",N18=""),"",IF(J18=N18,"No","Yes"))</x:f>
      </x:c>
      <x:c r="V18" s="98" t="n">
        <x:v>2</x:v>
      </x:c>
    </x:row>
    <x:row r="19" ht="54" hidden="0" customHeight="1">
      <x:c r="A19" s="38" t="str">
        <x:v>Q001::B07XB9WK8K_review_59817</x:v>
      </x:c>
      <x:c r="B19" s="38" t="str">
        <x:v>Q001</x:v>
      </x:c>
      <x:c r="C19" s="91" t="str">
        <x:v>Which wireless earbuds have long battery life and stay comfortable during long flights?</x:v>
      </x:c>
      <x:c r="D19" s="38" t="n">
        <x:v>18</x:v>
      </x:c>
      <x:c r="E19" s="38" t="str">
        <x:v>B07XB9WK8K</x:v>
      </x:c>
      <x:c r="F19" s="38" t="str">
        <x:v>review</x:v>
      </x:c>
      <x:c r="G19" s="38" t="str">
        <x:v>battery life</x:v>
      </x:c>
      <x:c r="H19" s="38" t="str">
        <x:v>Cell Phones &amp; Accessories</x:v>
      </x:c>
      <x:c r="I19" s="91" t="str">
        <x:v>[Product: Anker SoundBuds Life Bluetooth Wireless in-Ear Earbuds Lightweight Neckband Earbud Headphones, IPX5 Water Resistant Headset with Built-in Microphone, Black (Renewed) | ASIN: B07XB9WK8K] super comfy and long battery life makes this my go to make/model</x:v>
      </x:c>
      <x:c r="J19" s="101" t="n">
        <x:v>2</x:v>
      </x:c>
      <x:c r="K19" s="92" t="str">
        <x:v>Human_Reviewer_01</x:v>
      </x:c>
      <x:c r="L19" s="92" t="str">
        <x:v>High</x:v>
      </x:c>
      <x:c r="M19" s="93" t="str">
        <x:v>Wireless in-ear earbuds are explicitly comfortable with long battery life.</x:v>
      </x:c>
      <x:c r="N19" s="94"/>
      <x:c r="O19" s="94"/>
      <x:c r="P19" s="94"/>
      <x:c r="Q19" s="95"/>
      <x:c r="R19" s="96"/>
      <x:c r="S19" s="96"/>
      <x:c r="T19" s="97"/>
      <x:c r="U19" s="98" t="str">
        <x:f>IF(OR(J19="",N19=""),"",IF(J19=N19,"No","Yes"))</x:f>
      </x:c>
      <x:c r="V19" s="98" t="n">
        <x:v>2</x:v>
      </x:c>
    </x:row>
    <x:row r="20" ht="54" hidden="0" customHeight="1">
      <x:c r="A20" s="38" t="str">
        <x:v>Q001::B08K9YT25X_review_4179284</x:v>
      </x:c>
      <x:c r="B20" s="38" t="str">
        <x:v>Q001</x:v>
      </x:c>
      <x:c r="C20" s="91" t="str">
        <x:v>Which wireless earbuds have long battery life and stay comfortable during long flights?</x:v>
      </x:c>
      <x:c r="D20" s="38" t="n">
        <x:v>19</x:v>
      </x:c>
      <x:c r="E20" s="38" t="str">
        <x:v>B08K9YT25X</x:v>
      </x:c>
      <x:c r="F20" s="38" t="str">
        <x:v>review</x:v>
      </x:c>
      <x:c r="G20" s="38" t="str">
        <x:v>price/value</x:v>
      </x:c>
      <x:c r="H20" s="38" t="str">
        <x:v>Cell Phones &amp; Accessories</x:v>
      </x:c>
      <x:c r="I20" s="91" t="str">
        <x:v>[Product: OnePlus Buds Z - True Wireless in-Ear Earbuds with Charging Case, White – Fast Charging, Deep Bass, Comfortable and Lightweight, IP55,Glossy White | ASIN: B08K9YT25X] /&gt;If you want excellent sound quality for the price + long battery life and comfort.</x:v>
      </x:c>
      <x:c r="J20" s="101" t="n">
        <x:v>2</x:v>
      </x:c>
      <x:c r="K20" s="92" t="str">
        <x:v>Human_Reviewer_01</x:v>
      </x:c>
      <x:c r="L20" s="92" t="str">
        <x:v>High</x:v>
      </x:c>
      <x:c r="M20" s="93" t="str">
        <x:v>True wireless earbuds directly address battery endurance and comfort.</x:v>
      </x:c>
      <x:c r="N20" s="94"/>
      <x:c r="O20" s="94"/>
      <x:c r="P20" s="94"/>
      <x:c r="Q20" s="95"/>
      <x:c r="R20" s="96"/>
      <x:c r="S20" s="96"/>
      <x:c r="T20" s="97"/>
      <x:c r="U20" s="98" t="str">
        <x:f>IF(OR(J20="",N20=""),"",IF(J20=N20,"No","Yes"))</x:f>
      </x:c>
      <x:c r="V20" s="98" t="n">
        <x:v>2</x:v>
      </x:c>
    </x:row>
    <x:row r="21" ht="54" hidden="0" customHeight="1">
      <x:c r="A21" s="38" t="str">
        <x:v>Q001::B00Y34D7E0_review_2504270</x:v>
      </x:c>
      <x:c r="B21" s="38" t="str">
        <x:v>Q001</x:v>
      </x:c>
      <x:c r="C21" s="91" t="str">
        <x:v>Which wireless earbuds have long battery life and stay comfortable during long flights?</x:v>
      </x:c>
      <x:c r="D21" s="38" t="n">
        <x:v>20</x:v>
      </x:c>
      <x:c r="E21" s="38" t="str">
        <x:v>B00Y34D7E0</x:v>
      </x:c>
      <x:c r="F21" s="38" t="str">
        <x:v>review</x:v>
      </x:c>
      <x:c r="G21" s="38" t="str">
        <x:v>ease of use</x:v>
      </x:c>
      <x:c r="H21" s="38" t="str">
        <x:v>Computers</x:v>
      </x:c>
      <x:c r="I21" s="91" t="str">
        <x:v>[Product: Perixx PERIMICE-716B, Wireless Ergonomic Mouse - Silent Click - Works on Almost Any Surface - Long Battery Life - Black | ASIN: B00Y34D7E0] Comfortable and easy to use.</x:v>
      </x:c>
      <x:c r="J21" s="101" t="n">
        <x:v>0</x:v>
      </x:c>
      <x:c r="K21" s="92" t="str">
        <x:v>Human_Reviewer_01</x:v>
      </x:c>
      <x:c r="L21" s="92" t="str">
        <x:v>High</x:v>
      </x:c>
      <x:c r="M21" s="93" t="str">
        <x:v>This is a mouse, not earbuds.</x:v>
      </x:c>
      <x:c r="N21" s="94"/>
      <x:c r="O21" s="94"/>
      <x:c r="P21" s="94"/>
      <x:c r="Q21" s="95"/>
      <x:c r="R21" s="96"/>
      <x:c r="S21" s="96"/>
      <x:c r="T21" s="97"/>
      <x:c r="U21" s="98" t="str">
        <x:f>IF(OR(J21="",N21=""),"",IF(J21=N21,"No","Yes"))</x:f>
      </x:c>
      <x:c r="V21" s="98" t="n">
        <x:v>0</x:v>
      </x:c>
    </x:row>
    <x:row r="22" ht="54" hidden="0" customHeight="1">
      <x:c r="A22" s="38" t="str">
        <x:v>Q001::B08K9YT25X_review_4179258</x:v>
      </x:c>
      <x:c r="B22" s="38" t="str">
        <x:v>Q001</x:v>
      </x:c>
      <x:c r="C22" s="91" t="str">
        <x:v>Which wireless earbuds have long battery life and stay comfortable during long flights?</x:v>
      </x:c>
      <x:c r="D22" s="38" t="n">
        <x:v>21</x:v>
      </x:c>
      <x:c r="E22" s="38" t="str">
        <x:v>B08K9YT25X</x:v>
      </x:c>
      <x:c r="F22" s="38" t="str">
        <x:v>review</x:v>
      </x:c>
      <x:c r="G22" s="38" t="str">
        <x:v>battery life</x:v>
      </x:c>
      <x:c r="H22" s="38" t="str">
        <x:v>Cell Phones &amp; Accessories</x:v>
      </x:c>
      <x:c r="I22" s="91" t="str">
        <x:v>[Product: OnePlus Buds Z - True Wireless in-Ear Earbuds with Charging Case, White – Fast Charging, Deep Bass, Comfortable and Lightweight, IP55,Glossy White | ASIN: B08K9YT25X] Long battery life.&lt;br /&gt;- The case does not have the wireless charging option. But it holds charge for a long time, so I did not find it to be a major issue.</x:v>
      </x:c>
      <x:c r="J22" s="101" t="n">
        <x:v>2</x:v>
      </x:c>
      <x:c r="K22" s="92" t="str">
        <x:v>Human_Reviewer_01</x:v>
      </x:c>
      <x:c r="L22" s="92" t="str">
        <x:v>High</x:v>
      </x:c>
      <x:c r="M22" s="93" t="str">
        <x:v>True wireless earbuds have long battery life; the charging case also holds charge.</x:v>
      </x:c>
      <x:c r="N22" s="94"/>
      <x:c r="O22" s="94"/>
      <x:c r="P22" s="94"/>
      <x:c r="Q22" s="95"/>
      <x:c r="R22" s="96"/>
      <x:c r="S22" s="96"/>
      <x:c r="T22" s="97"/>
      <x:c r="U22" s="98" t="str">
        <x:f>IF(OR(J22="",N22=""),"",IF(J22=N22,"No","Yes"))</x:f>
      </x:c>
      <x:c r="V22" s="98" t="n">
        <x:v>2</x:v>
      </x:c>
    </x:row>
    <x:row r="23" ht="54" hidden="0" customHeight="1">
      <x:c r="A23" s="38" t="str">
        <x:v>Q001::B000H3Z2KS_review_2392999</x:v>
      </x:c>
      <x:c r="B23" s="38" t="str">
        <x:v>Q001</x:v>
      </x:c>
      <x:c r="C23" s="91" t="str">
        <x:v>Which wireless earbuds have long battery life and stay comfortable during long flights?</x:v>
      </x:c>
      <x:c r="D23" s="38" t="n">
        <x:v>22</x:v>
      </x:c>
      <x:c r="E23" s="38" t="str">
        <x:v>B000H3Z2KS</x:v>
      </x:c>
      <x:c r="F23" s="38" t="str">
        <x:v>review</x:v>
      </x:c>
      <x:c r="G23" s="38" t="str">
        <x:v>battery life</x:v>
      </x:c>
      <x:c r="H23" s="38" t="str">
        <x:v>Cell Phones &amp; Accessories</x:v>
      </x:c>
      <x:c r="I23" s="91" t="str">
        <x:v>[Product: Sony Ericsson HBH-GV435 Bluetooth Headset | ASIN: B000H3Z2KS] It has a long battery life and is by far the most comfortable headset I have ever worn.</x:v>
      </x:c>
      <x:c r="J23" s="101" t="n">
        <x:v>0</x:v>
      </x:c>
      <x:c r="K23" s="92" t="str">
        <x:v>Human_Reviewer_01</x:v>
      </x:c>
      <x:c r="L23" s="92" t="str">
        <x:v>High</x:v>
      </x:c>
      <x:c r="M23" s="93" t="str">
        <x:v>A Bluetooth headset is not established as a pair of earbuds.</x:v>
      </x:c>
      <x:c r="N23" s="94"/>
      <x:c r="O23" s="94"/>
      <x:c r="P23" s="94"/>
      <x:c r="Q23" s="95"/>
      <x:c r="R23" s="96"/>
      <x:c r="S23" s="96"/>
      <x:c r="T23" s="97"/>
      <x:c r="U23" s="98" t="str">
        <x:f>IF(OR(J23="",N23=""),"",IF(J23=N23,"No","Yes"))</x:f>
      </x:c>
      <x:c r="V23" s="98" t="n">
        <x:v>0</x:v>
      </x:c>
    </x:row>
    <x:row r="24" ht="54" hidden="0" customHeight="1">
      <x:c r="A24" s="38" t="str">
        <x:v>Q001::B01KIIZJCC_review_774488</x:v>
      </x:c>
      <x:c r="B24" s="38" t="str">
        <x:v>Q001</x:v>
      </x:c>
      <x:c r="C24" s="91" t="str">
        <x:v>Which wireless earbuds have long battery life and stay comfortable during long flights?</x:v>
      </x:c>
      <x:c r="D24" s="38" t="n">
        <x:v>23</x:v>
      </x:c>
      <x:c r="E24" s="38" t="str">
        <x:v>B01KIIZJCC</x:v>
      </x:c>
      <x:c r="F24" s="38" t="str">
        <x:v>review</x:v>
      </x:c>
      <x:c r="G24" s="38" t="str">
        <x:v>battery life</x:v>
      </x:c>
      <x:c r="H24" s="38" t="str">
        <x:v>Cell Phones &amp; Accessories</x:v>
      </x:c>
      <x:c r="I24" s="91" t="str">
        <x:v>[Product: iFrogz Audio - Charisma Female Inspired Wireless Bluetooth Earbuds - White / Rose Gold | ASIN: B01KIIZJCC] The battery life light just blinks red and blue no matter how long I charge it!!</x:v>
      </x:c>
      <x:c r="J24" s="101" t="n">
        <x:v>1</x:v>
      </x:c>
      <x:c r="K24" s="92" t="str">
        <x:v>Human_Reviewer_01</x:v>
      </x:c>
      <x:c r="L24" s="92" t="str">
        <x:v>Medium</x:v>
      </x:c>
      <x:c r="M24" s="93" t="str">
        <x:v>Earbud charging-indicator failure is related to battery reliability, but playback endurance is absent.</x:v>
      </x:c>
      <x:c r="N24" s="94"/>
      <x:c r="O24" s="94"/>
      <x:c r="P24" s="94"/>
      <x:c r="Q24" s="95"/>
      <x:c r="R24" s="96"/>
      <x:c r="S24" s="96"/>
      <x:c r="T24" s="97"/>
      <x:c r="U24" s="98" t="str">
        <x:f>IF(OR(J24="",N24=""),"",IF(J24=N24,"No","Yes"))</x:f>
      </x:c>
      <x:c r="V24" s="98" t="n">
        <x:v>1</x:v>
      </x:c>
    </x:row>
    <x:row r="25" ht="54" hidden="0" customHeight="1">
      <x:c r="A25" s="38" t="str">
        <x:v>Q001::B08JPCMD54_review_3259625</x:v>
      </x:c>
      <x:c r="B25" s="38" t="str">
        <x:v>Q001</x:v>
      </x:c>
      <x:c r="C25" s="91" t="str">
        <x:v>Which wireless earbuds have long battery life and stay comfortable during long flights?</x:v>
      </x:c>
      <x:c r="D25" s="38" t="n">
        <x:v>24</x:v>
      </x:c>
      <x:c r="E25" s="38" t="str">
        <x:v>B08JPCMD54</x:v>
      </x:c>
      <x:c r="F25" s="38" t="str">
        <x:v>review</x:v>
      </x:c>
      <x:c r="G25" s="38" t="str">
        <x:v>battery life</x:v>
      </x:c>
      <x:c r="H25" s="38" t="str">
        <x:v>Computers</x:v>
      </x:c>
      <x:c r="I25" s="91" t="str">
        <x:v>[Product: HyperX Cloud Buds – Bluetooth Wireless Headphones, Qualcomm aptX HD, 10 Hour Battery Life, 14mm Drivers, Comfortable Silicone Ear Tips, 3 Ear Tip Sizes Included, Mesh Travel Pouch | ASIN: B08JPCMD54] The true standout feature is the long battery life. I can listen to podcasts for hours at a pretty high volume (so I can hear over my vacuum cleaner) and they will be at a 80%-60% charge at the end of the day. I use them for long periods every day and only have to charge them every few days. The cord between the buds is annoying and at times gets caught on something that makes it pull an earbud out but I will put up with that minor flaw to get longer battery life.</x:v>
      </x:c>
      <x:c r="J25" s="101" t="n">
        <x:v>2</x:v>
      </x:c>
      <x:c r="K25" s="92" t="str">
        <x:v>Human_Reviewer_01</x:v>
      </x:c>
      <x:c r="L25" s="92" t="str">
        <x:v>High</x:v>
      </x:c>
      <x:c r="M25" s="93" t="str">
        <x:v>Bluetooth earbuds support prolonged daily use and infrequent charging; cord discomfort is also described.</x:v>
      </x:c>
      <x:c r="N25" s="94"/>
      <x:c r="O25" s="94"/>
      <x:c r="P25" s="94"/>
      <x:c r="Q25" s="95"/>
      <x:c r="R25" s="96"/>
      <x:c r="S25" s="96"/>
      <x:c r="T25" s="97"/>
      <x:c r="U25" s="98" t="str">
        <x:f>IF(OR(J25="",N25=""),"",IF(J25=N25,"No","Yes"))</x:f>
      </x:c>
      <x:c r="V25" s="98" t="n">
        <x:v>2</x:v>
      </x:c>
    </x:row>
    <x:row r="26" ht="54" hidden="0" customHeight="1">
      <x:c r="A26" s="38" t="str">
        <x:v>Q001::B01MZCYO2S_review_1456955</x:v>
      </x:c>
      <x:c r="B26" s="38" t="str">
        <x:v>Q001</x:v>
      </x:c>
      <x:c r="C26" s="91" t="str">
        <x:v>Which wireless earbuds have long battery life and stay comfortable during long flights?</x:v>
      </x:c>
      <x:c r="D26" s="38" t="n">
        <x:v>25</x:v>
      </x:c>
      <x:c r="E26" s="38" t="str">
        <x:v>B01MZCYO2S</x:v>
      </x:c>
      <x:c r="F26" s="38" t="str">
        <x:v>review</x:v>
      </x:c>
      <x:c r="G26" s="38" t="str">
        <x:v>battery life</x:v>
      </x:c>
      <x:c r="H26" s="38" t="str">
        <x:v>Cell Phones &amp; Accessories</x:v>
      </x:c>
      <x:c r="I26" s="91" t="str">
        <x:v>[Product: iLive IAEB6S Bluetooth Wireless Earbuds (Gray) | ASIN: B01MZCYO2S] My only complaint is that the battery life runs down too quickly.</x:v>
      </x:c>
      <x:c r="J26" s="101" t="n">
        <x:v>2</x:v>
      </x:c>
      <x:c r="K26" s="92" t="str">
        <x:v>Human_Reviewer_01</x:v>
      </x:c>
      <x:c r="L26" s="92" t="str">
        <x:v>High</x:v>
      </x:c>
      <x:c r="M26" s="93" t="str">
        <x:v>Wireless earbuds have explicitly short battery endurance; useful negative evidence.</x:v>
      </x:c>
      <x:c r="N26" s="94"/>
      <x:c r="O26" s="94"/>
      <x:c r="P26" s="94"/>
      <x:c r="Q26" s="95"/>
      <x:c r="R26" s="96"/>
      <x:c r="S26" s="96"/>
      <x:c r="T26" s="97"/>
      <x:c r="U26" s="98" t="str">
        <x:f>IF(OR(J26="",N26=""),"",IF(J26=N26,"No","Yes"))</x:f>
      </x:c>
      <x:c r="V26" s="98" t="n">
        <x:v>2</x:v>
      </x:c>
    </x:row>
    <x:row r="27" ht="54" hidden="0" customHeight="1">
      <x:c r="A27" s="38" t="str">
        <x:v>Q001::B072L85C2M_review_2665749</x:v>
      </x:c>
      <x:c r="B27" s="38" t="str">
        <x:v>Q001</x:v>
      </x:c>
      <x:c r="C27" s="91" t="str">
        <x:v>Which wireless earbuds have long battery life and stay comfortable during long flights?</x:v>
      </x:c>
      <x:c r="D27" s="38" t="n">
        <x:v>26</x:v>
      </x:c>
      <x:c r="E27" s="38" t="str">
        <x:v>B072L85C2M</x:v>
      </x:c>
      <x:c r="F27" s="38" t="str">
        <x:v>review</x:v>
      </x:c>
      <x:c r="G27" s="38" t="str">
        <x:v>battery life</x:v>
      </x:c>
      <x:c r="H27" s="38" t="str">
        <x:v>Cell Phones &amp; Accessories</x:v>
      </x:c>
      <x:c r="I27" s="91" t="str">
        <x:v>[Product: Braven Flye Sport Bluetooth Earbuds - White | ASIN: B072L85C2M] I love the extra battery life. The battery pack rested firmly on the back of my neck, preventing it moving too much to one side.</x:v>
      </x:c>
      <x:c r="J27" s="101" t="n">
        <x:v>2</x:v>
      </x:c>
      <x:c r="K27" s="92" t="str">
        <x:v>Human_Reviewer_01</x:v>
      </x:c>
      <x:c r="L27" s="92" t="str">
        <x:v>High</x:v>
      </x:c>
      <x:c r="M27" s="93" t="str">
        <x:v>Bluetooth earbuds provide extra battery endurance and a stable neck-mounted battery pack.</x:v>
      </x:c>
      <x:c r="N27" s="94"/>
      <x:c r="O27" s="94"/>
      <x:c r="P27" s="94"/>
      <x:c r="Q27" s="95"/>
      <x:c r="R27" s="96"/>
      <x:c r="S27" s="96"/>
      <x:c r="T27" s="97"/>
      <x:c r="U27" s="98" t="str">
        <x:f>IF(OR(J27="",N27=""),"",IF(J27=N27,"No","Yes"))</x:f>
      </x:c>
      <x:c r="V27" s="98" t="n">
        <x:v>2</x:v>
      </x:c>
    </x:row>
    <x:row r="28" ht="54" hidden="0" customHeight="1">
      <x:c r="A28" s="38" t="str">
        <x:v>Q001::B0764GNRDZ_review_3138079</x:v>
      </x:c>
      <x:c r="B28" s="38" t="str">
        <x:v>Q001</x:v>
      </x:c>
      <x:c r="C28" s="91" t="str">
        <x:v>Which wireless earbuds have long battery life and stay comfortable during long flights?</x:v>
      </x:c>
      <x:c r="D28" s="38" t="n">
        <x:v>27</x:v>
      </x:c>
      <x:c r="E28" s="38" t="str">
        <x:v>B0764GNRDZ</x:v>
      </x:c>
      <x:c r="F28" s="38" t="str">
        <x:v>review</x:v>
      </x:c>
      <x:c r="G28" s="38" t="str">
        <x:v>battery life</x:v>
      </x:c>
      <x:c r="H28" s="38" t="str">
        <x:v>Computers</x:v>
      </x:c>
      <x:c r="I28" s="91" t="str">
        <x:v>[Product: JBL Everest 310 On-Ear Wireless Bluetooth Headphones (Purple) | ASIN: B0764GNRDZ] Awesome battery life, and I can plug them in to use on a plane without needing bluetooth.</x:v>
      </x:c>
      <x:c r="J28" s="101" t="n">
        <x:v>0</x:v>
      </x:c>
      <x:c r="K28" s="92" t="str">
        <x:v>Human_Reviewer_01</x:v>
      </x:c>
      <x:c r="L28" s="92" t="str">
        <x:v>High</x:v>
      </x:c>
      <x:c r="M28" s="93" t="str">
        <x:v>On-ear headphones do not match the requested earbuds.</x:v>
      </x:c>
      <x:c r="N28" s="94"/>
      <x:c r="O28" s="94"/>
      <x:c r="P28" s="94"/>
      <x:c r="Q28" s="95"/>
      <x:c r="R28" s="96"/>
      <x:c r="S28" s="96"/>
      <x:c r="T28" s="97"/>
      <x:c r="U28" s="98" t="str">
        <x:f>IF(OR(J28="",N28=""),"",IF(J28=N28,"No","Yes"))</x:f>
      </x:c>
      <x:c r="V28" s="98" t="n">
        <x:v>0</x:v>
      </x:c>
    </x:row>
    <x:row r="29" ht="54" hidden="0" customHeight="1">
      <x:c r="A29" s="38" t="str">
        <x:v>Q001::B011BQVKIM_review_283826</x:v>
      </x:c>
      <x:c r="B29" s="38" t="str">
        <x:v>Q001</x:v>
      </x:c>
      <x:c r="C29" s="91" t="str">
        <x:v>Which wireless earbuds have long battery life and stay comfortable during long flights?</x:v>
      </x:c>
      <x:c r="D29" s="38" t="n">
        <x:v>28</x:v>
      </x:c>
      <x:c r="E29" s="38" t="str">
        <x:v>B011BQVKIM</x:v>
      </x:c>
      <x:c r="F29" s="38" t="str">
        <x:v>review</x:v>
      </x:c>
      <x:c r="G29" s="38" t="str">
        <x:v>battery life</x:v>
      </x:c>
      <x:c r="H29" s="38" t="str">
        <x:v>Cell Phones &amp; Accessories</x:v>
      </x:c>
      <x:c r="I29" s="91" t="str">
        <x:v>[Product: JAZZA® ANC-J2 Foldable Stereo Active Noise Cancelling Headphones for Cellphone Smartphone Iphone/ipad/laptop/tablet/computer/MP3/MP4/etc, Strong Bass, Folding and Lightweight Travel Headset (Gold) | ASIN: B011BQVKIM] The battery lasts very long (it lasted the entire trip from Los Angeles to my layover in Taipei, and then to the Philippines. I still used it for a while after arriving before I charged it. The only problem is that when the flight crew makes announcements, the volume is so loud...I would quickly hit the power switch the second the announcement sign appeared on the screen.</x:v>
      </x:c>
      <x:c r="J29" s="101" t="n">
        <x:v>0</x:v>
      </x:c>
      <x:c r="K29" s="92" t="str">
        <x:v>Human_Reviewer_01</x:v>
      </x:c>
      <x:c r="L29" s="92" t="str">
        <x:v>High</x:v>
      </x:c>
      <x:c r="M29" s="93" t="str">
        <x:v>The product is foldable headphones, not earbuds.</x:v>
      </x:c>
      <x:c r="N29" s="94"/>
      <x:c r="O29" s="94"/>
      <x:c r="P29" s="94"/>
      <x:c r="Q29" s="95"/>
      <x:c r="R29" s="96"/>
      <x:c r="S29" s="96"/>
      <x:c r="T29" s="97"/>
      <x:c r="U29" s="98" t="str">
        <x:f>IF(OR(J29="",N29=""),"",IF(J29=N29,"No","Yes"))</x:f>
      </x:c>
      <x:c r="V29" s="98" t="n">
        <x:v>0</x:v>
      </x:c>
    </x:row>
    <x:row r="30" ht="54" hidden="0" customHeight="1">
      <x:c r="A30" s="38" t="str">
        <x:v>Q001::B06XKVSX25_review_637825</x:v>
      </x:c>
      <x:c r="B30" s="38" t="str">
        <x:v>Q001</x:v>
      </x:c>
      <x:c r="C30" s="91" t="str">
        <x:v>Which wireless earbuds have long battery life and stay comfortable during long flights?</x:v>
      </x:c>
      <x:c r="D30" s="38" t="n">
        <x:v>29</x:v>
      </x:c>
      <x:c r="E30" s="38" t="str">
        <x:v>B06XKVSX25</x:v>
      </x:c>
      <x:c r="F30" s="38" t="str">
        <x:v>review</x:v>
      </x:c>
      <x:c r="G30" s="38" t="str">
        <x:v>battery life</x:v>
      </x:c>
      <x:c r="H30" s="38" t="str">
        <x:v>Cell Phones &amp; Accessories</x:v>
      </x:c>
      <x:c r="I30" s="91" t="str">
        <x:v>[Product: iFrogz Audio - Plugz Wireless Bluetooth Earbuds - Blue | ASIN: B06XKVSX25] But my number one complaint is the overstated battery life. I would have returned them for that reason alone had it not been for the fact that they work so exceptionally well until the battery dies. If they lasted longer I would easily give them 5+ stars.&lt;br /&gt;&lt;br /&gt;Summary: if you are satisfied with 4 hours of battery life, these are a great choice! Just press on either side of the power button.</x:v>
      </x:c>
      <x:c r="J30" s="101" t="n">
        <x:v>2</x:v>
      </x:c>
      <x:c r="K30" s="92" t="str">
        <x:v>Human_Reviewer_01</x:v>
      </x:c>
      <x:c r="L30" s="92" t="str">
        <x:v>High</x:v>
      </x:c>
      <x:c r="M30" s="93" t="str">
        <x:v>Wireless earbuds last about four hours despite overstated endurance claims.</x:v>
      </x:c>
      <x:c r="N30" s="94"/>
      <x:c r="O30" s="94"/>
      <x:c r="P30" s="94"/>
      <x:c r="Q30" s="95"/>
      <x:c r="R30" s="96"/>
      <x:c r="S30" s="96"/>
      <x:c r="T30" s="97"/>
      <x:c r="U30" s="98" t="str">
        <x:f>IF(OR(J30="",N30=""),"",IF(J30=N30,"No","Yes"))</x:f>
      </x:c>
      <x:c r="V30" s="98" t="n">
        <x:v>2</x:v>
      </x:c>
    </x:row>
    <x:row r="31" ht="54" hidden="0" customHeight="1">
      <x:c r="A31" s="38" t="str">
        <x:v>Q001::B07JZ6WN3G_review_3118367</x:v>
      </x:c>
      <x:c r="B31" s="38" t="str">
        <x:v>Q001</x:v>
      </x:c>
      <x:c r="C31" s="91" t="str">
        <x:v>Which wireless earbuds have long battery life and stay comfortable during long flights?</x:v>
      </x:c>
      <x:c r="D31" s="38" t="n">
        <x:v>30</x:v>
      </x:c>
      <x:c r="E31" s="38" t="str">
        <x:v>B07JZ6WN3G</x:v>
      </x:c>
      <x:c r="F31" s="38" t="str">
        <x:v>review</x:v>
      </x:c>
      <x:c r="G31" s="38" t="str">
        <x:v>battery life</x:v>
      </x:c>
      <x:c r="H31" s="38" t="str">
        <x:v>Cell Phones &amp; Accessories</x:v>
      </x:c>
      <x:c r="I31" s="91" t="str">
        <x:v>[Product: True Wireless Earbuds Bluetooth Earbuds Wireless Earbuds - Bluetooth 5.0 Mini in Ear TWS Earbuds with Charging Case,Noise Cancelling Earbuds,Earbuds with Microphone for Hands-Free Calls | ASIN: B07JZ6WN3G] As for battery life, that is harder for me to evaluate as I do not use them as much as a normal person because of my work equipment. So far, though, I have not gotten a single low battery warning, and the longest I have used them is five hours.</x:v>
      </x:c>
      <x:c r="J31" s="101" t="n">
        <x:v>2</x:v>
      </x:c>
      <x:c r="K31" s="92" t="str">
        <x:v>Human_Reviewer_01</x:v>
      </x:c>
      <x:c r="L31" s="92" t="str">
        <x:v>High</x:v>
      </x:c>
      <x:c r="M31" s="93" t="str">
        <x:v>Wireless earbuds supported five hours of use without a low-battery warning.</x:v>
      </x:c>
      <x:c r="N31" s="94"/>
      <x:c r="O31" s="94"/>
      <x:c r="P31" s="94"/>
      <x:c r="Q31" s="95"/>
      <x:c r="R31" s="96"/>
      <x:c r="S31" s="96"/>
      <x:c r="T31" s="97"/>
      <x:c r="U31" s="98" t="str">
        <x:f>IF(OR(J31="",N31=""),"",IF(J31=N31,"No","Yes"))</x:f>
      </x:c>
      <x:c r="V31" s="98" t="n">
        <x:v>2</x:v>
      </x:c>
    </x:row>
    <x:row r="32" ht="54" hidden="0" customHeight="1">
      <x:c r="A32" s="38" t="str">
        <x:v>Q001::B07G8WHM44_review_2366982</x:v>
      </x:c>
      <x:c r="B32" s="38" t="str">
        <x:v>Q001</x:v>
      </x:c>
      <x:c r="C32" s="91" t="str">
        <x:v>Which wireless earbuds have long battery life and stay comfortable during long flights?</x:v>
      </x:c>
      <x:c r="D32" s="38" t="n">
        <x:v>31</x:v>
      </x:c>
      <x:c r="E32" s="38" t="str">
        <x:v>B07G8WHM44</x:v>
      </x:c>
      <x:c r="F32" s="38" t="str">
        <x:v>review</x:v>
      </x:c>
      <x:c r="G32" s="38" t="str">
        <x:v>battery life</x:v>
      </x:c>
      <x:c r="H32" s="38" t="str">
        <x:v>Cell Phones &amp; Accessories</x:v>
      </x:c>
      <x:c r="I32" s="91" t="str">
        <x:v>[Product: AKG Y100 Wireless Bluetooth Earbuds - Blue (US Version) | ASIN: B07G8WHM44] They have good sound quality and a nice long battery life. They also charge super fast, so you are not left waiting hours to use them again after the battery dies.&lt;br /&gt;The best thing about them?</x:v>
      </x:c>
      <x:c r="J32" s="101" t="n">
        <x:v>2</x:v>
      </x:c>
      <x:c r="K32" s="92" t="str">
        <x:v>Human_Reviewer_01</x:v>
      </x:c>
      <x:c r="L32" s="92" t="str">
        <x:v>High</x:v>
      </x:c>
      <x:c r="M32" s="93" t="str">
        <x:v>Wireless earbuds have long battery life and fast recharging.</x:v>
      </x:c>
      <x:c r="N32" s="94"/>
      <x:c r="O32" s="94"/>
      <x:c r="P32" s="94"/>
      <x:c r="Q32" s="95"/>
      <x:c r="R32" s="96"/>
      <x:c r="S32" s="96"/>
      <x:c r="T32" s="97"/>
      <x:c r="U32" s="98" t="str">
        <x:f>IF(OR(J32="",N32=""),"",IF(J32=N32,"No","Yes"))</x:f>
      </x:c>
      <x:c r="V32" s="98" t="n">
        <x:v>2</x:v>
      </x:c>
    </x:row>
    <x:row r="33" ht="54" hidden="0" customHeight="1">
      <x:c r="A33" s="38" t="str">
        <x:v>Q001::B07JZ6WN3G_review_3118377</x:v>
      </x:c>
      <x:c r="B33" s="38" t="str">
        <x:v>Q001</x:v>
      </x:c>
      <x:c r="C33" s="91" t="str">
        <x:v>Which wireless earbuds have long battery life and stay comfortable during long flights?</x:v>
      </x:c>
      <x:c r="D33" s="38" t="n">
        <x:v>32</x:v>
      </x:c>
      <x:c r="E33" s="38" t="str">
        <x:v>B07JZ6WN3G</x:v>
      </x:c>
      <x:c r="F33" s="38" t="str">
        <x:v>review</x:v>
      </x:c>
      <x:c r="G33" s="38" t="str">
        <x:v>battery life</x:v>
      </x:c>
      <x:c r="H33" s="38" t="str">
        <x:v>Cell Phones &amp; Accessories</x:v>
      </x:c>
      <x:c r="I33" s="91" t="str">
        <x:v>[Product: True Wireless Earbuds Bluetooth Earbuds Wireless Earbuds - Bluetooth 5.0 Mini in Ear TWS Earbuds with Charging Case,Noise Cancelling Earbuds,Earbuds with Microphone for Hands-Free Calls | ASIN: B07JZ6WN3G] And the battery life is typically more than twice what I need.</x:v>
      </x:c>
      <x:c r="J33" s="101" t="n">
        <x:v>1</x:v>
      </x:c>
      <x:c r="K33" s="92" t="str">
        <x:v>Human_Reviewer_01</x:v>
      </x:c>
      <x:c r="L33" s="92" t="str">
        <x:v>Medium</x:v>
      </x:c>
      <x:c r="M33" s="93" t="str">
        <x:v>Wireless earbuds are mentioned, but endurance is relative to an unspecified personal need.</x:v>
      </x:c>
      <x:c r="N33" s="94"/>
      <x:c r="O33" s="94"/>
      <x:c r="P33" s="94"/>
      <x:c r="Q33" s="95"/>
      <x:c r="R33" s="96"/>
      <x:c r="S33" s="96"/>
      <x:c r="T33" s="97"/>
      <x:c r="U33" s="98" t="str">
        <x:f>IF(OR(J33="",N33=""),"",IF(J33=N33,"No","Yes"))</x:f>
      </x:c>
      <x:c r="V33" s="98" t="n">
        <x:v>1</x:v>
      </x:c>
    </x:row>
    <x:row r="34" ht="54" hidden="0" customHeight="1">
      <x:c r="A34" s="38" t="str">
        <x:v>Q001::B071KXND1F_review_3838061</x:v>
      </x:c>
      <x:c r="B34" s="38" t="str">
        <x:v>Q001</x:v>
      </x:c>
      <x:c r="C34" s="91" t="str">
        <x:v>Which wireless earbuds have long battery life and stay comfortable during long flights?</x:v>
      </x:c>
      <x:c r="D34" s="38" t="n">
        <x:v>33</x:v>
      </x:c>
      <x:c r="E34" s="38" t="str">
        <x:v>B071KXND1F</x:v>
      </x:c>
      <x:c r="F34" s="38" t="str">
        <x:v>review</x:v>
      </x:c>
      <x:c r="G34" s="38" t="str">
        <x:v>battery life</x:v>
      </x:c>
      <x:c r="H34" s="38" t="str">
        <x:v>Cell Phones &amp; Accessories</x:v>
      </x:c>
      <x:c r="I34" s="91" t="str">
        <x:v>[Product: Beats by Dr. Dre BeatsX Wireless In-Ear Headphones - Gray (Renewed) | ASIN: B071KXND1F] Comfortable, good sound, long battery life and stay put.</x:v>
      </x:c>
      <x:c r="J34" s="101" t="n">
        <x:v>2</x:v>
      </x:c>
      <x:c r="K34" s="92" t="str">
        <x:v>Human_Reviewer_01</x:v>
      </x:c>
      <x:c r="L34" s="92" t="str">
        <x:v>High</x:v>
      </x:c>
      <x:c r="M34" s="93" t="str">
        <x:v>Wireless in-ear headphones directly address comfort, endurance, and secure fit.</x:v>
      </x:c>
      <x:c r="N34" s="94"/>
      <x:c r="O34" s="94"/>
      <x:c r="P34" s="94"/>
      <x:c r="Q34" s="95"/>
      <x:c r="R34" s="96"/>
      <x:c r="S34" s="96"/>
      <x:c r="T34" s="97"/>
      <x:c r="U34" s="98" t="str">
        <x:f>IF(OR(J34="",N34=""),"",IF(J34=N34,"No","Yes"))</x:f>
      </x:c>
      <x:c r="V34" s="98" t="n">
        <x:v>2</x:v>
      </x:c>
    </x:row>
    <x:row r="35" ht="54" hidden="0" customHeight="1">
      <x:c r="A35" s="38" t="str">
        <x:v>Q001::B002SUEYU2_review_3262292</x:v>
      </x:c>
      <x:c r="B35" s="38" t="str">
        <x:v>Q001</x:v>
      </x:c>
      <x:c r="C35" s="91" t="str">
        <x:v>Which wireless earbuds have long battery life and stay comfortable during long flights?</x:v>
      </x:c>
      <x:c r="D35" s="38" t="n">
        <x:v>34</x:v>
      </x:c>
      <x:c r="E35" s="38" t="str">
        <x:v>B002SUEYU2</x:v>
      </x:c>
      <x:c r="F35" s="38" t="str">
        <x:v>review</x:v>
      </x:c>
      <x:c r="G35" s="38" t="str">
        <x:v>battery life</x:v>
      </x:c>
      <x:c r="H35" s="38" t="str">
        <x:v>Cell Phones &amp; Accessories</x:v>
      </x:c>
      <x:c r="I35" s="91" t="str">
        <x:v>[Product: Nokia Bluetooth Stereo Headset BH-905 | ASIN: B002SUEYU2] The noise-cancellation is excellent, the battery life is very long and they are very comfortable to wear for a long time.</x:v>
      </x:c>
      <x:c r="J35" s="101" t="n">
        <x:v>0</x:v>
      </x:c>
      <x:c r="K35" s="92" t="str">
        <x:v>Human_Reviewer_01</x:v>
      </x:c>
      <x:c r="L35" s="92" t="str">
        <x:v>High</x:v>
      </x:c>
      <x:c r="M35" s="93" t="str">
        <x:v>A stereo headset is not identified as earbuds in this chunk.</x:v>
      </x:c>
      <x:c r="N35" s="94"/>
      <x:c r="O35" s="94"/>
      <x:c r="P35" s="94"/>
      <x:c r="Q35" s="95"/>
      <x:c r="R35" s="96"/>
      <x:c r="S35" s="96"/>
      <x:c r="T35" s="97"/>
      <x:c r="U35" s="98" t="str">
        <x:f>IF(OR(J35="",N35=""),"",IF(J35=N35,"No","Yes"))</x:f>
      </x:c>
      <x:c r="V35" s="98" t="n">
        <x:v>0</x:v>
      </x:c>
    </x:row>
    <x:row r="36" ht="54" hidden="0" customHeight="1">
      <x:c r="A36" s="38" t="str">
        <x:v>Q001::B019MBSRQQ_review_3840527</x:v>
      </x:c>
      <x:c r="B36" s="38" t="str">
        <x:v>Q001</x:v>
      </x:c>
      <x:c r="C36" s="91" t="str">
        <x:v>Which wireless earbuds have long battery life and stay comfortable during long flights?</x:v>
      </x:c>
      <x:c r="D36" s="38" t="n">
        <x:v>35</x:v>
      </x:c>
      <x:c r="E36" s="38" t="str">
        <x:v>B019MBSRQQ</x:v>
      </x:c>
      <x:c r="F36" s="38" t="str">
        <x:v>review</x:v>
      </x:c>
      <x:c r="G36" s="38" t="str">
        <x:v>general</x:v>
      </x:c>
      <x:c r="H36" s="38" t="str">
        <x:v>Cell Phones &amp; Accessories</x:v>
      </x:c>
      <x:c r="I36" s="91" t="str">
        <x:v>[Product: 233621 H501 Active Noise Cancelling Over-ear Headphones with Inline Microphone and Carrying Case, 50 hour Battery Time (Wired / Space Grey) | ASIN: B019MBSRQQ] Wow, very impressed. Bought these for a long flight to Europe. They were comfortable almost the whole way, 9 hours. Even when my ears hurt a little, I just moved the headphones around, massaged my ears some and kept right on wearing them.&lt;br /&gt; The noise reduction was fantastic. I treat my electronics carefully and they seem to last that way.&lt;br /&gt;Pros:</x:v>
      </x:c>
      <x:c r="J36" s="101" t="n">
        <x:v>0</x:v>
      </x:c>
      <x:c r="K36" s="92" t="str">
        <x:v>Human_Reviewer_01</x:v>
      </x:c>
      <x:c r="L36" s="92" t="str">
        <x:v>High</x:v>
      </x:c>
      <x:c r="M36" s="93" t="str">
        <x:v>Wired over-ear headphones do not match wireless earbuds.</x:v>
      </x:c>
      <x:c r="N36" s="94"/>
      <x:c r="O36" s="94"/>
      <x:c r="P36" s="94"/>
      <x:c r="Q36" s="95"/>
      <x:c r="R36" s="96"/>
      <x:c r="S36" s="96"/>
      <x:c r="T36" s="97"/>
      <x:c r="U36" s="98" t="str">
        <x:f>IF(OR(J36="",N36=""),"",IF(J36=N36,"No","Yes"))</x:f>
      </x:c>
      <x:c r="V36" s="98" t="n">
        <x:v>0</x:v>
      </x:c>
    </x:row>
    <x:row r="37" ht="54" hidden="0" customHeight="1">
      <x:c r="A37" s="38" t="str">
        <x:v>Q001::B089B6SHZK_review_2454275</x:v>
      </x:c>
      <x:c r="B37" s="38" t="str">
        <x:v>Q001</x:v>
      </x:c>
      <x:c r="C37" s="91" t="str">
        <x:v>Which wireless earbuds have long battery life and stay comfortable during long flights?</x:v>
      </x:c>
      <x:c r="D37" s="38" t="n">
        <x:v>36</x:v>
      </x:c>
      <x:c r="E37" s="38" t="str">
        <x:v>B089B6SHZK</x:v>
      </x:c>
      <x:c r="F37" s="38" t="str">
        <x:v>review</x:v>
      </x:c>
      <x:c r="G37" s="38" t="str">
        <x:v>build quality</x:v>
      </x:c>
      <x:c r="H37" s="38" t="str">
        <x:v>Cell Phones &amp; Accessories</x:v>
      </x:c>
      <x:c r="I37" s="91" t="str">
        <x:v>[Product: Jabra Elite 25h Wireless Bluetooth Headphones, Titanium Black – Long Battery Life, Ultra-Light and Comfortable Wireless Headphones, 3.5 mm Jack Connector Included | ASIN: B089B6SHZK] All of them have sturdy construction which is a big plus when buying for teens and tweens.</x:v>
      </x:c>
      <x:c r="J37" s="101" t="n">
        <x:v>0</x:v>
      </x:c>
      <x:c r="K37" s="92" t="str">
        <x:v>Human_Reviewer_01</x:v>
      </x:c>
      <x:c r="L37" s="92" t="str">
        <x:v>High</x:v>
      </x:c>
      <x:c r="M37" s="93" t="str">
        <x:v>Headphones are not identified as earbuds; construction alone does not answer the query.</x:v>
      </x:c>
      <x:c r="N37" s="94"/>
      <x:c r="O37" s="94"/>
      <x:c r="P37" s="94"/>
      <x:c r="Q37" s="95"/>
      <x:c r="R37" s="96"/>
      <x:c r="S37" s="96"/>
      <x:c r="T37" s="97"/>
      <x:c r="U37" s="98" t="str">
        <x:f>IF(OR(J37="",N37=""),"",IF(J37=N37,"No","Yes"))</x:f>
      </x:c>
      <x:c r="V37" s="98" t="n">
        <x:v>0</x:v>
      </x:c>
    </x:row>
    <x:row r="38" ht="54" hidden="0" customHeight="1">
      <x:c r="A38" s="38" t="str">
        <x:v>Q001::B019MBSRQQ_review_3840486</x:v>
      </x:c>
      <x:c r="B38" s="38" t="str">
        <x:v>Q001</x:v>
      </x:c>
      <x:c r="C38" s="91" t="str">
        <x:v>Which wireless earbuds have long battery life and stay comfortable during long flights?</x:v>
      </x:c>
      <x:c r="D38" s="38" t="n">
        <x:v>37</x:v>
      </x:c>
      <x:c r="E38" s="38" t="str">
        <x:v>B019MBSRQQ</x:v>
      </x:c>
      <x:c r="F38" s="38" t="str">
        <x:v>review</x:v>
      </x:c>
      <x:c r="G38" s="38" t="str">
        <x:v>general</x:v>
      </x:c>
      <x:c r="H38" s="38" t="str">
        <x:v>Cell Phones &amp; Accessories</x:v>
      </x:c>
      <x:c r="I38" s="91" t="str">
        <x:v>[Product: 233621 H501 Active Noise Cancelling Over-ear Headphones with Inline Microphone and Carrying Case, 50 hour Battery Time (Wired / Space Grey) | ASIN: B019MBSRQQ] I bought these for an international trip. They were also very comfortable. I kept them on the entire 12 hour flight. I am very happy with this purchase.</x:v>
      </x:c>
      <x:c r="J38" s="101" t="n">
        <x:v>0</x:v>
      </x:c>
      <x:c r="K38" s="92" t="str">
        <x:v>Human_Reviewer_01</x:v>
      </x:c>
      <x:c r="L38" s="92" t="str">
        <x:v>High</x:v>
      </x:c>
      <x:c r="M38" s="93" t="str">
        <x:v>Wired over-ear headphones do not match wireless earbuds.</x:v>
      </x:c>
      <x:c r="N38" s="94"/>
      <x:c r="O38" s="94"/>
      <x:c r="P38" s="94"/>
      <x:c r="Q38" s="95"/>
      <x:c r="R38" s="96"/>
      <x:c r="S38" s="96"/>
      <x:c r="T38" s="97"/>
      <x:c r="U38" s="98" t="str">
        <x:f>IF(OR(J38="",N38=""),"",IF(J38=N38,"No","Yes"))</x:f>
      </x:c>
      <x:c r="V38" s="98" t="n">
        <x:v>0</x:v>
      </x:c>
    </x:row>
    <x:row r="39" ht="54" hidden="0" customHeight="1">
      <x:c r="A39" s="38" t="str">
        <x:v>Q001::B08FF6P5KS_review_30068</x:v>
      </x:c>
      <x:c r="B39" s="38" t="str">
        <x:v>Q001</x:v>
      </x:c>
      <x:c r="C39" s="91" t="str">
        <x:v>Which wireless earbuds have long battery life and stay comfortable during long flights?</x:v>
      </x:c>
      <x:c r="D39" s="38" t="n">
        <x:v>38</x:v>
      </x:c>
      <x:c r="E39" s="38" t="str">
        <x:v>B08FF6P5KS</x:v>
      </x:c>
      <x:c r="F39" s="38" t="str">
        <x:v>review</x:v>
      </x:c>
      <x:c r="G39" s="38" t="str">
        <x:v>battery life</x:v>
      </x:c>
      <x:c r="H39" s="38" t="str">
        <x:v>Cell Phones &amp; Accessories</x:v>
      </x:c>
      <x:c r="I39" s="91" t="str">
        <x:v>[Product: Wireless Gear Bluetooth 5.0 True Wireless Stereo Earbuds with Charging Case, White/Gray | ASIN: B08FF6P5KS] I love the charging case and it does not take long for them to re-charge. It does have a long battery life as well.</x:v>
      </x:c>
      <x:c r="J39" s="101" t="n">
        <x:v>2</x:v>
      </x:c>
      <x:c r="K39" s="92" t="str">
        <x:v>Human_Reviewer_01</x:v>
      </x:c>
      <x:c r="L39" s="92" t="str">
        <x:v>High</x:v>
      </x:c>
      <x:c r="M39" s="93" t="str">
        <x:v>True wireless earbuds have long battery life and quick recharging.</x:v>
      </x:c>
      <x:c r="N39" s="94"/>
      <x:c r="O39" s="94"/>
      <x:c r="P39" s="94"/>
      <x:c r="Q39" s="95"/>
      <x:c r="R39" s="96"/>
      <x:c r="S39" s="96"/>
      <x:c r="T39" s="97"/>
      <x:c r="U39" s="98" t="str">
        <x:f>IF(OR(J39="",N39=""),"",IF(J39=N39,"No","Yes"))</x:f>
      </x:c>
      <x:c r="V39" s="98" t="n">
        <x:v>2</x:v>
      </x:c>
    </x:row>
    <x:row r="40" ht="54" hidden="0" customHeight="1">
      <x:c r="A40" s="38" t="str">
        <x:v>Q001::B07B7HYBQX_review_673886</x:v>
      </x:c>
      <x:c r="B40" s="38" t="str">
        <x:v>Q001</x:v>
      </x:c>
      <x:c r="C40" s="91" t="str">
        <x:v>Which wireless earbuds have long battery life and stay comfortable during long flights?</x:v>
      </x:c>
      <x:c r="D40" s="38" t="n">
        <x:v>39</x:v>
      </x:c>
      <x:c r="E40" s="38" t="str">
        <x:v>B07B7HYBQX</x:v>
      </x:c>
      <x:c r="F40" s="38" t="str">
        <x:v>review</x:v>
      </x:c>
      <x:c r="G40" s="38" t="str">
        <x:v>price/value</x:v>
      </x:c>
      <x:c r="H40" s="38" t="str">
        <x:v>Computers</x:v>
      </x:c>
      <x:c r="I40" s="91" t="str">
        <x:v>[Product: Corsair Dark Core - RGB Wireless Gaming Mouse - 16,000 DPI Optical Sensor - Comfortable &amp; Ergonomic - Play Wired or Wireless | ASIN: B07B7HYBQX] The battery life is worthless and does not last long at all.</x:v>
      </x:c>
      <x:c r="J40" s="101" t="n">
        <x:v>0</x:v>
      </x:c>
      <x:c r="K40" s="92" t="str">
        <x:v>Human_Reviewer_01</x:v>
      </x:c>
      <x:c r="L40" s="92" t="str">
        <x:v>High</x:v>
      </x:c>
      <x:c r="M40" s="93" t="str">
        <x:v>This is a gaming mouse, not earbuds.</x:v>
      </x:c>
      <x:c r="N40" s="94"/>
      <x:c r="O40" s="94"/>
      <x:c r="P40" s="94"/>
      <x:c r="Q40" s="95"/>
      <x:c r="R40" s="96"/>
      <x:c r="S40" s="96"/>
      <x:c r="T40" s="97"/>
      <x:c r="U40" s="98" t="str">
        <x:f>IF(OR(J40="",N40=""),"",IF(J40=N40,"No","Yes"))</x:f>
      </x:c>
      <x:c r="V40" s="98" t="n">
        <x:v>0</x:v>
      </x:c>
    </x:row>
    <x:row r="41" ht="54" hidden="0" customHeight="1">
      <x:c r="A41" s="38" t="str">
        <x:v>Q001::B00UMJJCO4_review_2634413</x:v>
      </x:c>
      <x:c r="B41" s="38" t="str">
        <x:v>Q001</x:v>
      </x:c>
      <x:c r="C41" s="91" t="str">
        <x:v>Which wireless earbuds have long battery life and stay comfortable during long flights?</x:v>
      </x:c>
      <x:c r="D41" s="38" t="n">
        <x:v>40</x:v>
      </x:c>
      <x:c r="E41" s="38" t="str">
        <x:v>B00UMJJCO4</x:v>
      </x:c>
      <x:c r="F41" s="38" t="str">
        <x:v>review</x:v>
      </x:c>
      <x:c r="G41" s="38" t="str">
        <x:v>battery life</x:v>
      </x:c>
      <x:c r="H41" s="38" t="str">
        <x:v>Cell Phones &amp; Accessories</x:v>
      </x:c>
      <x:c r="I41" s="91" t="str">
        <x:v>[Product: dBs Live Series Wireless Bluetooth Headphones with Mic V4.1 On-Ear Foldable Headset for Gym, Sports, Exercise, Workout, Music Streaming for iOS Android, PC and Mac. | ASIN: B00UMJJCO4] Needless to say they would be of little help to block out noise while on an airplane.&lt;br /&gt;&lt;br /&gt;BATTERY LIFE: 5/5&lt;br /&gt;With a good long charge, these lasted for a couple of days with occasional use. I have not experienced any problems with them not charging, but I only had them for a week.&lt;br /&gt;&lt;br /&gt;COMFORT: 2/5&lt;br /&gt;I am a small person and even then I had to adjust the headband to the maximum to fit these on my head.</x:v>
      </x:c>
      <x:c r="J41" s="101" t="n">
        <x:v>0</x:v>
      </x:c>
      <x:c r="K41" s="92" t="str">
        <x:v>Human_Reviewer_01</x:v>
      </x:c>
      <x:c r="L41" s="92" t="str">
        <x:v>High</x:v>
      </x:c>
      <x:c r="M41" s="93" t="str">
        <x:v>On-ear headphones do not match the requested earbuds.</x:v>
      </x:c>
      <x:c r="N41" s="94"/>
      <x:c r="O41" s="94"/>
      <x:c r="P41" s="94"/>
      <x:c r="Q41" s="95"/>
      <x:c r="R41" s="96"/>
      <x:c r="S41" s="96"/>
      <x:c r="T41" s="97"/>
      <x:c r="U41" s="98" t="str">
        <x:f>IF(OR(J41="",N41=""),"",IF(J41=N41,"No","Yes"))</x:f>
      </x:c>
      <x:c r="V41" s="98" t="n">
        <x:v>0</x:v>
      </x:c>
    </x:row>
    <x:row r="42" ht="54" hidden="0" customHeight="1">
      <x:c r="A42" s="38" t="str">
        <x:v>Q002::B00G3FZ7YU_review_1189147</x:v>
      </x:c>
      <x:c r="B42" s="38" t="str">
        <x:v>Q002</x:v>
      </x:c>
      <x:c r="C42" s="91" t="str">
        <x:v>I need Bluetooth headphones with clear microphone quality and a stable connection for work calls.</x:v>
      </x:c>
      <x:c r="D42" s="38" t="n">
        <x:v>1</x:v>
      </x:c>
      <x:c r="E42" s="38" t="str">
        <x:v>B00G3FZ7YU</x:v>
      </x:c>
      <x:c r="F42" s="38" t="str">
        <x:v>review</x:v>
      </x:c>
      <x:c r="G42" s="38" t="str">
        <x:v>battery life</x:v>
      </x:c>
      <x:c r="H42" s="38" t="str">
        <x:v>Cell Phones &amp; Accessories</x:v>
      </x:c>
      <x:c r="I42" s="91" t="str">
        <x:v>[Product: Oxi Hands-Free Bluetooth Headset – Noise-Cancelling Over Ear Headphones with Built-In Microphone – Lightweight, Adjustable Comfort Ideal for Traveling, Work Calls, Trucking and Construction Work | ASIN: B00G3FZ7YU] It is loud and clear and stays charged for like three days.</x:v>
      </x:c>
      <x:c r="J42" s="101" t="n">
        <x:v>1</x:v>
      </x:c>
      <x:c r="K42" s="92" t="str">
        <x:v>Human_Reviewer_01</x:v>
      </x:c>
      <x:c r="L42" s="92" t="str">
        <x:v>Medium</x:v>
      </x:c>
      <x:c r="M42" s="93" t="str">
        <x:v>Bluetooth call headset is described as clear, but the statement does not identify microphone clarity.</x:v>
      </x:c>
      <x:c r="N42" s="94"/>
      <x:c r="O42" s="94"/>
      <x:c r="P42" s="94"/>
      <x:c r="Q42" s="95"/>
      <x:c r="R42" s="96"/>
      <x:c r="S42" s="96"/>
      <x:c r="T42" s="97"/>
      <x:c r="U42" s="98" t="str">
        <x:f>IF(OR(J42="",N42=""),"",IF(J42=N42,"No","Yes"))</x:f>
      </x:c>
      <x:c r="V42" s="98" t="n">
        <x:v>1</x:v>
      </x:c>
    </x:row>
    <x:row r="43" ht="54" hidden="0" customHeight="1">
      <x:c r="A43" s="38" t="str">
        <x:v>Q002::B00SH1IEH0_review_2826801</x:v>
      </x:c>
      <x:c r="B43" s="38" t="str">
        <x:v>Q002</x:v>
      </x:c>
      <x:c r="C43" s="91" t="str">
        <x:v>I need Bluetooth headphones with clear microphone quality and a stable connection for work calls.</x:v>
      </x:c>
      <x:c r="D43" s="38" t="n">
        <x:v>2</x:v>
      </x:c>
      <x:c r="E43" s="38" t="str">
        <x:v>B00SH1IEH0</x:v>
      </x:c>
      <x:c r="F43" s="38" t="str">
        <x:v>review</x:v>
      </x:c>
      <x:c r="G43" s="38" t="str">
        <x:v>battery life</x:v>
      </x:c>
      <x:c r="H43" s="38" t="str">
        <x:v>Cell Phones &amp; Accessories</x:v>
      </x:c>
      <x:c r="I43" s="91" t="str">
        <x:v>[Product: VicTsing QCY Bluetooth Headphone W/Microphone Lightweight Wireless Stereo Earbuds | ASIN: B00SH1IEH0] They are good quality, have good sound, excellent range, and long battery life.</x:v>
      </x:c>
      <x:c r="J43" s="101" t="n">
        <x:v>1</x:v>
      </x:c>
      <x:c r="K43" s="92" t="str">
        <x:v>Human_Reviewer_01</x:v>
      </x:c>
      <x:c r="L43" s="92" t="str">
        <x:v>High</x:v>
      </x:c>
      <x:c r="M43" s="93" t="str">
        <x:v>Bluetooth headphones have good sound and range; microphone clarity and connection stability are untested.</x:v>
      </x:c>
      <x:c r="N43" s="94"/>
      <x:c r="O43" s="94"/>
      <x:c r="P43" s="94"/>
      <x:c r="Q43" s="95"/>
      <x:c r="R43" s="96"/>
      <x:c r="S43" s="96"/>
      <x:c r="T43" s="97"/>
      <x:c r="U43" s="98" t="str">
        <x:f>IF(OR(J43="",N43=""),"",IF(J43=N43,"No","Yes"))</x:f>
      </x:c>
      <x:c r="V43" s="98" t="n">
        <x:v>1</x:v>
      </x:c>
    </x:row>
    <x:row r="44" ht="54" hidden="0" customHeight="1">
      <x:c r="A44" s="38" t="str">
        <x:v>Q002::B073ZJNLTV_review_2787798</x:v>
      </x:c>
      <x:c r="B44" s="38" t="str">
        <x:v>Q002</x:v>
      </x:c>
      <x:c r="C44" s="91" t="str">
        <x:v>I need Bluetooth headphones with clear microphone quality and a stable connection for work calls.</x:v>
      </x:c>
      <x:c r="D44" s="38" t="n">
        <x:v>3</x:v>
      </x:c>
      <x:c r="E44" s="38" t="str">
        <x:v>B073ZJNLTV</x:v>
      </x:c>
      <x:c r="F44" s="38" t="str">
        <x:v>review</x:v>
      </x:c>
      <x:c r="G44" s="38" t="str">
        <x:v>general</x:v>
      </x:c>
      <x:c r="H44" s="38" t="str">
        <x:v>Cell Phones &amp; Accessories</x:v>
      </x:c>
      <x:c r="I44" s="91" t="str">
        <x:v>[Product: Jabra Halo Smart Blue | ASIN: B073ZJNLTV] great head phones for work driving and working out</x:v>
      </x:c>
      <x:c r="J44" s="101" t="n">
        <x:v>1</x:v>
      </x:c>
      <x:c r="K44" s="92" t="str">
        <x:v>Human_Reviewer_01</x:v>
      </x:c>
      <x:c r="L44" s="92" t="str">
        <x:v>Medium</x:v>
      </x:c>
      <x:c r="M44" s="93" t="str">
        <x:v>Headphones are praised for work, but Bluetooth, microphone clarity, and connection stability are not established.</x:v>
      </x:c>
      <x:c r="N44" s="94"/>
      <x:c r="O44" s="94"/>
      <x:c r="P44" s="94"/>
      <x:c r="Q44" s="95"/>
      <x:c r="R44" s="96"/>
      <x:c r="S44" s="96"/>
      <x:c r="T44" s="97"/>
      <x:c r="U44" s="98" t="str">
        <x:f>IF(OR(J44="",N44=""),"",IF(J44=N44,"No","Yes"))</x:f>
      </x:c>
      <x:c r="V44" s="98" t="n">
        <x:v>1</x:v>
      </x:c>
    </x:row>
    <x:row r="45" ht="54" hidden="0" customHeight="1">
      <x:c r="A45" s="38" t="str">
        <x:v>Q002::B00G3FZ7YU_review_1189138</x:v>
      </x:c>
      <x:c r="B45" s="38" t="str">
        <x:v>Q002</x:v>
      </x:c>
      <x:c r="C45" s="91" t="str">
        <x:v>I need Bluetooth headphones with clear microphone quality and a stable connection for work calls.</x:v>
      </x:c>
      <x:c r="D45" s="38" t="n">
        <x:v>4</x:v>
      </x:c>
      <x:c r="E45" s="38" t="str">
        <x:v>B00G3FZ7YU</x:v>
      </x:c>
      <x:c r="F45" s="38" t="str">
        <x:v>review</x:v>
      </x:c>
      <x:c r="G45" s="38" t="str">
        <x:v>build quality</x:v>
      </x:c>
      <x:c r="H45" s="38" t="str">
        <x:v>Cell Phones &amp; Accessories</x:v>
      </x:c>
      <x:c r="I45" s="91" t="str">
        <x:v>[Product: Oxi Hands-Free Bluetooth Headset – Noise-Cancelling Over Ear Headphones with Built-In Microphone – Lightweight, Adjustable Comfort Ideal for Traveling, Work Calls, Trucking and Construction Work | ASIN: B00G3FZ7YU] The quality is not great, but it is not awful.</x:v>
      </x:c>
      <x:c r="J45" s="101" t="n">
        <x:v>1</x:v>
      </x:c>
      <x:c r="K45" s="92" t="str">
        <x:v>Human_Reviewer_01</x:v>
      </x:c>
      <x:c r="L45" s="92" t="str">
        <x:v>High</x:v>
      </x:c>
      <x:c r="M45" s="93" t="str">
        <x:v>Correct Bluetooth call headset, but the quality judgment is generic.</x:v>
      </x:c>
      <x:c r="N45" s="94"/>
      <x:c r="O45" s="94"/>
      <x:c r="P45" s="94"/>
      <x:c r="Q45" s="95"/>
      <x:c r="R45" s="96"/>
      <x:c r="S45" s="96"/>
      <x:c r="T45" s="97"/>
      <x:c r="U45" s="98" t="str">
        <x:f>IF(OR(J45="",N45=""),"",IF(J45=N45,"No","Yes"))</x:f>
      </x:c>
      <x:c r="V45" s="98" t="n">
        <x:v>1</x:v>
      </x:c>
    </x:row>
    <x:row r="46" ht="54" hidden="0" customHeight="1">
      <x:c r="A46" s="38" t="str">
        <x:v>Q002::B07GVDB9RQ_review_3041126</x:v>
      </x:c>
      <x:c r="B46" s="38" t="str">
        <x:v>Q002</x:v>
      </x:c>
      <x:c r="C46" s="91" t="str">
        <x:v>I need Bluetooth headphones with clear microphone quality and a stable connection for work calls.</x:v>
      </x:c>
      <x:c r="D46" s="38" t="n">
        <x:v>5</x:v>
      </x:c>
      <x:c r="E46" s="38" t="str">
        <x:v>B07GVDB9RQ</x:v>
      </x:c>
      <x:c r="F46" s="38" t="str">
        <x:v>review</x:v>
      </x:c>
      <x:c r="G46" s="38" t="str">
        <x:v>connectivity</x:v>
      </x:c>
      <x:c r="H46" s="38" t="str">
        <x:v>Cell Phones &amp; Accessories</x:v>
      </x:c>
      <x:c r="I46" s="91" t="str">
        <x:v>[Product: Wireless Headphones Non Ear Plug, 2019 New True Wireless Earbuds Noise Cancelling Handsfree Headset with Microphone for iPhone and Android Smart Phones (Yellow) | ASIN: B07GVDB9RQ] I do not like the fact they do not stay connected and they are not clear on calls.</x:v>
      </x:c>
      <x:c r="J46" s="101" t="n">
        <x:v>2</x:v>
      </x:c>
      <x:c r="K46" s="92" t="str">
        <x:v>Human_Reviewer_01</x:v>
      </x:c>
      <x:c r="L46" s="92" t="str">
        <x:v>High</x:v>
      </x:c>
      <x:c r="M46" s="93" t="str">
        <x:v>Wireless headphones explicitly disconnect and produce unclear calls; direct negative evidence.</x:v>
      </x:c>
      <x:c r="N46" s="94"/>
      <x:c r="O46" s="94"/>
      <x:c r="P46" s="94"/>
      <x:c r="Q46" s="95"/>
      <x:c r="R46" s="96"/>
      <x:c r="S46" s="96"/>
      <x:c r="T46" s="97"/>
      <x:c r="U46" s="98" t="str">
        <x:f>IF(OR(J46="",N46=""),"",IF(J46=N46,"No","Yes"))</x:f>
      </x:c>
      <x:c r="V46" s="98" t="n">
        <x:v>2</x:v>
      </x:c>
    </x:row>
    <x:row r="47" ht="54" hidden="0" customHeight="1">
      <x:c r="A47" s="38" t="str">
        <x:v>Q002::B00H48W7AC_review_1541759</x:v>
      </x:c>
      <x:c r="B47" s="38" t="str">
        <x:v>Q002</x:v>
      </x:c>
      <x:c r="C47" s="91" t="str">
        <x:v>I need Bluetooth headphones with clear microphone quality and a stable connection for work calls.</x:v>
      </x:c>
      <x:c r="D47" s="38" t="n">
        <x:v>6</x:v>
      </x:c>
      <x:c r="E47" s="38" t="str">
        <x:v>B00H48W7AC</x:v>
      </x:c>
      <x:c r="F47" s="38" t="str">
        <x:v>review</x:v>
      </x:c>
      <x:c r="G47" s="38" t="str">
        <x:v>build quality</x:v>
      </x:c>
      <x:c r="H47" s="38" t="str">
        <x:v>Cell Phones &amp; Accessories</x:v>
      </x:c>
      <x:c r="I47" s="91" t="str">
        <x:v>[Product: V7 HS2000-35-WHT-9NC Lightweight Stereo headset - Adjustable Headband with Microphone | ASIN: B00H48W7AC] Excellent sound quality for music and phone calls.</x:v>
      </x:c>
      <x:c r="J47" s="101" t="n">
        <x:v>1</x:v>
      </x:c>
      <x:c r="K47" s="92" t="str">
        <x:v>Human_Reviewer_01</x:v>
      </x:c>
      <x:c r="L47" s="92" t="str">
        <x:v>Medium</x:v>
      </x:c>
      <x:c r="M47" s="93" t="str">
        <x:v>Call sound is relevant, but Bluetooth capability and microphone quality are not established.</x:v>
      </x:c>
      <x:c r="N47" s="94"/>
      <x:c r="O47" s="94"/>
      <x:c r="P47" s="94"/>
      <x:c r="Q47" s="95"/>
      <x:c r="R47" s="96"/>
      <x:c r="S47" s="96"/>
      <x:c r="T47" s="97"/>
      <x:c r="U47" s="98" t="str">
        <x:f>IF(OR(J47="",N47=""),"",IF(J47=N47,"No","Yes"))</x:f>
      </x:c>
      <x:c r="V47" s="98" t="n">
        <x:v>1</x:v>
      </x:c>
    </x:row>
    <x:row r="48" ht="54" hidden="0" customHeight="1">
      <x:c r="A48" s="38" t="str">
        <x:v>Q002::B000ZRVCY6_review_2932140</x:v>
      </x:c>
      <x:c r="B48" s="38" t="str">
        <x:v>Q002</x:v>
      </x:c>
      <x:c r="C48" s="91" t="str">
        <x:v>I need Bluetooth headphones with clear microphone quality and a stable connection for work calls.</x:v>
      </x:c>
      <x:c r="D48" s="38" t="n">
        <x:v>7</x:v>
      </x:c>
      <x:c r="E48" s="38" t="str">
        <x:v>B000ZRVCY6</x:v>
      </x:c>
      <x:c r="F48" s="38" t="str">
        <x:v>review</x:v>
      </x:c>
      <x:c r="G48" s="38" t="str">
        <x:v>battery life</x:v>
      </x:c>
      <x:c r="H48" s="38" t="str">
        <x:v>Cell Phones &amp; Accessories</x:v>
      </x:c>
      <x:c r="I48" s="91" t="str">
        <x:v>[Product: Insignia Stereo Bluetooth Headphones NS-BTHDP | ASIN: B000ZRVCY6] I can charge them overnight and use them all day at work with no issue.</x:v>
      </x:c>
      <x:c r="J48" s="101" t="n">
        <x:v>1</x:v>
      </x:c>
      <x:c r="K48" s="92" t="str">
        <x:v>Human_Reviewer_01</x:v>
      </x:c>
      <x:c r="L48" s="92" t="str">
        <x:v>High</x:v>
      </x:c>
      <x:c r="M48" s="93" t="str">
        <x:v>Bluetooth headphones support all-day work use, but the chunk primarily addresses charging.</x:v>
      </x:c>
      <x:c r="N48" s="94"/>
      <x:c r="O48" s="94"/>
      <x:c r="P48" s="94"/>
      <x:c r="Q48" s="95"/>
      <x:c r="R48" s="96"/>
      <x:c r="S48" s="96"/>
      <x:c r="T48" s="97"/>
      <x:c r="U48" s="98" t="str">
        <x:f>IF(OR(J48="",N48=""),"",IF(J48=N48,"No","Yes"))</x:f>
      </x:c>
      <x:c r="V48" s="98" t="n">
        <x:v>1</x:v>
      </x:c>
    </x:row>
    <x:row r="49" ht="54" hidden="0" customHeight="1">
      <x:c r="A49" s="38" t="str">
        <x:v>Q002::B0012DV2DI_review_253147</x:v>
      </x:c>
      <x:c r="B49" s="38" t="str">
        <x:v>Q002</x:v>
      </x:c>
      <x:c r="C49" s="91" t="str">
        <x:v>I need Bluetooth headphones with clear microphone quality and a stable connection for work calls.</x:v>
      </x:c>
      <x:c r="D49" s="38" t="n">
        <x:v>8</x:v>
      </x:c>
      <x:c r="E49" s="38" t="str">
        <x:v>B0012DV2DI</x:v>
      </x:c>
      <x:c r="F49" s="38" t="str">
        <x:v>review</x:v>
      </x:c>
      <x:c r="G49" s="38" t="str">
        <x:v>price/value</x:v>
      </x:c>
      <x:c r="H49" s="38" t="str">
        <x:v>Cell Phones &amp; Accessories</x:v>
      </x:c>
      <x:c r="I49" s="91" t="str">
        <x:v>[Product: Insignia Bluetooth Enabled Headset NS-BTHDST | ASIN: B0012DV2DI] /&gt;I did some checking and saw that these seemed to be the most reasonably priced.</x:v>
      </x:c>
      <x:c r="J49" s="101" t="n">
        <x:v>1</x:v>
      </x:c>
      <x:c r="K49" s="92" t="str">
        <x:v>Human_Reviewer_01</x:v>
      </x:c>
      <x:c r="L49" s="92" t="str">
        <x:v>High</x:v>
      </x:c>
      <x:c r="M49" s="93" t="str">
        <x:v>Correct Bluetooth headset, but pricing does not establish call or connection quality.</x:v>
      </x:c>
      <x:c r="N49" s="94"/>
      <x:c r="O49" s="94"/>
      <x:c r="P49" s="94"/>
      <x:c r="Q49" s="95"/>
      <x:c r="R49" s="96"/>
      <x:c r="S49" s="96"/>
      <x:c r="T49" s="97"/>
      <x:c r="U49" s="98" t="str">
        <x:f>IF(OR(J49="",N49=""),"",IF(J49=N49,"No","Yes"))</x:f>
      </x:c>
      <x:c r="V49" s="98" t="n">
        <x:v>1</x:v>
      </x:c>
    </x:row>
    <x:row r="50" ht="54" hidden="0" customHeight="1">
      <x:c r="A50" s="38" t="str">
        <x:v>Q002::B00N43BPPO_review_3261150</x:v>
      </x:c>
      <x:c r="B50" s="38" t="str">
        <x:v>Q002</x:v>
      </x:c>
      <x:c r="C50" s="91" t="str">
        <x:v>I need Bluetooth headphones with clear microphone quality and a stable connection for work calls.</x:v>
      </x:c>
      <x:c r="D50" s="38" t="n">
        <x:v>9</x:v>
      </x:c>
      <x:c r="E50" s="38" t="str">
        <x:v>B00N43BPPO</x:v>
      </x:c>
      <x:c r="F50" s="38" t="str">
        <x:v>review</x:v>
      </x:c>
      <x:c r="G50" s="38" t="str">
        <x:v>build quality</x:v>
      </x:c>
      <x:c r="H50" s="38" t="str">
        <x:v>Cell Phones &amp; Accessories</x:v>
      </x:c>
      <x:c r="I50" s="91" t="str">
        <x:v>[Product: Kinivo BTH240 Bluetooth Headphones (White, On-Ear, Wireless Music, Hands-Free Calling, Built-in Mic, Foldable, Memory Form Earpads, Travel Bag) | ASIN: B00N43BPPO] It is not over the top when it comes to sound quality</x:v>
      </x:c>
      <x:c r="J50" s="101" t="n">
        <x:v>1</x:v>
      </x:c>
      <x:c r="K50" s="92" t="str">
        <x:v>Human_Reviewer_01</x:v>
      </x:c>
      <x:c r="L50" s="92" t="str">
        <x:v>High</x:v>
      </x:c>
      <x:c r="M50" s="93" t="str">
        <x:v>Bluetooth headphones address general sound only, with no microphone or stability evidence.</x:v>
      </x:c>
      <x:c r="N50" s="94"/>
      <x:c r="O50" s="94"/>
      <x:c r="P50" s="94"/>
      <x:c r="Q50" s="95"/>
      <x:c r="R50" s="96"/>
      <x:c r="S50" s="96"/>
      <x:c r="T50" s="97"/>
      <x:c r="U50" s="98" t="str">
        <x:f>IF(OR(J50="",N50=""),"",IF(J50=N50,"No","Yes"))</x:f>
      </x:c>
      <x:c r="V50" s="98" t="n">
        <x:v>1</x:v>
      </x:c>
    </x:row>
    <x:row r="51" ht="54" hidden="0" customHeight="1">
      <x:c r="A51" s="38" t="str">
        <x:v>Q002::B076Q7MLXB_review_805134</x:v>
      </x:c>
      <x:c r="B51" s="38" t="str">
        <x:v>Q002</x:v>
      </x:c>
      <x:c r="C51" s="91" t="str">
        <x:v>I need Bluetooth headphones with clear microphone quality and a stable connection for work calls.</x:v>
      </x:c>
      <x:c r="D51" s="38" t="n">
        <x:v>10</x:v>
      </x:c>
      <x:c r="E51" s="38" t="str">
        <x:v>B076Q7MLXB</x:v>
      </x:c>
      <x:c r="F51" s="38" t="str">
        <x:v>review</x:v>
      </x:c>
      <x:c r="G51" s="38" t="str">
        <x:v>sound quality</x:v>
      </x:c>
      <x:c r="H51" s="38" t="str">
        <x:v>Cell Phones &amp; Accessories</x:v>
      </x:c>
      <x:c r="I51" s="91" t="str">
        <x:v>[Product: in Ear Earbuds, Diivoo Dual Driver in-Ear Headphones with Microphone Wired Earphones, Stereo Clear Sound Ear Buds Earphone for Apple iPhone iPad Laptop Samsung Android, Elegant Blue | ASIN: B076Q7MLXB] These have a built-in microphone which I will use for phone calls. I just recently used these for a PBA League match and the sound was very good.</x:v>
      </x:c>
      <x:c r="J51" s="101" t="n">
        <x:v>0</x:v>
      </x:c>
      <x:c r="K51" s="92" t="str">
        <x:v>Human_Reviewer_01</x:v>
      </x:c>
      <x:c r="L51" s="92" t="str">
        <x:v>High</x:v>
      </x:c>
      <x:c r="M51" s="93" t="str">
        <x:v>The headphones are explicitly wired rather than Bluetooth.</x:v>
      </x:c>
      <x:c r="N51" s="94"/>
      <x:c r="O51" s="94"/>
      <x:c r="P51" s="94"/>
      <x:c r="Q51" s="95"/>
      <x:c r="R51" s="96"/>
      <x:c r="S51" s="96"/>
      <x:c r="T51" s="97"/>
      <x:c r="U51" s="98" t="str">
        <x:f>IF(OR(J51="",N51=""),"",IF(J51=N51,"No","Yes"))</x:f>
      </x:c>
      <x:c r="V51" s="98" t="n">
        <x:v>0</x:v>
      </x:c>
    </x:row>
    <x:row r="52" ht="54" hidden="0" customHeight="1">
      <x:c r="A52" s="38" t="str">
        <x:v>Q002::B00G3FZ7YU_review_1189161</x:v>
      </x:c>
      <x:c r="B52" s="38" t="str">
        <x:v>Q002</x:v>
      </x:c>
      <x:c r="C52" s="91" t="str">
        <x:v>I need Bluetooth headphones with clear microphone quality and a stable connection for work calls.</x:v>
      </x:c>
      <x:c r="D52" s="38" t="n">
        <x:v>11</x:v>
      </x:c>
      <x:c r="E52" s="38" t="str">
        <x:v>B00G3FZ7YU</x:v>
      </x:c>
      <x:c r="F52" s="38" t="str">
        <x:v>review</x:v>
      </x:c>
      <x:c r="G52" s="38" t="str">
        <x:v>sound quality</x:v>
      </x:c>
      <x:c r="H52" s="38" t="str">
        <x:v>Cell Phones &amp; Accessories</x:v>
      </x:c>
      <x:c r="I52" s="91" t="str">
        <x:v>[Product: Oxi Hands-Free Bluetooth Headset – Noise-Cancelling Over Ear Headphones with Built-In Microphone – Lightweight, Adjustable Comfort Ideal for Traveling, Work Calls, Trucking and Construction Work | ASIN: B00G3FZ7YU] Very good sound quality and the microphone filters out road and factory noise pretty well.</x:v>
      </x:c>
      <x:c r="J52" s="101" t="n">
        <x:v>2</x:v>
      </x:c>
      <x:c r="K52" s="92" t="str">
        <x:v>Human_Reviewer_01</x:v>
      </x:c>
      <x:c r="L52" s="92" t="str">
        <x:v>High</x:v>
      </x:c>
      <x:c r="M52" s="93" t="str">
        <x:v>Bluetooth headset microphone filters road and factory noise, directly supporting call clarity.</x:v>
      </x:c>
      <x:c r="N52" s="94"/>
      <x:c r="O52" s="94"/>
      <x:c r="P52" s="94"/>
      <x:c r="Q52" s="95"/>
      <x:c r="R52" s="96"/>
      <x:c r="S52" s="96"/>
      <x:c r="T52" s="97"/>
      <x:c r="U52" s="98" t="str">
        <x:f>IF(OR(J52="",N52=""),"",IF(J52=N52,"No","Yes"))</x:f>
      </x:c>
      <x:c r="V52" s="98" t="n">
        <x:v>2</x:v>
      </x:c>
    </x:row>
    <x:row r="53" ht="54" hidden="0" customHeight="1">
      <x:c r="A53" s="38" t="str">
        <x:v>Q002::B07G98GG51_review_1186986</x:v>
      </x:c>
      <x:c r="B53" s="38" t="str">
        <x:v>Q002</x:v>
      </x:c>
      <x:c r="C53" s="91" t="str">
        <x:v>I need Bluetooth headphones with clear microphone quality and a stable connection for work calls.</x:v>
      </x:c>
      <x:c r="D53" s="38" t="n">
        <x:v>12</x:v>
      </x:c>
      <x:c r="E53" s="38" t="str">
        <x:v>B07G98GG51</x:v>
      </x:c>
      <x:c r="F53" s="38" t="str">
        <x:v>review</x:v>
      </x:c>
      <x:c r="G53" s="38" t="str">
        <x:v>connectivity</x:v>
      </x:c>
      <x:c r="H53" s="38" t="str">
        <x:v>Cell Phones &amp; Accessories</x:v>
      </x:c>
      <x:c r="I53" s="91" t="str">
        <x:v>[Product: AKG Y500 On-Ear Foldable Wireless Bluetooth Headphones - Black (US Version) | ASIN: B07G98GG51] The headphones also have an answer/end call button.&lt;br /&gt;&lt;br /&gt;It has multipoint connection for those who want to connect to two devices. Ex: those who want to connect to a separate bluetooth device for music and connect to their phone to answer calls.</x:v>
      </x:c>
      <x:c r="J53" s="101" t="n">
        <x:v>1</x:v>
      </x:c>
      <x:c r="K53" s="92" t="str">
        <x:v>Human_Reviewer_01</x:v>
      </x:c>
      <x:c r="L53" s="92" t="str">
        <x:v>High</x:v>
      </x:c>
      <x:c r="M53" s="93" t="str">
        <x:v>Bluetooth headphones support calls and multipoint pairing, but call clarity and connection stability are absent.</x:v>
      </x:c>
      <x:c r="N53" s="94"/>
      <x:c r="O53" s="94"/>
      <x:c r="P53" s="94"/>
      <x:c r="Q53" s="95"/>
      <x:c r="R53" s="96"/>
      <x:c r="S53" s="96"/>
      <x:c r="T53" s="97"/>
      <x:c r="U53" s="98" t="str">
        <x:f>IF(OR(J53="",N53=""),"",IF(J53=N53,"No","Yes"))</x:f>
      </x:c>
      <x:c r="V53" s="98" t="n">
        <x:v>1</x:v>
      </x:c>
    </x:row>
    <x:row r="54" ht="54" hidden="0" customHeight="1">
      <x:c r="A54" s="38" t="str">
        <x:v>Q002::B01LWOLBWE_review_439467</x:v>
      </x:c>
      <x:c r="B54" s="38" t="str">
        <x:v>Q002</x:v>
      </x:c>
      <x:c r="C54" s="91" t="str">
        <x:v>I need Bluetooth headphones with clear microphone quality and a stable connection for work calls.</x:v>
      </x:c>
      <x:c r="D54" s="38" t="n">
        <x:v>13</x:v>
      </x:c>
      <x:c r="E54" s="38" t="str">
        <x:v>B01LWOLBWE</x:v>
      </x:c>
      <x:c r="F54" s="38" t="str">
        <x:v>review</x:v>
      </x:c>
      <x:c r="G54" s="38" t="str">
        <x:v>build quality</x:v>
      </x:c>
      <x:c r="H54" s="38" t="str">
        <x:v>Cell Phones &amp; Accessories</x:v>
      </x:c>
      <x:c r="I54" s="91" t="str">
        <x:v>[Product: PureGear PureBoom in-Ear Bluetooth Premium Sound Headphones Wireless Sport Earbuds w/Mic, IPX4 Sweat and Water Resistant, Universal Fit, 8 Hours Battery, Magnetic Auto On-Off Technology | ASIN: B01LWOLBWE] Sound quality is ok for podcasts and phone calls.</x:v>
      </x:c>
      <x:c r="J54" s="101" t="n">
        <x:v>1</x:v>
      </x:c>
      <x:c r="K54" s="92" t="str">
        <x:v>Human_Reviewer_01</x:v>
      </x:c>
      <x:c r="L54" s="92" t="str">
        <x:v>High</x:v>
      </x:c>
      <x:c r="M54" s="93" t="str">
        <x:v>Bluetooth headphone call listening quality is relevant, but microphone clarity and connection stability are not established.</x:v>
      </x:c>
      <x:c r="N54" s="94"/>
      <x:c r="O54" s="94"/>
      <x:c r="P54" s="94"/>
      <x:c r="Q54" s="95"/>
      <x:c r="R54" s="96"/>
      <x:c r="S54" s="96"/>
      <x:c r="T54" s="97"/>
      <x:c r="U54" s="98" t="str">
        <x:f>IF(OR(J54="",N54=""),"",IF(J54=N54,"No","Yes"))</x:f>
      </x:c>
      <x:c r="V54" s="98" t="n">
        <x:v>1</x:v>
      </x:c>
    </x:row>
    <x:row r="55" ht="54" hidden="0" customHeight="1">
      <x:c r="A55" s="38" t="str">
        <x:v>Q002::B00N438N3G_review_4138999</x:v>
      </x:c>
      <x:c r="B55" s="38" t="str">
        <x:v>Q002</x:v>
      </x:c>
      <x:c r="C55" s="91" t="str">
        <x:v>I need Bluetooth headphones with clear microphone quality and a stable connection for work calls.</x:v>
      </x:c>
      <x:c r="D55" s="38" t="n">
        <x:v>14</x:v>
      </x:c>
      <x:c r="E55" s="38" t="str">
        <x:v>B00N438N3G</x:v>
      </x:c>
      <x:c r="F55" s="38" t="str">
        <x:v>review</x:v>
      </x:c>
      <x:c r="G55" s="38" t="str">
        <x:v>build quality</x:v>
      </x:c>
      <x:c r="H55" s="38" t="str">
        <x:v>Cell Phones &amp; Accessories</x:v>
      </x:c>
      <x:c r="I55" s="91" t="str">
        <x:v>[Product: Kinivo BTH240 Bluetooth Headphones (Blue, On-Ear, Wireless Music, Hands-Free Calling, Built-in Mic, Foldable, Memory Form Earpads, Travel Bag) | ASIN: B00N438N3G] I really enjoy their sound quality as well.</x:v>
      </x:c>
      <x:c r="J55" s="101" t="n">
        <x:v>1</x:v>
      </x:c>
      <x:c r="K55" s="92" t="str">
        <x:v>Human_Reviewer_01</x:v>
      </x:c>
      <x:c r="L55" s="92" t="str">
        <x:v>High</x:v>
      </x:c>
      <x:c r="M55" s="93" t="str">
        <x:v>General headphone sound quality does not establish microphone or connection performance.</x:v>
      </x:c>
      <x:c r="N55" s="94"/>
      <x:c r="O55" s="94"/>
      <x:c r="P55" s="94"/>
      <x:c r="Q55" s="95"/>
      <x:c r="R55" s="96"/>
      <x:c r="S55" s="96"/>
      <x:c r="T55" s="97"/>
      <x:c r="U55" s="98" t="str">
        <x:f>IF(OR(J55="",N55=""),"",IF(J55=N55,"No","Yes"))</x:f>
      </x:c>
      <x:c r="V55" s="98" t="n">
        <x:v>1</x:v>
      </x:c>
    </x:row>
    <x:row r="56" ht="54" hidden="0" customHeight="1">
      <x:c r="A56" s="38" t="str">
        <x:v>Q002::B072HTCBBS_review_2328641</x:v>
      </x:c>
      <x:c r="B56" s="38" t="str">
        <x:v>Q002</x:v>
      </x:c>
      <x:c r="C56" s="91" t="str">
        <x:v>I need Bluetooth headphones with clear microphone quality and a stable connection for work calls.</x:v>
      </x:c>
      <x:c r="D56" s="38" t="n">
        <x:v>15</x:v>
      </x:c>
      <x:c r="E56" s="38" t="str">
        <x:v>B072HTCBBS</x:v>
      </x:c>
      <x:c r="F56" s="38" t="str">
        <x:v>review</x:v>
      </x:c>
      <x:c r="G56" s="38" t="str">
        <x:v>general</x:v>
      </x:c>
      <x:c r="H56" s="38" t="str">
        <x:v>Cell Phones &amp; Accessories</x:v>
      </x:c>
      <x:c r="I56" s="91" t="str">
        <x:v>[Product: Plantronics BackBeat 500 Wireless Bluetooth Headphones - Lightweight Memory Foam Headband and Earcups - Compatible with iPhone, iPad, Android, and Other Smart Devices - White | ASIN: B072HTCBBS] Unfortunate, it is not clear in the description, but these are not suitable for phone calls.</x:v>
      </x:c>
      <x:c r="J56" s="101" t="n">
        <x:v>2</x:v>
      </x:c>
      <x:c r="K56" s="92" t="str">
        <x:v>Human_Reviewer_01</x:v>
      </x:c>
      <x:c r="L56" s="92" t="str">
        <x:v>High</x:v>
      </x:c>
      <x:c r="M56" s="93" t="str">
        <x:v>Bluetooth headphones are explicitly unsuitable for phone calls; direct negative evidence.</x:v>
      </x:c>
      <x:c r="N56" s="94"/>
      <x:c r="O56" s="94"/>
      <x:c r="P56" s="94"/>
      <x:c r="Q56" s="95"/>
      <x:c r="R56" s="96"/>
      <x:c r="S56" s="96"/>
      <x:c r="T56" s="97"/>
      <x:c r="U56" s="98" t="str">
        <x:f>IF(OR(J56="",N56=""),"",IF(J56=N56,"No","Yes"))</x:f>
      </x:c>
      <x:c r="V56" s="98" t="n">
        <x:v>2</x:v>
      </x:c>
    </x:row>
    <x:row r="57" ht="54" hidden="0" customHeight="1">
      <x:c r="A57" s="38" t="str">
        <x:v>Q002::B01CZ0QA4W_review_1672208</x:v>
      </x:c>
      <x:c r="B57" s="38" t="str">
        <x:v>Q002</x:v>
      </x:c>
      <x:c r="C57" s="91" t="str">
        <x:v>I need Bluetooth headphones with clear microphone quality and a stable connection for work calls.</x:v>
      </x:c>
      <x:c r="D57" s="38" t="n">
        <x:v>16</x:v>
      </x:c>
      <x:c r="E57" s="38" t="str">
        <x:v>B01CZ0QA4W</x:v>
      </x:c>
      <x:c r="F57" s="38" t="str">
        <x:v>review</x:v>
      </x:c>
      <x:c r="G57" s="38" t="str">
        <x:v>general</x:v>
      </x:c>
      <x:c r="H57" s="38" t="str">
        <x:v>Cell Phones &amp; Accessories</x:v>
      </x:c>
      <x:c r="I57" s="91" t="str">
        <x:v>[Product: LG HBS-910.ACUSSVI Tone Infinim Bluetooth Stereo Headset - Retail Packaging - Silver | ASIN: B01CZ0QA4W] I used it for 2 years daily for work and podcast listening. /&gt;I was incredibly disappointed with my new HBS-910. I need this headset for phone meetings and phone calls.</x:v>
      </x:c>
      <x:c r="J57" s="101" t="n">
        <x:v>1</x:v>
      </x:c>
      <x:c r="K57" s="92" t="str">
        <x:v>Human_Reviewer_01</x:v>
      </x:c>
      <x:c r="L57" s="92" t="str">
        <x:v>Medium</x:v>
      </x:c>
      <x:c r="M57" s="93" t="str">
        <x:v>Bluetooth headset is discussed for phone meetings, but the cause of disappointment is missing.</x:v>
      </x:c>
      <x:c r="N57" s="94"/>
      <x:c r="O57" s="94"/>
      <x:c r="P57" s="94"/>
      <x:c r="Q57" s="95"/>
      <x:c r="R57" s="96"/>
      <x:c r="S57" s="96"/>
      <x:c r="T57" s="97"/>
      <x:c r="U57" s="98" t="str">
        <x:f>IF(OR(J57="",N57=""),"",IF(J57=N57,"No","Yes"))</x:f>
      </x:c>
      <x:c r="V57" s="98" t="n">
        <x:v>1</x:v>
      </x:c>
    </x:row>
    <x:row r="58" ht="54" hidden="0" customHeight="1">
      <x:c r="A58" s="38" t="str">
        <x:v>Q002::B0BJJ2G9P5_review_3858891</x:v>
      </x:c>
      <x:c r="B58" s="38" t="str">
        <x:v>Q002</x:v>
      </x:c>
      <x:c r="C58" s="91" t="str">
        <x:v>I need Bluetooth headphones with clear microphone quality and a stable connection for work calls.</x:v>
      </x:c>
      <x:c r="D58" s="38" t="n">
        <x:v>17</x:v>
      </x:c>
      <x:c r="E58" s="38" t="str">
        <x:v>B0BJJ2G9P5</x:v>
      </x:c>
      <x:c r="F58" s="38" t="str">
        <x:v>review</x:v>
      </x:c>
      <x:c r="G58" s="38" t="str">
        <x:v>general</x:v>
      </x:c>
      <x:c r="H58" s="38" t="str">
        <x:v>Computers</x:v>
      </x:c>
      <x:c r="I58" s="91" t="str">
        <x:v>[Product: Poly Voyager 4320 UC Wireless Headset &amp; Charge Stand (Plantronics) - Stereo Headphones W/Noise-Canceling Boom Mic - Connect PC/Mac/Mobile Via Bluetooth - Microsoft Teams Certified - Amazon Exclusive | ASIN: B0BJJ2G9P5] I have been using this headset for a month now and it is perfect. I work from home and can be anywhere in my home and still be heard crystal clear with my calls. I recommend this for all thar WFH.</x:v>
      </x:c>
      <x:c r="J58" s="101" t="n">
        <x:v>2</x:v>
      </x:c>
      <x:c r="K58" s="92" t="str">
        <x:v>Human_Reviewer_01</x:v>
      </x:c>
      <x:c r="L58" s="92" t="str">
        <x:v>High</x:v>
      </x:c>
      <x:c r="M58" s="93" t="str">
        <x:v>Bluetooth headset delivers crystal-clear outgoing calls while moving around the home.</x:v>
      </x:c>
      <x:c r="N58" s="94"/>
      <x:c r="O58" s="94"/>
      <x:c r="P58" s="94"/>
      <x:c r="Q58" s="95"/>
      <x:c r="R58" s="96"/>
      <x:c r="S58" s="96"/>
      <x:c r="T58" s="97"/>
      <x:c r="U58" s="98" t="str">
        <x:f>IF(OR(J58="",N58=""),"",IF(J58=N58,"No","Yes"))</x:f>
      </x:c>
      <x:c r="V58" s="98" t="n">
        <x:v>2</x:v>
      </x:c>
    </x:row>
    <x:row r="59" ht="54" hidden="0" customHeight="1">
      <x:c r="A59" s="38" t="str">
        <x:v>Q002::B015KY5J7Y_review_2408398</x:v>
      </x:c>
      <x:c r="B59" s="38" t="str">
        <x:v>Q002</x:v>
      </x:c>
      <x:c r="C59" s="91" t="str">
        <x:v>I need Bluetooth headphones with clear microphone quality and a stable connection for work calls.</x:v>
      </x:c>
      <x:c r="D59" s="38" t="n">
        <x:v>18</x:v>
      </x:c>
      <x:c r="E59" s="38" t="str">
        <x:v>B015KY5J7Y</x:v>
      </x:c>
      <x:c r="F59" s="38" t="str">
        <x:v>review</x:v>
      </x:c>
      <x:c r="G59" s="38" t="str">
        <x:v>general</x:v>
      </x:c>
      <x:c r="H59" s="38" t="str">
        <x:v>Cell Phones &amp; Accessories</x:v>
      </x:c>
      <x:c r="I59" s="91" t="str">
        <x:v>[Product: FingerLakes 3.5mm Microphone Assembly Mic for Car Vehicle Head Unit Bluetooth Enabled Stereo Radio GPS DVD | ASIN: B015KY5J7Y] My voice came in loud and clear to the listeners on the other end of my telephone calls.</x:v>
      </x:c>
      <x:c r="J59" s="101" t="n">
        <x:v>0</x:v>
      </x:c>
      <x:c r="K59" s="92" t="str">
        <x:v>Human_Reviewer_01</x:v>
      </x:c>
      <x:c r="L59" s="92" t="str">
        <x:v>High</x:v>
      </x:c>
      <x:c r="M59" s="93" t="str">
        <x:v>This is a car microphone assembly, not headphones.</x:v>
      </x:c>
      <x:c r="N59" s="94"/>
      <x:c r="O59" s="94"/>
      <x:c r="P59" s="94"/>
      <x:c r="Q59" s="95"/>
      <x:c r="R59" s="96"/>
      <x:c r="S59" s="96"/>
      <x:c r="T59" s="97"/>
      <x:c r="U59" s="98" t="str">
        <x:f>IF(OR(J59="",N59=""),"",IF(J59=N59,"No","Yes"))</x:f>
      </x:c>
      <x:c r="V59" s="98" t="n">
        <x:v>0</x:v>
      </x:c>
    </x:row>
    <x:row r="60" ht="54" hidden="0" customHeight="1">
      <x:c r="A60" s="38" t="str">
        <x:v>Q002::B000VVERJI_review_636359</x:v>
      </x:c>
      <x:c r="B60" s="38" t="str">
        <x:v>Q002</x:v>
      </x:c>
      <x:c r="C60" s="91" t="str">
        <x:v>I need Bluetooth headphones with clear microphone quality and a stable connection for work calls.</x:v>
      </x:c>
      <x:c r="D60" s="38" t="n">
        <x:v>19</x:v>
      </x:c>
      <x:c r="E60" s="38" t="str">
        <x:v>B000VVERJI</x:v>
      </x:c>
      <x:c r="F60" s="38" t="str">
        <x:v>review</x:v>
      </x:c>
      <x:c r="G60" s="38" t="str">
        <x:v>build quality</x:v>
      </x:c>
      <x:c r="H60" s="38" t="str">
        <x:v>Cell Phones &amp; Accessories</x:v>
      </x:c>
      <x:c r="I60" s="91" t="str">
        <x:v>[Product: Stereo Headset with Built-in Microphone and Click / Hold Button for Apple iPhone - Ear Cusions Included (White) | ASIN: B000VVERJI] The sound quality in the headphones was very good for both music and calls. However, my first pair broke after about six months of use. Seems that the build quality is uneven and not highly consistent.</x:v>
      </x:c>
      <x:c r="J60" s="101" t="n">
        <x:v>1</x:v>
      </x:c>
      <x:c r="K60" s="92" t="str">
        <x:v>Human_Reviewer_01</x:v>
      </x:c>
      <x:c r="L60" s="92" t="str">
        <x:v>Medium</x:v>
      </x:c>
      <x:c r="M60" s="93" t="str">
        <x:v>Headphone call sound is relevant, but Bluetooth capability and outgoing microphone clarity are absent.</x:v>
      </x:c>
      <x:c r="N60" s="94"/>
      <x:c r="O60" s="94"/>
      <x:c r="P60" s="94"/>
      <x:c r="Q60" s="95"/>
      <x:c r="R60" s="96"/>
      <x:c r="S60" s="96"/>
      <x:c r="T60" s="97"/>
      <x:c r="U60" s="98" t="str">
        <x:f>IF(OR(J60="",N60=""),"",IF(J60=N60,"No","Yes"))</x:f>
      </x:c>
      <x:c r="V60" s="98" t="n">
        <x:v>1</x:v>
      </x:c>
    </x:row>
    <x:row r="61" ht="54" hidden="0" customHeight="1">
      <x:c r="A61" s="38" t="str">
        <x:v>Q002::B00N438N3G_review_4139000</x:v>
      </x:c>
      <x:c r="B61" s="38" t="str">
        <x:v>Q002</x:v>
      </x:c>
      <x:c r="C61" s="91" t="str">
        <x:v>I need Bluetooth headphones with clear microphone quality and a stable connection for work calls.</x:v>
      </x:c>
      <x:c r="D61" s="38" t="n">
        <x:v>20</x:v>
      </x:c>
      <x:c r="E61" s="38" t="str">
        <x:v>B00N438N3G</x:v>
      </x:c>
      <x:c r="F61" s="38" t="str">
        <x:v>review</x:v>
      </x:c>
      <x:c r="G61" s="38" t="str">
        <x:v>price/value</x:v>
      </x:c>
      <x:c r="H61" s="38" t="str">
        <x:v>Cell Phones &amp; Accessories</x:v>
      </x:c>
      <x:c r="I61" s="91" t="str">
        <x:v>[Product: Kinivo BTH240 Bluetooth Headphones (Blue, On-Ear, Wireless Music, Hands-Free Calling, Built-in Mic, Foldable, Memory Form Earpads, Travel Bag) | ASIN: B00N438N3G] Good value for the money!</x:v>
      </x:c>
      <x:c r="J61" s="101" t="n">
        <x:v>1</x:v>
      </x:c>
      <x:c r="K61" s="92" t="str">
        <x:v>Human_Reviewer_01</x:v>
      </x:c>
      <x:c r="L61" s="92" t="str">
        <x:v>High</x:v>
      </x:c>
      <x:c r="M61" s="93" t="str">
        <x:v>Correct Bluetooth headphones, but value alone does not establish call suitability.</x:v>
      </x:c>
      <x:c r="N61" s="94"/>
      <x:c r="O61" s="94"/>
      <x:c r="P61" s="94"/>
      <x:c r="Q61" s="95"/>
      <x:c r="R61" s="96"/>
      <x:c r="S61" s="96"/>
      <x:c r="T61" s="97"/>
      <x:c r="U61" s="98" t="str">
        <x:f>IF(OR(J61="",N61=""),"",IF(J61=N61,"No","Yes"))</x:f>
      </x:c>
      <x:c r="V61" s="98" t="n">
        <x:v>1</x:v>
      </x:c>
    </x:row>
    <x:row r="62" ht="54" hidden="0" customHeight="1">
      <x:c r="A62" s="38" t="str">
        <x:v>Q002::B00OGUVGYE_review_169048</x:v>
      </x:c>
      <x:c r="B62" s="38" t="str">
        <x:v>Q002</x:v>
      </x:c>
      <x:c r="C62" s="91" t="str">
        <x:v>I need Bluetooth headphones with clear microphone quality and a stable connection for work calls.</x:v>
      </x:c>
      <x:c r="D62" s="38" t="n">
        <x:v>21</x:v>
      </x:c>
      <x:c r="E62" s="38" t="str">
        <x:v>B00OGUVGYE</x:v>
      </x:c>
      <x:c r="F62" s="38" t="str">
        <x:v>review</x:v>
      </x:c>
      <x:c r="G62" s="38" t="str">
        <x:v>build quality</x:v>
      </x:c>
      <x:c r="H62" s="38" t="str">
        <x:v>Cell Phones &amp; Accessories</x:v>
      </x:c>
      <x:c r="I62" s="91" t="str">
        <x:v>[Product: Movo BTH400 Wireless Bluetooth Stereo Headphones with Noise Isolation, Microphone, 12 Hour Rechargeable Battery &amp; Deluxe Hard Case | ASIN: B00OGUVGYE] Pretty solid headphones, I would recommend</x:v>
      </x:c>
      <x:c r="J62" s="101" t="n">
        <x:v>1</x:v>
      </x:c>
      <x:c r="K62" s="92" t="str">
        <x:v>Human_Reviewer_01</x:v>
      </x:c>
      <x:c r="L62" s="92" t="str">
        <x:v>High</x:v>
      </x:c>
      <x:c r="M62" s="93" t="str">
        <x:v>Correct Bluetooth headphones, but the recommendation lacks call or connection evidence.</x:v>
      </x:c>
      <x:c r="N62" s="94"/>
      <x:c r="O62" s="94"/>
      <x:c r="P62" s="94"/>
      <x:c r="Q62" s="95"/>
      <x:c r="R62" s="96"/>
      <x:c r="S62" s="96"/>
      <x:c r="T62" s="97"/>
      <x:c r="U62" s="98" t="str">
        <x:f>IF(OR(J62="",N62=""),"",IF(J62=N62,"No","Yes"))</x:f>
      </x:c>
      <x:c r="V62" s="98" t="n">
        <x:v>1</x:v>
      </x:c>
    </x:row>
    <x:row r="63" ht="54" hidden="0" customHeight="1">
      <x:c r="A63" s="38" t="str">
        <x:v>Q002::B00N438N3G_review_4139026</x:v>
      </x:c>
      <x:c r="B63" s="38" t="str">
        <x:v>Q002</x:v>
      </x:c>
      <x:c r="C63" s="91" t="str">
        <x:v>I need Bluetooth headphones with clear microphone quality and a stable connection for work calls.</x:v>
      </x:c>
      <x:c r="D63" s="38" t="n">
        <x:v>22</x:v>
      </x:c>
      <x:c r="E63" s="38" t="str">
        <x:v>B00N438N3G</x:v>
      </x:c>
      <x:c r="F63" s="38" t="str">
        <x:v>review</x:v>
      </x:c>
      <x:c r="G63" s="38" t="str">
        <x:v>sound quality</x:v>
      </x:c>
      <x:c r="H63" s="38" t="str">
        <x:v>Cell Phones &amp; Accessories</x:v>
      </x:c>
      <x:c r="I63" s="91" t="str">
        <x:v>[Product: Kinivo BTH240 Bluetooth Headphones (Blue, On-Ear, Wireless Music, Hands-Free Calling, Built-in Mic, Foldable, Memory Form Earpads, Travel Bag) | ASIN: B00N438N3G] One or 2 more volume clicks please!&lt;br /&gt;&lt;br</x:v>
      </x:c>
      <x:c r="J63" s="101" t="n">
        <x:v>1</x:v>
      </x:c>
      <x:c r="K63" s="92" t="str">
        <x:v>Human_Reviewer_01</x:v>
      </x:c>
      <x:c r="L63" s="92" t="str">
        <x:v>High</x:v>
      </x:c>
      <x:c r="M63" s="93" t="str">
        <x:v>Bluetooth headphone volume is related, but microphone clarity and connection stability are absent.</x:v>
      </x:c>
      <x:c r="N63" s="94"/>
      <x:c r="O63" s="94"/>
      <x:c r="P63" s="94"/>
      <x:c r="Q63" s="95"/>
      <x:c r="R63" s="96"/>
      <x:c r="S63" s="96"/>
      <x:c r="T63" s="97"/>
      <x:c r="U63" s="98" t="str">
        <x:f>IF(OR(J63="",N63=""),"",IF(J63=N63,"No","Yes"))</x:f>
      </x:c>
      <x:c r="V63" s="98" t="n">
        <x:v>1</x:v>
      </x:c>
    </x:row>
    <x:row r="64" ht="54" hidden="0" customHeight="1">
      <x:c r="A64" s="38" t="str">
        <x:v>Q002::B00WMLXPE8_review_2280671</x:v>
      </x:c>
      <x:c r="B64" s="38" t="str">
        <x:v>Q002</x:v>
      </x:c>
      <x:c r="C64" s="91" t="str">
        <x:v>I need Bluetooth headphones with clear microphone quality and a stable connection for work calls.</x:v>
      </x:c>
      <x:c r="D64" s="38" t="n">
        <x:v>23</x:v>
      </x:c>
      <x:c r="E64" s="38" t="str">
        <x:v>B00WMLXPE8</x:v>
      </x:c>
      <x:c r="F64" s="38" t="str">
        <x:v>review</x:v>
      </x:c>
      <x:c r="G64" s="38" t="str">
        <x:v>connectivity</x:v>
      </x:c>
      <x:c r="H64" s="38" t="str">
        <x:v>Computers</x:v>
      </x:c>
      <x:c r="I64" s="91" t="str">
        <x:v>[Product: Logitech High-Performance USB Headset H540 for Windows and Mac, Skype Certified &amp; C270 Desktop or Laptop Webcam, HD 720p Widescreen for Video Calling and Recording | ASIN: B00WMLXPE8] looking for BEST USB headset with microphone - the one that work IMMEDIATELY without any troubleshooting and feels comfortable for hours to wear - look no more - i wasted many hours doing research going to store trying headsets , dealing with noise conection problem and other little things on OTHER headphones i try before even ordered Klipsich and few other well known brands to find out that all of them has either connection problem or NO USB connection or microphone do not work when headphones work - (no kidding seriously man!!!) Anyway buttom line - do not look no more if looking for microphone and comphy headphones with USB connection - no sound jack but USB connection.</x:v>
      </x:c>
      <x:c r="J64" s="101" t="n">
        <x:v>0</x:v>
      </x:c>
      <x:c r="K64" s="92" t="str">
        <x:v>Human_Reviewer_01</x:v>
      </x:c>
      <x:c r="L64" s="92" t="str">
        <x:v>High</x:v>
      </x:c>
      <x:c r="M64" s="93" t="str">
        <x:v>The headset explicitly uses USB, not Bluetooth.</x:v>
      </x:c>
      <x:c r="N64" s="94"/>
      <x:c r="O64" s="94"/>
      <x:c r="P64" s="94"/>
      <x:c r="Q64" s="95"/>
      <x:c r="R64" s="96"/>
      <x:c r="S64" s="96"/>
      <x:c r="T64" s="97"/>
      <x:c r="U64" s="98" t="str">
        <x:f>IF(OR(J64="",N64=""),"",IF(J64=N64,"No","Yes"))</x:f>
      </x:c>
      <x:c r="V64" s="98" t="n">
        <x:v>0</x:v>
      </x:c>
    </x:row>
    <x:row r="65" ht="54" hidden="0" customHeight="1">
      <x:c r="A65" s="38" t="str">
        <x:v>Q002::B00P89AVRU_review_192210</x:v>
      </x:c>
      <x:c r="B65" s="38" t="str">
        <x:v>Q002</x:v>
      </x:c>
      <x:c r="C65" s="91" t="str">
        <x:v>I need Bluetooth headphones with clear microphone quality and a stable connection for work calls.</x:v>
      </x:c>
      <x:c r="D65" s="38" t="n">
        <x:v>24</x:v>
      </x:c>
      <x:c r="E65" s="38" t="str">
        <x:v>B00P89AVRU</x:v>
      </x:c>
      <x:c r="F65" s="38" t="str">
        <x:v>review</x:v>
      </x:c>
      <x:c r="G65" s="38" t="str">
        <x:v>connectivity</x:v>
      </x:c>
      <x:c r="H65" s="38" t="str">
        <x:v>Cell Phones &amp; Accessories</x:v>
      </x:c>
      <x:c r="I65" s="91" t="str">
        <x:v>[Product: Plantronics BackBeat FIT Wireless Bluetooth Workout Headphones - Waterproof Sports Headphones for Running and Workout, Green, Frustration Free Packaging | ASIN: B00P89AVRU] yeah, that is much better.&amp;#34; And honestly, I think all Bluetooth headphones stink for phone calls. Bluetooth itself is a crappy decades-old protocol and I look forward to the day it is replaced.</x:v>
      </x:c>
      <x:c r="J65" s="101" t="n">
        <x:v>1</x:v>
      </x:c>
      <x:c r="K65" s="92" t="str">
        <x:v>Human_Reviewer_01</x:v>
      </x:c>
      <x:c r="L65" s="92" t="str">
        <x:v>Medium</x:v>
      </x:c>
      <x:c r="M65" s="93" t="str">
        <x:v>Broad criticism of all Bluetooth headphones is related to call use but does not isolate this product's microphone or stability.</x:v>
      </x:c>
      <x:c r="N65" s="94"/>
      <x:c r="O65" s="94"/>
      <x:c r="P65" s="94"/>
      <x:c r="Q65" s="95"/>
      <x:c r="R65" s="96"/>
      <x:c r="S65" s="96"/>
      <x:c r="T65" s="97"/>
      <x:c r="U65" s="98" t="str">
        <x:f>IF(OR(J65="",N65=""),"",IF(J65=N65,"No","Yes"))</x:f>
      </x:c>
      <x:c r="V65" s="98" t="n">
        <x:v>1</x:v>
      </x:c>
    </x:row>
    <x:row r="66" ht="54" hidden="0" customHeight="1">
      <x:c r="A66" s="38" t="str">
        <x:v>Q002::B0012DV2DI_review_253127</x:v>
      </x:c>
      <x:c r="B66" s="38" t="str">
        <x:v>Q002</x:v>
      </x:c>
      <x:c r="C66" s="91" t="str">
        <x:v>I need Bluetooth headphones with clear microphone quality and a stable connection for work calls.</x:v>
      </x:c>
      <x:c r="D66" s="38" t="n">
        <x:v>25</x:v>
      </x:c>
      <x:c r="E66" s="38" t="str">
        <x:v>B0012DV2DI</x:v>
      </x:c>
      <x:c r="F66" s="38" t="str">
        <x:v>review</x:v>
      </x:c>
      <x:c r="G66" s="38" t="str">
        <x:v>build quality</x:v>
      </x:c>
      <x:c r="H66" s="38" t="str">
        <x:v>Cell Phones &amp; Accessories</x:v>
      </x:c>
      <x:c r="I66" s="91" t="str">
        <x:v>[Product: Insignia Bluetooth Enabled Headset NS-BTHDST | ASIN: B0012DV2DI] Sound quality is good enough.</x:v>
      </x:c>
      <x:c r="J66" s="101" t="n">
        <x:v>1</x:v>
      </x:c>
      <x:c r="K66" s="92" t="str">
        <x:v>Human_Reviewer_01</x:v>
      </x:c>
      <x:c r="L66" s="92" t="str">
        <x:v>High</x:v>
      </x:c>
      <x:c r="M66" s="93" t="str">
        <x:v>Bluetooth headset sound is acceptable, but the statement does not address calls or connection stability.</x:v>
      </x:c>
      <x:c r="N66" s="94"/>
      <x:c r="O66" s="94"/>
      <x:c r="P66" s="94"/>
      <x:c r="Q66" s="95"/>
      <x:c r="R66" s="96"/>
      <x:c r="S66" s="96"/>
      <x:c r="T66" s="97"/>
      <x:c r="U66" s="98" t="str">
        <x:f>IF(OR(J66="",N66=""),"",IF(J66=N66,"No","Yes"))</x:f>
      </x:c>
      <x:c r="V66" s="98" t="n">
        <x:v>1</x:v>
      </x:c>
    </x:row>
    <x:row r="67" ht="54" hidden="0" customHeight="1">
      <x:c r="A67" s="38" t="str">
        <x:v>Q002::B01LXSZPYA_review_3773559</x:v>
      </x:c>
      <x:c r="B67" s="38" t="str">
        <x:v>Q002</x:v>
      </x:c>
      <x:c r="C67" s="91" t="str">
        <x:v>I need Bluetooth headphones with clear microphone quality and a stable connection for work calls.</x:v>
      </x:c>
      <x:c r="D67" s="38" t="n">
        <x:v>26</x:v>
      </x:c>
      <x:c r="E67" s="38" t="str">
        <x:v>B01LXSZPYA</x:v>
      </x:c>
      <x:c r="F67" s="38" t="str">
        <x:v>review</x:v>
      </x:c>
      <x:c r="G67" s="38" t="str">
        <x:v>connectivity</x:v>
      </x:c>
      <x:c r="H67" s="38" t="str">
        <x:v>Cell Phones &amp; Accessories</x:v>
      </x:c>
      <x:c r="I67" s="91" t="str">
        <x:v>[Product: Earphones Headphones Wired with Mic and Volume Control Noise Cancelling Bass Stereo Earbuds Headphones Hands-Free Calling (White) | ASIN: B01LXSZPYA] They do work with the connection with the IPhone 7 plus,along with the Android phones, Clear clarity and easy answer of phone calls.</x:v>
      </x:c>
      <x:c r="J67" s="101" t="n">
        <x:v>0</x:v>
      </x:c>
      <x:c r="K67" s="92" t="str">
        <x:v>Human_Reviewer_01</x:v>
      </x:c>
      <x:c r="L67" s="92" t="str">
        <x:v>High</x:v>
      </x:c>
      <x:c r="M67" s="93" t="str">
        <x:v>The earphones are explicitly wired rather than Bluetooth.</x:v>
      </x:c>
      <x:c r="N67" s="94"/>
      <x:c r="O67" s="94"/>
      <x:c r="P67" s="94"/>
      <x:c r="Q67" s="95"/>
      <x:c r="R67" s="96"/>
      <x:c r="S67" s="96"/>
      <x:c r="T67" s="97"/>
      <x:c r="U67" s="98" t="str">
        <x:f>IF(OR(J67="",N67=""),"",IF(J67=N67,"No","Yes"))</x:f>
      </x:c>
      <x:c r="V67" s="98" t="n">
        <x:v>0</x:v>
      </x:c>
    </x:row>
    <x:row r="68" ht="54" hidden="0" customHeight="1">
      <x:c r="A68" s="38" t="str">
        <x:v>Q002::B00ECGRODE_review_1868420</x:v>
      </x:c>
      <x:c r="B68" s="38" t="str">
        <x:v>Q002</x:v>
      </x:c>
      <x:c r="C68" s="91" t="str">
        <x:v>I need Bluetooth headphones with clear microphone quality and a stable connection for work calls.</x:v>
      </x:c>
      <x:c r="D68" s="38" t="n">
        <x:v>27</x:v>
      </x:c>
      <x:c r="E68" s="38" t="str">
        <x:v>B00ECGRODE</x:v>
      </x:c>
      <x:c r="F68" s="38" t="str">
        <x:v>review</x:v>
      </x:c>
      <x:c r="G68" s="38" t="str">
        <x:v>sound quality</x:v>
      </x:c>
      <x:c r="H68" s="38" t="str">
        <x:v>Cell Phones &amp; Accessories</x:v>
      </x:c>
      <x:c r="I68" s="91" t="str">
        <x:v>[Product: Kinivo BTH240 Bluetooth Headphones (Red, On-Ear, Wireless Music, Hands-Free Calling, Built-in Mic, Foldable, Memory Form Earpads, Travel Bag) | ASIN: B00ECGRODE] It just works.&lt;br /&gt;&lt;br /&gt;Volume controls are easy to find 'blind' (but you could put a tiny file dot on the down volume button to make it even easier).&lt;br /&gt;&lt;br</x:v>
      </x:c>
      <x:c r="J68" s="101" t="n">
        <x:v>1</x:v>
      </x:c>
      <x:c r="K68" s="92" t="str">
        <x:v>Human_Reviewer_01</x:v>
      </x:c>
      <x:c r="L68" s="92" t="str">
        <x:v>High</x:v>
      </x:c>
      <x:c r="M68" s="93" t="str">
        <x:v>Bluetooth headphone operation and controls are described generically; call performance is absent.</x:v>
      </x:c>
      <x:c r="N68" s="94"/>
      <x:c r="O68" s="94"/>
      <x:c r="P68" s="94"/>
      <x:c r="Q68" s="95"/>
      <x:c r="R68" s="96"/>
      <x:c r="S68" s="96"/>
      <x:c r="T68" s="97"/>
      <x:c r="U68" s="98" t="str">
        <x:f>IF(OR(J68="",N68=""),"",IF(J68=N68,"No","Yes"))</x:f>
      </x:c>
      <x:c r="V68" s="98" t="n">
        <x:v>1</x:v>
      </x:c>
    </x:row>
    <x:row r="69" ht="54" hidden="0" customHeight="1">
      <x:c r="A69" s="38" t="str">
        <x:v>Q002::B00J25CHK0_review_2697392</x:v>
      </x:c>
      <x:c r="B69" s="38" t="str">
        <x:v>Q002</x:v>
      </x:c>
      <x:c r="C69" s="91" t="str">
        <x:v>I need Bluetooth headphones with clear microphone quality and a stable connection for work calls.</x:v>
      </x:c>
      <x:c r="D69" s="38" t="n">
        <x:v>28</x:v>
      </x:c>
      <x:c r="E69" s="38" t="str">
        <x:v>B00J25CHK0</x:v>
      </x:c>
      <x:c r="F69" s="38" t="str">
        <x:v>review</x:v>
      </x:c>
      <x:c r="G69" s="38" t="str">
        <x:v>build quality</x:v>
      </x:c>
      <x:c r="H69" s="38" t="str">
        <x:v>Cell Phones &amp; Accessories</x:v>
      </x:c>
      <x:c r="I69" s="91" t="str">
        <x:v>[Product: New Beyution Bluetooth V4.1 Stereo Hi-fi Headphones Headset | ASIN: B00J25CHK0] Sturdy build and fairly decent sound.</x:v>
      </x:c>
      <x:c r="J69" s="101" t="n">
        <x:v>1</x:v>
      </x:c>
      <x:c r="K69" s="92" t="str">
        <x:v>Human_Reviewer_01</x:v>
      </x:c>
      <x:c r="L69" s="92" t="str">
        <x:v>High</x:v>
      </x:c>
      <x:c r="M69" s="93" t="str">
        <x:v>Bluetooth headphones have decent general sound, without microphone or stability evidence.</x:v>
      </x:c>
      <x:c r="N69" s="94"/>
      <x:c r="O69" s="94"/>
      <x:c r="P69" s="94"/>
      <x:c r="Q69" s="95"/>
      <x:c r="R69" s="96"/>
      <x:c r="S69" s="96"/>
      <x:c r="T69" s="97"/>
      <x:c r="U69" s="98" t="str">
        <x:f>IF(OR(J69="",N69=""),"",IF(J69=N69,"No","Yes"))</x:f>
      </x:c>
      <x:c r="V69" s="98" t="n">
        <x:v>1</x:v>
      </x:c>
    </x:row>
    <x:row r="70" ht="54" hidden="0" customHeight="1">
      <x:c r="A70" s="38" t="str">
        <x:v>Q002::B015KY5J7Y_review_2408427</x:v>
      </x:c>
      <x:c r="B70" s="38" t="str">
        <x:v>Q002</x:v>
      </x:c>
      <x:c r="C70" s="91" t="str">
        <x:v>I need Bluetooth headphones with clear microphone quality and a stable connection for work calls.</x:v>
      </x:c>
      <x:c r="D70" s="38" t="n">
        <x:v>29</x:v>
      </x:c>
      <x:c r="E70" s="38" t="str">
        <x:v>B015KY5J7Y</x:v>
      </x:c>
      <x:c r="F70" s="38" t="str">
        <x:v>review</x:v>
      </x:c>
      <x:c r="G70" s="38" t="str">
        <x:v>build quality</x:v>
      </x:c>
      <x:c r="H70" s="38" t="str">
        <x:v>Cell Phones &amp; Accessories</x:v>
      </x:c>
      <x:c r="I70" s="91" t="str">
        <x:v>[Product: FingerLakes 3.5mm Microphone Assembly Mic for Car Vehicle Head Unit Bluetooth Enabled Stereo Radio GPS DVD | ASIN: B015KY5J7Y] Was very impressed with sound quality while answering and recieving calls.</x:v>
      </x:c>
      <x:c r="J70" s="101" t="n">
        <x:v>0</x:v>
      </x:c>
      <x:c r="K70" s="92" t="str">
        <x:v>Human_Reviewer_01</x:v>
      </x:c>
      <x:c r="L70" s="92" t="str">
        <x:v>High</x:v>
      </x:c>
      <x:c r="M70" s="93" t="str">
        <x:v>This is a car microphone assembly, not headphones.</x:v>
      </x:c>
      <x:c r="N70" s="94"/>
      <x:c r="O70" s="94"/>
      <x:c r="P70" s="94"/>
      <x:c r="Q70" s="95"/>
      <x:c r="R70" s="96"/>
      <x:c r="S70" s="96"/>
      <x:c r="T70" s="97"/>
      <x:c r="U70" s="98" t="str">
        <x:f>IF(OR(J70="",N70=""),"",IF(J70=N70,"No","Yes"))</x:f>
      </x:c>
      <x:c r="V70" s="98" t="n">
        <x:v>0</x:v>
      </x:c>
    </x:row>
    <x:row r="71" ht="54" hidden="0" customHeight="1">
      <x:c r="A71" s="38" t="str">
        <x:v>Q002::B00N43BPPO_review_3261198</x:v>
      </x:c>
      <x:c r="B71" s="38" t="str">
        <x:v>Q002</x:v>
      </x:c>
      <x:c r="C71" s="91" t="str">
        <x:v>I need Bluetooth headphones with clear microphone quality and a stable connection for work calls.</x:v>
      </x:c>
      <x:c r="D71" s="38" t="n">
        <x:v>30</x:v>
      </x:c>
      <x:c r="E71" s="38" t="str">
        <x:v>B00N43BPPO</x:v>
      </x:c>
      <x:c r="F71" s="38" t="str">
        <x:v>review</x:v>
      </x:c>
      <x:c r="G71" s="38" t="str">
        <x:v>general</x:v>
      </x:c>
      <x:c r="H71" s="38" t="str">
        <x:v>Cell Phones &amp; Accessories</x:v>
      </x:c>
      <x:c r="I71" s="91" t="str">
        <x:v>[Product: Kinivo BTH240 Bluetooth Headphones (White, On-Ear, Wireless Music, Hands-Free Calling, Built-in Mic, Foldable, Memory Form Earpads, Travel Bag) | ASIN: B00N43BPPO] Super Comfy !</x:v>
      </x:c>
      <x:c r="J71" s="101" t="n">
        <x:v>1</x:v>
      </x:c>
      <x:c r="K71" s="92" t="str">
        <x:v>Human_Reviewer_01</x:v>
      </x:c>
      <x:c r="L71" s="92" t="str">
        <x:v>High</x:v>
      </x:c>
      <x:c r="M71" s="93" t="str">
        <x:v>Headphone comfort is secondary to the requested call and connection performance.</x:v>
      </x:c>
      <x:c r="N71" s="94"/>
      <x:c r="O71" s="94"/>
      <x:c r="P71" s="94"/>
      <x:c r="Q71" s="95"/>
      <x:c r="R71" s="96"/>
      <x:c r="S71" s="96"/>
      <x:c r="T71" s="97"/>
      <x:c r="U71" s="98" t="str">
        <x:f>IF(OR(J71="",N71=""),"",IF(J71=N71,"No","Yes"))</x:f>
      </x:c>
      <x:c r="V71" s="98" t="n">
        <x:v>1</x:v>
      </x:c>
    </x:row>
    <x:row r="72" ht="54" hidden="0" customHeight="1">
      <x:c r="A72" s="38" t="str">
        <x:v>Q002::B0BVJ4DHFQ_review_3684506</x:v>
      </x:c>
      <x:c r="B72" s="38" t="str">
        <x:v>Q002</x:v>
      </x:c>
      <x:c r="C72" s="91" t="str">
        <x:v>I need Bluetooth headphones with clear microphone quality and a stable connection for work calls.</x:v>
      </x:c>
      <x:c r="D72" s="38" t="n">
        <x:v>31</x:v>
      </x:c>
      <x:c r="E72" s="38" t="str">
        <x:v>B0BVJ4DHFQ</x:v>
      </x:c>
      <x:c r="F72" s="38" t="str">
        <x:v>review</x:v>
      </x:c>
      <x:c r="G72" s="38" t="str">
        <x:v>connectivity</x:v>
      </x:c>
      <x:c r="H72" s="38" t="str">
        <x:v>Computers</x:v>
      </x:c>
      <x:c r="I72" s="91" t="str">
        <x:v>[Product: TP-Link USB Bluetooth Adapter for PC(UB400), 4.0 Bluetooth Dongle Receiver Support Windows 11/10/8.1/8/7/XP for Desktop, Laptop, Mouse, Keyboard, Printers, Headsets, Speakers, PS4/ Xbox Controllers | ASIN: B0BVJ4DHFQ] The connection with my AirPod and mouse is stable when moving around and no latency so far. It is an ideal product for PC without bluetooth connection and a need to connect bluetooth headphones or printers.</x:v>
      </x:c>
      <x:c r="J72" s="101" t="n">
        <x:v>0</x:v>
      </x:c>
      <x:c r="K72" s="92" t="str">
        <x:v>Human_Reviewer_01</x:v>
      </x:c>
      <x:c r="L72" s="92" t="str">
        <x:v>High</x:v>
      </x:c>
      <x:c r="M72" s="93" t="str">
        <x:v>This is a Bluetooth adapter, not headphones.</x:v>
      </x:c>
      <x:c r="N72" s="94"/>
      <x:c r="O72" s="94"/>
      <x:c r="P72" s="94"/>
      <x:c r="Q72" s="95"/>
      <x:c r="R72" s="96"/>
      <x:c r="S72" s="96"/>
      <x:c r="T72" s="97"/>
      <x:c r="U72" s="98" t="str">
        <x:f>IF(OR(J72="",N72=""),"",IF(J72=N72,"No","Yes"))</x:f>
      </x:c>
      <x:c r="V72" s="98" t="n">
        <x:v>0</x:v>
      </x:c>
    </x:row>
    <x:row r="73" ht="54" hidden="0" customHeight="1">
      <x:c r="A73" s="38" t="str">
        <x:v>Q002::B011R697K4_review_493746</x:v>
      </x:c>
      <x:c r="B73" s="38" t="str">
        <x:v>Q002</x:v>
      </x:c>
      <x:c r="C73" s="91" t="str">
        <x:v>I need Bluetooth headphones with clear microphone quality and a stable connection for work calls.</x:v>
      </x:c>
      <x:c r="D73" s="38" t="n">
        <x:v>32</x:v>
      </x:c>
      <x:c r="E73" s="38" t="str">
        <x:v>B011R697K4</x:v>
      </x:c>
      <x:c r="F73" s="38" t="str">
        <x:v>review</x:v>
      </x:c>
      <x:c r="G73" s="38" t="str">
        <x:v>build quality</x:v>
      </x:c>
      <x:c r="H73" s="38" t="str">
        <x:v>Cell Phones &amp; Accessories</x:v>
      </x:c>
      <x:c r="I73" s="91" t="str">
        <x:v>[Product: AudioMX In-Ear Headphones Sports Earbuds with Microphone Stereo Earphone, Volume Control &amp; 3.5mm tangle free Wired Cable for iPhone Samsung Galaxy iPad | ASIN: B011R697K4] Solid construction. They feel durable. Sound quality is great for talk radio and phone calls.</x:v>
      </x:c>
      <x:c r="J73" s="101" t="n">
        <x:v>0</x:v>
      </x:c>
      <x:c r="K73" s="92" t="str">
        <x:v>Human_Reviewer_01</x:v>
      </x:c>
      <x:c r="L73" s="92" t="str">
        <x:v>High</x:v>
      </x:c>
      <x:c r="M73" s="93" t="str">
        <x:v>The earphones explicitly use a wired cable.</x:v>
      </x:c>
      <x:c r="N73" s="94"/>
      <x:c r="O73" s="94"/>
      <x:c r="P73" s="94"/>
      <x:c r="Q73" s="95"/>
      <x:c r="R73" s="96"/>
      <x:c r="S73" s="96"/>
      <x:c r="T73" s="97"/>
      <x:c r="U73" s="98" t="str">
        <x:f>IF(OR(J73="",N73=""),"",IF(J73=N73,"No","Yes"))</x:f>
      </x:c>
      <x:c r="V73" s="98" t="n">
        <x:v>0</x:v>
      </x:c>
    </x:row>
    <x:row r="74" ht="54" hidden="0" customHeight="1">
      <x:c r="A74" s="38" t="str">
        <x:v>Q002::B00N438N3G_review_4139027</x:v>
      </x:c>
      <x:c r="B74" s="38" t="str">
        <x:v>Q002</x:v>
      </x:c>
      <x:c r="C74" s="91" t="str">
        <x:v>I need Bluetooth headphones with clear microphone quality and a stable connection for work calls.</x:v>
      </x:c>
      <x:c r="D74" s="38" t="n">
        <x:v>33</x:v>
      </x:c>
      <x:c r="E74" s="38" t="str">
        <x:v>B00N438N3G</x:v>
      </x:c>
      <x:c r="F74" s="38" t="str">
        <x:v>review</x:v>
      </x:c>
      <x:c r="G74" s="38" t="str">
        <x:v>connectivity</x:v>
      </x:c>
      <x:c r="H74" s="38" t="str">
        <x:v>Cell Phones &amp; Accessories</x:v>
      </x:c>
      <x:c r="I74" s="91" t="str">
        <x:v>[Product: Kinivo BTH240 Bluetooth Headphones (Blue, On-Ear, Wireless Music, Hands-Free Calling, Built-in Mic, Foldable, Memory Form Earpads, Travel Bag) | ASIN: B00N438N3G] I read a review for bluetooth headphones for the gym- these were highly recommended and reasonable</x:v>
      </x:c>
      <x:c r="J74" s="101" t="n">
        <x:v>1</x:v>
      </x:c>
      <x:c r="K74" s="92" t="str">
        <x:v>Human_Reviewer_01</x:v>
      </x:c>
      <x:c r="L74" s="92" t="str">
        <x:v>High</x:v>
      </x:c>
      <x:c r="M74" s="93" t="str">
        <x:v>A gym-use recommendation does not establish work-call microphone or connection quality.</x:v>
      </x:c>
      <x:c r="N74" s="94"/>
      <x:c r="O74" s="94"/>
      <x:c r="P74" s="94"/>
      <x:c r="Q74" s="95"/>
      <x:c r="R74" s="96"/>
      <x:c r="S74" s="96"/>
      <x:c r="T74" s="97"/>
      <x:c r="U74" s="98" t="str">
        <x:f>IF(OR(J74="",N74=""),"",IF(J74=N74,"No","Yes"))</x:f>
      </x:c>
      <x:c r="V74" s="98" t="n">
        <x:v>1</x:v>
      </x:c>
    </x:row>
    <x:row r="75" ht="54" hidden="0" customHeight="1">
      <x:c r="A75" s="38" t="str">
        <x:v>Q002::B000PJ5C5E_review_906938</x:v>
      </x:c>
      <x:c r="B75" s="38" t="str">
        <x:v>Q002</x:v>
      </x:c>
      <x:c r="C75" s="91" t="str">
        <x:v>I need Bluetooth headphones with clear microphone quality and a stable connection for work calls.</x:v>
      </x:c>
      <x:c r="D75" s="38" t="n">
        <x:v>34</x:v>
      </x:c>
      <x:c r="E75" s="38" t="str">
        <x:v>B000PJ5C5E</x:v>
      </x:c>
      <x:c r="F75" s="38" t="str">
        <x:v>review</x:v>
      </x:c>
      <x:c r="G75" s="38" t="str">
        <x:v>sound quality</x:v>
      </x:c>
      <x:c r="H75" s="38" t="str">
        <x:v>Cell Phones &amp; Accessories</x:v>
      </x:c>
      <x:c r="I75" s="91" t="str">
        <x:v>[Product: Bluetooth Stereo Headset/Headphones | ASIN: B000PJ5C5E] Acceptable sound clarity and range.</x:v>
      </x:c>
      <x:c r="J75" s="101" t="n">
        <x:v>1</x:v>
      </x:c>
      <x:c r="K75" s="92" t="str">
        <x:v>Human_Reviewer_01</x:v>
      </x:c>
      <x:c r="L75" s="92" t="str">
        <x:v>High</x:v>
      </x:c>
      <x:c r="M75" s="93" t="str">
        <x:v>Bluetooth headset sound and range are described, but call clarity and stability remain unspecified.</x:v>
      </x:c>
      <x:c r="N75" s="94"/>
      <x:c r="O75" s="94"/>
      <x:c r="P75" s="94"/>
      <x:c r="Q75" s="95"/>
      <x:c r="R75" s="96"/>
      <x:c r="S75" s="96"/>
      <x:c r="T75" s="97"/>
      <x:c r="U75" s="98" t="str">
        <x:f>IF(OR(J75="",N75=""),"",IF(J75=N75,"No","Yes"))</x:f>
      </x:c>
      <x:c r="V75" s="98" t="n">
        <x:v>1</x:v>
      </x:c>
    </x:row>
    <x:row r="76" ht="54" hidden="0" customHeight="1">
      <x:c r="A76" s="38" t="str">
        <x:v>Q002::B00COB1YNU_review_3708174</x:v>
      </x:c>
      <x:c r="B76" s="38" t="str">
        <x:v>Q002</x:v>
      </x:c>
      <x:c r="C76" s="91" t="str">
        <x:v>I need Bluetooth headphones with clear microphone quality and a stable connection for work calls.</x:v>
      </x:c>
      <x:c r="D76" s="38" t="n">
        <x:v>35</x:v>
      </x:c>
      <x:c r="E76" s="38" t="str">
        <x:v>B00COB1YNU</x:v>
      </x:c>
      <x:c r="F76" s="38" t="str">
        <x:v>review</x:v>
      </x:c>
      <x:c r="G76" s="38" t="str">
        <x:v>sound quality</x:v>
      </x:c>
      <x:c r="H76" s="38" t="str">
        <x:v>Cell Phones &amp; Accessories</x:v>
      </x:c>
      <x:c r="I76" s="91" t="str">
        <x:v>[Product: Kinivo BTM440 Bluetooth Mono Headset - Supports Hands-Free calling (Black) | ASIN: B00COB1YNU] the best quality sound on the market (however, the price makes it all worth the purchase)&lt;br /&gt;-would be convenient if the microphone piece was retractable&lt;br /&gt;&lt;br /&gt;Worth</x:v>
      </x:c>
      <x:c r="J76" s="101" t="n">
        <x:v>1</x:v>
      </x:c>
      <x:c r="K76" s="92" t="str">
        <x:v>Human_Reviewer_01</x:v>
      </x:c>
      <x:c r="L76" s="92" t="str">
        <x:v>Medium</x:v>
      </x:c>
      <x:c r="M76" s="93" t="str">
        <x:v>Bluetooth call headset has general sound praise, but microphone clarity and stability are untested.</x:v>
      </x:c>
      <x:c r="N76" s="94"/>
      <x:c r="O76" s="94"/>
      <x:c r="P76" s="94"/>
      <x:c r="Q76" s="95"/>
      <x:c r="R76" s="96"/>
      <x:c r="S76" s="96"/>
      <x:c r="T76" s="97"/>
      <x:c r="U76" s="98" t="str">
        <x:f>IF(OR(J76="",N76=""),"",IF(J76=N76,"No","Yes"))</x:f>
      </x:c>
      <x:c r="V76" s="98" t="n">
        <x:v>1</x:v>
      </x:c>
    </x:row>
    <x:row r="77" ht="54" hidden="0" customHeight="1">
      <x:c r="A77" s="38" t="str">
        <x:v>Q002::B00N43BPPO_review_3261195</x:v>
      </x:c>
      <x:c r="B77" s="38" t="str">
        <x:v>Q002</x:v>
      </x:c>
      <x:c r="C77" s="91" t="str">
        <x:v>I need Bluetooth headphones with clear microphone quality and a stable connection for work calls.</x:v>
      </x:c>
      <x:c r="D77" s="38" t="n">
        <x:v>36</x:v>
      </x:c>
      <x:c r="E77" s="38" t="str">
        <x:v>B00N43BPPO</x:v>
      </x:c>
      <x:c r="F77" s="38" t="str">
        <x:v>review</x:v>
      </x:c>
      <x:c r="G77" s="38" t="str">
        <x:v>price/value</x:v>
      </x:c>
      <x:c r="H77" s="38" t="str">
        <x:v>Cell Phones &amp; Accessories</x:v>
      </x:c>
      <x:c r="I77" s="91" t="str">
        <x:v>[Product: Kinivo BTH240 Bluetooth Headphones (White, On-Ear, Wireless Music, Hands-Free Calling, Built-in Mic, Foldable, Memory Form Earpads, Travel Bag) | ASIN: B00N43BPPO] I take my shopping seriously because I do not have the money to waste buying more than 1 or 2 of something I need till I finally find the one that is just right ,so I really appreciate those people who take the time to give honest feedback but we are different people, can have many different needs and expectations .So</x:v>
      </x:c>
      <x:c r="J77" s="101" t="n">
        <x:v>0</x:v>
      </x:c>
      <x:c r="K77" s="92" t="str">
        <x:v>Human_Reviewer_01</x:v>
      </x:c>
      <x:c r="L77" s="92" t="str">
        <x:v>High</x:v>
      </x:c>
      <x:c r="M77" s="93" t="str">
        <x:v>The chunk discusses review-shopping habits without product evidence useful for this query.</x:v>
      </x:c>
      <x:c r="N77" s="94"/>
      <x:c r="O77" s="94"/>
      <x:c r="P77" s="94"/>
      <x:c r="Q77" s="95"/>
      <x:c r="R77" s="96"/>
      <x:c r="S77" s="96"/>
      <x:c r="T77" s="97"/>
      <x:c r="U77" s="98" t="str">
        <x:f>IF(OR(J77="",N77=""),"",IF(J77=N77,"No","Yes"))</x:f>
      </x:c>
      <x:c r="V77" s="98" t="n">
        <x:v>0</x:v>
      </x:c>
    </x:row>
    <x:row r="78" ht="54" hidden="0" customHeight="1">
      <x:c r="A78" s="38" t="str">
        <x:v>Q002::B004QWOSLK_review_4089183</x:v>
      </x:c>
      <x:c r="B78" s="38" t="str">
        <x:v>Q002</x:v>
      </x:c>
      <x:c r="C78" s="91" t="str">
        <x:v>I need Bluetooth headphones with clear microphone quality and a stable connection for work calls.</x:v>
      </x:c>
      <x:c r="D78" s="38" t="n">
        <x:v>37</x:v>
      </x:c>
      <x:c r="E78" s="38" t="str">
        <x:v>B004QWOSLK</x:v>
      </x:c>
      <x:c r="F78" s="38" t="str">
        <x:v>review</x:v>
      </x:c>
      <x:c r="G78" s="38" t="str">
        <x:v>build quality</x:v>
      </x:c>
      <x:c r="H78" s="38" t="str">
        <x:v>Cell Phones &amp; Accessories</x:v>
      </x:c>
      <x:c r="I78" s="91" t="str">
        <x:v>[Product: Motorola S10-HD Bluetooth Stereo Headphones - Retail Packaging | ASIN: B004QWOSLK] Several ear tip options to find the one that fits you, good sound quality both for music and phone calls.</x:v>
      </x:c>
      <x:c r="J78" s="101" t="n">
        <x:v>1</x:v>
      </x:c>
      <x:c r="K78" s="92" t="str">
        <x:v>Human_Reviewer_01</x:v>
      </x:c>
      <x:c r="L78" s="92" t="str">
        <x:v>High</x:v>
      </x:c>
      <x:c r="M78" s="93" t="str">
        <x:v>Bluetooth headphone sound during calls is good, but outgoing microphone clarity and connection stability are untested.</x:v>
      </x:c>
      <x:c r="N78" s="94"/>
      <x:c r="O78" s="94"/>
      <x:c r="P78" s="94"/>
      <x:c r="Q78" s="95"/>
      <x:c r="R78" s="96"/>
      <x:c r="S78" s="96"/>
      <x:c r="T78" s="97"/>
      <x:c r="U78" s="98" t="str">
        <x:f>IF(OR(J78="",N78=""),"",IF(J78=N78,"No","Yes"))</x:f>
      </x:c>
      <x:c r="V78" s="98" t="n">
        <x:v>1</x:v>
      </x:c>
    </x:row>
    <x:row r="79" ht="54" hidden="0" customHeight="1">
      <x:c r="A79" s="38" t="str">
        <x:v>Q002::B07TSQS4QZ_review_2310568</x:v>
      </x:c>
      <x:c r="B79" s="38" t="str">
        <x:v>Q002</x:v>
      </x:c>
      <x:c r="C79" s="91" t="str">
        <x:v>I need Bluetooth headphones with clear microphone quality and a stable connection for work calls.</x:v>
      </x:c>
      <x:c r="D79" s="38" t="n">
        <x:v>38</x:v>
      </x:c>
      <x:c r="E79" s="38" t="str">
        <x:v>B07TSQS4QZ</x:v>
      </x:c>
      <x:c r="F79" s="38" t="str">
        <x:v>review</x:v>
      </x:c>
      <x:c r="G79" s="38" t="str">
        <x:v>connectivity</x:v>
      </x:c>
      <x:c r="H79" s="38" t="str">
        <x:v>Cell Phones &amp; Accessories</x:v>
      </x:c>
      <x:c r="I79" s="91" t="str">
        <x:v>[Product: Monster NTune 450 On-Ear Bluetooth Wireless Headphones Latest 2019 Model (Black) | ASIN: B07TSQS4QZ] I have finally found a set of Bluetooth headphones that match my sound quality and performance requirements!&lt;br /&gt;&lt;br /&gt;Bass is STRONG (but not over powering or otherwise distorted).&lt;br /&gt;Mids are clear and not overemphasized.&lt;br /&gt;Highs are surprisingly super clear, especially considering it is a Bluetooth connection!!! I can take care of them easily.&lt;br /&gt;&lt;br /&gt;Side note, these headphones exhibit a strange volume management system, where in, when connected to my phone, they always set the volume to almost max (not sure the exact percentage) and when you control the volume via the headphone controls, it is controlling the volume internally rather than adjust the volume on the phone itself.</x:v>
      </x:c>
      <x:c r="J79" s="101" t="n">
        <x:v>1</x:v>
      </x:c>
      <x:c r="K79" s="92" t="str">
        <x:v>Human_Reviewer_01</x:v>
      </x:c>
      <x:c r="L79" s="92" t="str">
        <x:v>High</x:v>
      </x:c>
      <x:c r="M79" s="93" t="str">
        <x:v>Bluetooth headphones provide music-frequency detail, but no microphone or connection-stability evidence.</x:v>
      </x:c>
      <x:c r="N79" s="94"/>
      <x:c r="O79" s="94"/>
      <x:c r="P79" s="94"/>
      <x:c r="Q79" s="95"/>
      <x:c r="R79" s="96"/>
      <x:c r="S79" s="96"/>
      <x:c r="T79" s="97"/>
      <x:c r="U79" s="98" t="str">
        <x:f>IF(OR(J79="",N79=""),"",IF(J79=N79,"No","Yes"))</x:f>
      </x:c>
      <x:c r="V79" s="98" t="n">
        <x:v>1</x:v>
      </x:c>
    </x:row>
    <x:row r="80" ht="54" hidden="0" customHeight="1">
      <x:c r="A80" s="38" t="str">
        <x:v>Q002::B000GUP996_review_1506473</x:v>
      </x:c>
      <x:c r="B80" s="38" t="str">
        <x:v>Q002</x:v>
      </x:c>
      <x:c r="C80" s="91" t="str">
        <x:v>I need Bluetooth headphones with clear microphone quality and a stable connection for work calls.</x:v>
      </x:c>
      <x:c r="D80" s="38" t="n">
        <x:v>39</x:v>
      </x:c>
      <x:c r="E80" s="38" t="str">
        <x:v>B000GUP996</x:v>
      </x:c>
      <x:c r="F80" s="38" t="str">
        <x:v>review</x:v>
      </x:c>
      <x:c r="G80" s="38" t="str">
        <x:v>price/value</x:v>
      </x:c>
      <x:c r="H80" s="38" t="str">
        <x:v>Cell Phones &amp; Accessories</x:v>
      </x:c>
      <x:c r="I80" s="91" t="str">
        <x:v>[Product: Motorola Bluetooth Headset H350 - Saphire Blue | ASIN: B000GUP996] they are a must have and they are not expensive.</x:v>
      </x:c>
      <x:c r="J80" s="101" t="n">
        <x:v>1</x:v>
      </x:c>
      <x:c r="K80" s="92" t="str">
        <x:v>Human_Reviewer_01</x:v>
      </x:c>
      <x:c r="L80" s="92" t="str">
        <x:v>High</x:v>
      </x:c>
      <x:c r="M80" s="93" t="str">
        <x:v>Correct Bluetooth headset, but the recommendation and price comment are generic.</x:v>
      </x:c>
      <x:c r="N80" s="94"/>
      <x:c r="O80" s="94"/>
      <x:c r="P80" s="94"/>
      <x:c r="Q80" s="95"/>
      <x:c r="R80" s="96"/>
      <x:c r="S80" s="96"/>
      <x:c r="T80" s="97"/>
      <x:c r="U80" s="98" t="str">
        <x:f>IF(OR(J80="",N80=""),"",IF(J80=N80,"No","Yes"))</x:f>
      </x:c>
      <x:c r="V80" s="98" t="n">
        <x:v>1</x:v>
      </x:c>
    </x:row>
    <x:row r="81" ht="54" hidden="0" customHeight="1">
      <x:c r="A81" s="38" t="str">
        <x:v>Q002::B000ZRVCY6_review_2932096</x:v>
      </x:c>
      <x:c r="B81" s="38" t="str">
        <x:v>Q002</x:v>
      </x:c>
      <x:c r="C81" s="91" t="str">
        <x:v>I need Bluetooth headphones with clear microphone quality and a stable connection for work calls.</x:v>
      </x:c>
      <x:c r="D81" s="38" t="n">
        <x:v>40</x:v>
      </x:c>
      <x:c r="E81" s="38" t="str">
        <x:v>B000ZRVCY6</x:v>
      </x:c>
      <x:c r="F81" s="38" t="str">
        <x:v>review</x:v>
      </x:c>
      <x:c r="G81" s="38" t="str">
        <x:v>price/value</x:v>
      </x:c>
      <x:c r="H81" s="38" t="str">
        <x:v>Cell Phones &amp; Accessories</x:v>
      </x:c>
      <x:c r="I81" s="91" t="str">
        <x:v>[Product: Insignia Stereo Bluetooth Headphones NS-BTHDP | ASIN: B000ZRVCY6] I gave them a shot, since they were pretty cheap online.</x:v>
      </x:c>
      <x:c r="J81" s="101" t="n">
        <x:v>1</x:v>
      </x:c>
      <x:c r="K81" s="92" t="str">
        <x:v>Human_Reviewer_01</x:v>
      </x:c>
      <x:c r="L81" s="92" t="str">
        <x:v>High</x:v>
      </x:c>
      <x:c r="M81" s="93" t="str">
        <x:v>Correct Bluetooth headphones, but the chunk only explains their low purchase price.</x:v>
      </x:c>
      <x:c r="N81" s="94"/>
      <x:c r="O81" s="94"/>
      <x:c r="P81" s="94"/>
      <x:c r="Q81" s="95"/>
      <x:c r="R81" s="96"/>
      <x:c r="S81" s="96"/>
      <x:c r="T81" s="97"/>
      <x:c r="U81" s="98" t="str">
        <x:f>IF(OR(J81="",N81=""),"",IF(J81=N81,"No","Yes"))</x:f>
      </x:c>
      <x:c r="V81" s="98" t="n">
        <x:v>1</x:v>
      </x:c>
    </x:row>
    <x:row r="82" ht="54" hidden="0" customHeight="1">
      <x:c r="A82" s="38" t="str">
        <x:v>Q003::B00JFKN7EC_review_2649449</x:v>
      </x:c>
      <x:c r="B82" s="38" t="str">
        <x:v>Q003</x:v>
      </x:c>
      <x:c r="C82" s="91" t="str">
        <x:v>Which portable speaker has strong bass without distortion at high volume?</x:v>
      </x:c>
      <x:c r="D82" s="38" t="n">
        <x:v>1</x:v>
      </x:c>
      <x:c r="E82" s="38" t="str">
        <x:v>B00JFKN7EC</x:v>
      </x:c>
      <x:c r="F82" s="38" t="str">
        <x:v>review</x:v>
      </x:c>
      <x:c r="G82" s="38" t="str">
        <x:v>sound quality</x:v>
      </x:c>
      <x:c r="H82" s="38" t="str">
        <x:v>Cell Phones &amp; Accessories</x:v>
      </x:c>
      <x:c r="I82" s="91" t="str">
        <x:v>[Product: HUAWEI Portable Stereo Bluetooth Speaker - White | ASIN: B00JFKN7EC] The sound has great volume and you can feel this little thing trying to pump out the bass. There was no sound distortion at full volume but a louder song may change this. Bose/Jambox it is not but if you are looking for a great sounding, inexpensive bluetooth speaker, this should be on your short list.</x:v>
      </x:c>
      <x:c r="J82" s="101" t="n">
        <x:v>2</x:v>
      </x:c>
      <x:c r="K82" s="92" t="str">
        <x:v>Human_Reviewer_01</x:v>
      </x:c>
      <x:c r="L82" s="92" t="str">
        <x:v>High</x:v>
      </x:c>
      <x:c r="M82" s="93" t="str">
        <x:v>Portable speaker produces bass and no distortion at full volume in the reported test.</x:v>
      </x:c>
      <x:c r="N82" s="94"/>
      <x:c r="O82" s="94"/>
      <x:c r="P82" s="94"/>
      <x:c r="Q82" s="95"/>
      <x:c r="R82" s="96"/>
      <x:c r="S82" s="96"/>
      <x:c r="T82" s="97"/>
      <x:c r="U82" s="98" t="str">
        <x:f>IF(OR(J82="",N82=""),"",IF(J82=N82,"No","Yes"))</x:f>
      </x:c>
      <x:c r="V82" s="98" t="n">
        <x:v>2</x:v>
      </x:c>
    </x:row>
    <x:row r="83" ht="54" hidden="0" customHeight="1">
      <x:c r="A83" s="38" t="str">
        <x:v>Q003::B00C4VSJD8_review_1882157</x:v>
      </x:c>
      <x:c r="B83" s="38" t="str">
        <x:v>Q003</x:v>
      </x:c>
      <x:c r="C83" s="91" t="str">
        <x:v>Which portable speaker has strong bass without distortion at high volume?</x:v>
      </x:c>
      <x:c r="D83" s="38" t="n">
        <x:v>2</x:v>
      </x:c>
      <x:c r="E83" s="38" t="str">
        <x:v>B00C4VSJD8</x:v>
      </x:c>
      <x:c r="F83" s="38" t="str">
        <x:v>review</x:v>
      </x:c>
      <x:c r="G83" s="38" t="str">
        <x:v>sound quality</x:v>
      </x:c>
      <x:c r="H83" s="38" t="str">
        <x:v>Cell Phones &amp; Accessories</x:v>
      </x:c>
      <x:c r="I83" s="91" t="str">
        <x:v>[Product: iHome 3.5mm Aux Portable Speaker (Purple Translucent) | ASIN: B00C4VSJD8] I purchased this and four other brands/models because I wanted to hear with my own ears which ones were the best in this micro portable speaker category.&lt;br /&gt;The ones I tried were:&lt;br /&gt;X-Mini Max II Capsule Speakers (White)&lt;br /&gt;X-Mini II Capsule Speaker (Red)&lt;br /&gt;Satechi SD Mini Portable Pocket Speaker&lt;br /&gt;iHome iHM60LT Rechargeable Mini Speaker (Blue Translucent)&lt;br /&gt;iTour-POP Ultra Portable Rechargeable Speaker&lt;br /&gt;I did not include the Altec Lansing I am-237 Orbit Speaker since it is not rechargeable.&lt;br /&gt;&lt;br /&gt;Sound quality, on a scale of 1 to 10, with 10 being the best of the group, and 1 being the built-in speaker in an iPhone or iPod Touch:&lt;br /&gt;iTour: 10/10&lt;br /&gt;iHome: 8.5/10&lt;br /&gt;Satechi: Amazing full sound and low distortion from a speaker this size. Stays put, even at high volume. The next three all sound pretty good, if you did not hear them side by side with the others, you would be pretty satisfied with purchasing any of them. These three all suffer from 'walking' across the table at high volume, the bass thumps just make them jump a little with every beat, with the iHome being the worst at that.</x:v>
      </x:c>
      <x:c r="J83" s="101" t="n">
        <x:v>2</x:v>
      </x:c>
      <x:c r="K83" s="92" t="str">
        <x:v>Human_Reviewer_01</x:v>
      </x:c>
      <x:c r="L83" s="92" t="str">
        <x:v>Medium</x:v>
      </x:c>
      <x:c r="M83" s="93" t="str">
        <x:v>Portable-speaker comparison directly describes bass thumps and high-volume behavior; several models are discussed.</x:v>
      </x:c>
      <x:c r="N83" s="94"/>
      <x:c r="O83" s="94"/>
      <x:c r="P83" s="94"/>
      <x:c r="Q83" s="95"/>
      <x:c r="R83" s="96"/>
      <x:c r="S83" s="96"/>
      <x:c r="T83" s="97"/>
      <x:c r="U83" s="98" t="str">
        <x:f>IF(OR(J83="",N83=""),"",IF(J83=N83,"No","Yes"))</x:f>
      </x:c>
      <x:c r="V83" s="98" t="n">
        <x:v>2</x:v>
      </x:c>
    </x:row>
    <x:row r="84" ht="54" hidden="0" customHeight="1">
      <x:c r="A84" s="38" t="str">
        <x:v>Q003::B0036W8BJ6_review_3807238</x:v>
      </x:c>
      <x:c r="B84" s="38" t="str">
        <x:v>Q003</x:v>
      </x:c>
      <x:c r="C84" s="91" t="str">
        <x:v>Which portable speaker has strong bass without distortion at high volume?</x:v>
      </x:c>
      <x:c r="D84" s="38" t="n">
        <x:v>3</x:v>
      </x:c>
      <x:c r="E84" s="38" t="str">
        <x:v>B0036W8BJ6</x:v>
      </x:c>
      <x:c r="F84" s="38" t="str">
        <x:v>review</x:v>
      </x:c>
      <x:c r="G84" s="38" t="str">
        <x:v>sound quality</x:v>
      </x:c>
      <x:c r="H84" s="38" t="str">
        <x:v>Cell Phones &amp; Accessories</x:v>
      </x:c>
      <x:c r="I84" s="91" t="str">
        <x:v>[Product: Kenwood Kfc-1693Ps 6.5-Inch Performance Series Speaker System | ASIN: B0036W8BJ6] sounds awesome i have kenwood kfc all around in my car. i can keep the bass at 0 to + 2 without distortion at high volumes. and then i can crank my subwoofer output to max and it sounds awesome.</x:v>
      </x:c>
      <x:c r="J84" s="101" t="n">
        <x:v>0</x:v>
      </x:c>
      <x:c r="K84" s="92" t="str">
        <x:v>Human_Reviewer_01</x:v>
      </x:c>
      <x:c r="L84" s="92" t="str">
        <x:v>High</x:v>
      </x:c>
      <x:c r="M84" s="93" t="str">
        <x:v>This is a car speaker system, not a portable speaker.</x:v>
      </x:c>
      <x:c r="N84" s="94"/>
      <x:c r="O84" s="94"/>
      <x:c r="P84" s="94"/>
      <x:c r="Q84" s="95"/>
      <x:c r="R84" s="96"/>
      <x:c r="S84" s="96"/>
      <x:c r="T84" s="97"/>
      <x:c r="U84" s="98" t="str">
        <x:f>IF(OR(J84="",N84=""),"",IF(J84=N84,"No","Yes"))</x:f>
      </x:c>
      <x:c r="V84" s="98" t="n">
        <x:v>0</x:v>
      </x:c>
    </x:row>
    <x:row r="85" ht="54" hidden="0" customHeight="1">
      <x:c r="A85" s="38" t="str">
        <x:v>Q003::B0060RD32E_review_2161699</x:v>
      </x:c>
      <x:c r="B85" s="38" t="str">
        <x:v>Q003</x:v>
      </x:c>
      <x:c r="C85" s="91" t="str">
        <x:v>Which portable speaker has strong bass without distortion at high volume?</x:v>
      </x:c>
      <x:c r="D85" s="38" t="n">
        <x:v>4</x:v>
      </x:c>
      <x:c r="E85" s="38" t="str">
        <x:v>B0060RD32E</x:v>
      </x:c>
      <x:c r="F85" s="38" t="str">
        <x:v>review</x:v>
      </x:c>
      <x:c r="G85" s="38" t="str">
        <x:v>sound quality</x:v>
      </x:c>
      <x:c r="H85" s="38" t="str">
        <x:v>Computers</x:v>
      </x:c>
      <x:c r="I85" s="91" t="str">
        <x:v>[Product: JLab USB Laptop Speakers - Portable, Compact, Travel Notebook Speaker for Windows PC and Mac - B-Flex X-Bass Hi-Fi Stereo USB Laptop Speaker - Black | ASIN: B0060RD32E] Jlab B-Flex X-Bass (say that 5 times fast) is the solution to that problem.&lt;br /&gt;&lt;br better sound quality than stock speakers&lt;br /&gt;-Tons more volume&lt;br /&gt;-Highly portable&lt;br /&gt;-Super easy (no install)&lt;br /&gt;&lt;br /&gt;Cons:&lt;br /&gt;-Shiny black + Travel = Scuff City&lt;br /&gt;-Flexible "stem" does not like to twist, only bend.&lt;br /&gt;-Costly (you can get a pretty substantial set of computer speakers for $70, or a second pair of ear buds with a splitter, etc.)&lt;br /&gt;&lt;br /&gt;Similarly light and portable to a laptop, the X-Bass can be easily stowed in a pocket, backpack, bag, etc. and brought out if you find yourself in need of better or louder sound (or both).&lt;br /&gt;&lt;br /&gt;It is a plug-and-play device, so seconds after it is plugged in, it is generating sound... and decently loudly too!&lt;br /&gt;&lt;br /&gt;It has two driven speakers, and 1 "passive" sub woofer. It simply allows the 2 driven speakers to deliver a deeper and more recognizable bass. It is effective in what it does, but it might be a little deceptive visually.&lt;br /&gt;&lt;br /&gt;The sound itself is substantially better than most laptops (macbook users will see a dramatic difference) and it is capable of easily filling a room with sound. /&gt;If you constantly need more volume and better sound from your laptop, you definitely want to look into these.</x:v>
      </x:c>
      <x:c r="J85" s="101" t="n">
        <x:v>2</x:v>
      </x:c>
      <x:c r="K85" s="92" t="str">
        <x:v>Human_Reviewer_01</x:v>
      </x:c>
      <x:c r="L85" s="92" t="str">
        <x:v>High</x:v>
      </x:c>
      <x:c r="M85" s="93" t="str">
        <x:v>Explicitly portable laptop speaker provides deeper bass and room-filling volume; distortion is untested.</x:v>
      </x:c>
      <x:c r="N85" s="94"/>
      <x:c r="O85" s="94"/>
      <x:c r="P85" s="94"/>
      <x:c r="Q85" s="95"/>
      <x:c r="R85" s="96"/>
      <x:c r="S85" s="96"/>
      <x:c r="T85" s="97"/>
      <x:c r="U85" s="98" t="str">
        <x:f>IF(OR(J85="",N85=""),"",IF(J85=N85,"No","Yes"))</x:f>
      </x:c>
      <x:c r="V85" s="98" t="n">
        <x:v>2</x:v>
      </x:c>
    </x:row>
    <x:row r="86" ht="54" hidden="0" customHeight="1">
      <x:c r="A86" s="38" t="str">
        <x:v>Q003::B008R523N2_review_3338014</x:v>
      </x:c>
      <x:c r="B86" s="38" t="str">
        <x:v>Q003</x:v>
      </x:c>
      <x:c r="C86" s="91" t="str">
        <x:v>Which portable speaker has strong bass without distortion at high volume?</x:v>
      </x:c>
      <x:c r="D86" s="38" t="n">
        <x:v>5</x:v>
      </x:c>
      <x:c r="E86" s="38" t="str">
        <x:v>B008R523N2</x:v>
      </x:c>
      <x:c r="F86" s="38" t="str">
        <x:v>review</x:v>
      </x:c>
      <x:c r="G86" s="38" t="str">
        <x:v>sound quality</x:v>
      </x:c>
      <x:c r="H86" s="38" t="str">
        <x:v>Cell Phones &amp; Accessories</x:v>
      </x:c>
      <x:c r="I86" s="91" t="str">
        <x:v>[Product: Alphasonik CHARM Wireless Bluetooth Portable Speaker with Digital LED Alarm Clock, Auto and Manual Dimmer, FM Radio, HD Sound and Bass, Micro USB, Auxilliary 3.5mm, SD card, for iPhone and Samsung | ASIN: B008R523N2] For all those complaining about the low volume level or lack of bass depth, and then comparing it to your home docks or the big Jambox or the Bose you are judging this unit in an unreasonable way. This speaker was meant to be used on the go...whether it be outside by the pool, in the bathroom as a shower companion, or at the beach... or maybe bedside. It is designed to replace the speaker on your cell phone or tablet while watching videos or streaming music, and it does that exceedingly well.&lt;br /&gt;&lt;br /&gt;It puts out about as much volume as a decent small boombox or high end (not Bang and Olufson or Bose high end... think $70-$100 range) This thing's biggest strength, however, is not it is volume level, but the quality of the sound. It is very clean, crisp, and distortion free...even at full volume. but how can it be when your left and right speakers are 2 inches apart? The bass does not vibrate your chest cavity, but it is not designed to... it does, however, have enough bass response that you can actually hear the bass lines (free of rattling or distortion), which is something not often found in speakers this size or even 50% larger than this size.&lt;br /&gt;&lt;br /&gt;It is very easy to use, and syncs flawlessly. The case is rugged, and the base does not suffer from the same problem that plagues the jambox (it will not slide off your table at high volumes).&lt;br /&gt;&lt;br /&gt;If you want an easily portable, wireless speaker with an amazing sound-to-size ratio that you can carry around with you everywhere, and you are more concerned with sound quality than sheer volume, I have yet to find anything else in this price range (around $150) or form factor (small enough to throw in cargo short pockets or a small bag) that can beat the Solemate.</x:v>
      </x:c>
      <x:c r="J86" s="101" t="n">
        <x:v>1</x:v>
      </x:c>
      <x:c r="K86" s="92" t="str">
        <x:v>Human_Reviewer_01</x:v>
      </x:c>
      <x:c r="L86" s="92" t="str">
        <x:v>Low</x:v>
      </x:c>
      <x:c r="M86" s="93" t="str">
        <x:v>Relevant bass and full-volume evidence, but the review names Solemate while the product prefix names Alphasonik.</x:v>
      </x:c>
      <x:c r="N86" s="94"/>
      <x:c r="O86" s="94"/>
      <x:c r="P86" s="94"/>
      <x:c r="Q86" s="95"/>
      <x:c r="R86" s="96"/>
      <x:c r="S86" s="96"/>
      <x:c r="T86" s="97"/>
      <x:c r="U86" s="98" t="str">
        <x:f>IF(OR(J86="",N86=""),"",IF(J86=N86,"No","Yes"))</x:f>
      </x:c>
      <x:c r="V86" s="98" t="n">
        <x:v>1</x:v>
      </x:c>
    </x:row>
    <x:row r="87" ht="54" hidden="0" customHeight="1">
      <x:c r="A87" s="38" t="str">
        <x:v>Q003::B0087AQO3M_review_1715383</x:v>
      </x:c>
      <x:c r="B87" s="38" t="str">
        <x:v>Q003</x:v>
      </x:c>
      <x:c r="C87" s="91" t="str">
        <x:v>Which portable speaker has strong bass without distortion at high volume?</x:v>
      </x:c>
      <x:c r="D87" s="38" t="n">
        <x:v>6</x:v>
      </x:c>
      <x:c r="E87" s="38" t="str">
        <x:v>B0087AQO3M</x:v>
      </x:c>
      <x:c r="F87" s="38" t="str">
        <x:v>review</x:v>
      </x:c>
      <x:c r="G87" s="38" t="str">
        <x:v>sound quality</x:v>
      </x:c>
      <x:c r="H87" s="38" t="str">
        <x:v>Cell Phones &amp; Accessories</x:v>
      </x:c>
      <x:c r="I87" s="91" t="str">
        <x:v>[Product: Jawbone Big JAMBOX Wireless Bluetooth Speaker - Graphite Hex - Retail Packaging | ASIN: B0087AQO3M] B005KFONIU Bose SoundLink Wireless Mobile Speaker - Nylon]], which is also an excellent option, as noted below.&lt;br /&gt;&lt;br /&gt;I recently purchased several bluetooth speakers to test in my bedroom and office in hopes that I would like one enough to keep. Before I get into the details, I will cut to the chase and let you know that I decided to keep the Big Jambox over the Bose SoundLink. While the Bose puts out a truly impressive amount of sound from such a small, portable package, the sound quality is not as good as the Big Jambox at low to normal volume levels.&lt;br /&gt;&lt;br /&gt;The products I tested were the Bose SoundLink Wireless, Jawbone Jambox, Jawbone Big Jambox, and Logitech Wireless Boombox. Ultimately, though, I felt that the Big Jambox sounded and looked better (for my taste), so I returned the Bose and Logitech Wireless Boombox (I also kept the little Jambox for my office, which does not sound nearly as good as the bigger speakers, but makes for a great ultra-portable speaker for half the price ($150)).&lt;br /&gt;&lt;br /&gt;My biggest problem with the sound of the Bose Soundlink is that there is far too much bass at low to normal volume levels. This is a problem for me because the bass clouds the rest of the music -- vocals become difficult to hear and the treble is nearly non-existent. The Bose sounds muddy and veiled under these circumstances, especially in small rooms. And to be clear, I am a big fan of bass. I hate speakers that have no bass because the music I listen to (jazz, pop, hip hop, electronic) really benefit from bass. In contrast, the Big Jambox has a much better balance of bass, midrange, and treble at low to normal volume levels, providing a clearer overall sound.*&lt;br /&gt;&lt;br /&gt;However, this is only an issue when the volume on the Bose is lower. As you turn the volume up, the bass becomes less pronounced, as if the other frequencies get louder but the bass stays at the same level. It sounds much much better when the volume is cranked up. In fact, I would say the Bose sounds significantly better than the Big Jambox at high volumes -- at their loudest settings, the Bose projects a bigger, richer sound than the Big Jambox, which can sound a bit shrill and boxed in at its higher settings. The "better" speaker ultimately comes down to how loud you listen to music.&lt;br /&gt;&lt;br /&gt;This is not to say that the Big Jambox sounds bad at high volumes. Frankly, I do not think anyone relying on a small wireless speaker is expecting perfection. The Big Jambox can still fill a very large room with an impressive amount of sound, and I find that it tends to distort less at higher volumes than the Bose. Ultimately, I preferred the sound of the Big Jambox for my use and decided to keep that speaker. If you are more of a party-level listener, though, you would be wise to choose differently.&lt;br /&gt;&lt;br /&gt;*One issue I have had with the Big Jambox is that, unlike the Bose, the Big Jambox emits a static "hissing" sound that is audible in a quiet room. If you listen to music at low volume or sit near the speaker, this sound will be very obvious (and possibly quite annoying). The Bose has no hiss sound whatsoever. I am hoping this is an issue Jawbone can fix with a firmware update, as they did with the little Jambox, but it is not much of an issue for me since I listen at normal volumes and never sit near the speaker.</x:v>
      </x:c>
      <x:c r="J87" s="101" t="n">
        <x:v>2</x:v>
      </x:c>
      <x:c r="K87" s="92" t="str">
        <x:v>Human_Reviewer_01</x:v>
      </x:c>
      <x:c r="L87" s="92" t="str">
        <x:v>High</x:v>
      </x:c>
      <x:c r="M87" s="93" t="str">
        <x:v>Portable-speaker comparison provides model-specific bass balance and high-volume distortion evidence.</x:v>
      </x:c>
      <x:c r="N87" s="94"/>
      <x:c r="O87" s="94"/>
      <x:c r="P87" s="94"/>
      <x:c r="Q87" s="95"/>
      <x:c r="R87" s="96"/>
      <x:c r="S87" s="96"/>
      <x:c r="T87" s="97"/>
      <x:c r="U87" s="98" t="str">
        <x:f>IF(OR(J87="",N87=""),"",IF(J87=N87,"No","Yes"))</x:f>
      </x:c>
      <x:c r="V87" s="98" t="n">
        <x:v>2</x:v>
      </x:c>
    </x:row>
    <x:row r="88" ht="54" hidden="0" customHeight="1">
      <x:c r="A88" s="38" t="str">
        <x:v>Q003::B00EEE3XHA_review_4216483</x:v>
      </x:c>
      <x:c r="B88" s="38" t="str">
        <x:v>Q003</x:v>
      </x:c>
      <x:c r="C88" s="91" t="str">
        <x:v>Which portable speaker has strong bass without distortion at high volume?</x:v>
      </x:c>
      <x:c r="D88" s="38" t="n">
        <x:v>7</x:v>
      </x:c>
      <x:c r="E88" s="38" t="str">
        <x:v>B00EEE3XHA</x:v>
      </x:c>
      <x:c r="F88" s="38" t="str">
        <x:v>review</x:v>
      </x:c>
      <x:c r="G88" s="38" t="str">
        <x:v>sound quality</x:v>
      </x:c>
      <x:c r="H88" s="38" t="str">
        <x:v>Computers</x:v>
      </x:c>
      <x:c r="I88" s="91" t="str">
        <x:v>[Product: Palo Alto Audio Design Cubik HD USB Computer Speaker System, Black (SA510APA) | ASIN: B00EEE3XHA] Do not expect distortion free audio at high volume. They are just two inch cone speakers.</x:v>
      </x:c>
      <x:c r="J88" s="101" t="n">
        <x:v>0</x:v>
      </x:c>
      <x:c r="K88" s="92" t="str">
        <x:v>Human_Reviewer_01</x:v>
      </x:c>
      <x:c r="L88" s="92" t="str">
        <x:v>High</x:v>
      </x:c>
      <x:c r="M88" s="93" t="str">
        <x:v>A USB computer speaker system is not established as portable.</x:v>
      </x:c>
      <x:c r="N88" s="94"/>
      <x:c r="O88" s="94"/>
      <x:c r="P88" s="94"/>
      <x:c r="Q88" s="95"/>
      <x:c r="R88" s="96"/>
      <x:c r="S88" s="96"/>
      <x:c r="T88" s="97"/>
      <x:c r="U88" s="98" t="str">
        <x:f>IF(OR(J88="",N88=""),"",IF(J88=N88,"No","Yes"))</x:f>
      </x:c>
      <x:c r="V88" s="98" t="n">
        <x:v>0</x:v>
      </x:c>
    </x:row>
    <x:row r="89" ht="54" hidden="0" customHeight="1">
      <x:c r="A89" s="38" t="str">
        <x:v>Q003::B009WNBDJS_review_4162817</x:v>
      </x:c>
      <x:c r="B89" s="38" t="str">
        <x:v>Q003</x:v>
      </x:c>
      <x:c r="C89" s="91" t="str">
        <x:v>Which portable speaker has strong bass without distortion at high volume?</x:v>
      </x:c>
      <x:c r="D89" s="38" t="n">
        <x:v>8</x:v>
      </x:c>
      <x:c r="E89" s="38" t="str">
        <x:v>B009WNBDJS</x:v>
      </x:c>
      <x:c r="F89" s="38" t="str">
        <x:v>review</x:v>
      </x:c>
      <x:c r="G89" s="38" t="str">
        <x:v>general</x:v>
      </x:c>
      <x:c r="H89" s="38" t="str">
        <x:v>Computers</x:v>
      </x:c>
      <x:c r="I89" s="91" t="str">
        <x:v>[Product: Microlab B51BLACK Portable Amplified USB-Powered Clip-On Speaker for Notebook and Tablet with USB Port (Black) | ASIN: B009WNBDJS] This actually picks up treble REALLY well.&lt;br /&gt;&lt;br /&gt;Definitely a good travel option. A bit loose, too because of the weight, so I recommend keeping it straight up.&lt;br /&gt;&lt;br</x:v>
      </x:c>
      <x:c r="J89" s="101" t="n">
        <x:v>1</x:v>
      </x:c>
      <x:c r="K89" s="92" t="str">
        <x:v>Human_Reviewer_01</x:v>
      </x:c>
      <x:c r="L89" s="92" t="str">
        <x:v>High</x:v>
      </x:c>
      <x:c r="M89" s="93" t="str">
        <x:v>Portable speaker has treble evidence, but bass and high-volume distortion are absent.</x:v>
      </x:c>
      <x:c r="N89" s="94"/>
      <x:c r="O89" s="94"/>
      <x:c r="P89" s="94"/>
      <x:c r="Q89" s="95"/>
      <x:c r="R89" s="96"/>
      <x:c r="S89" s="96"/>
      <x:c r="T89" s="97"/>
      <x:c r="U89" s="98" t="str">
        <x:f>IF(OR(J89="",N89=""),"",IF(J89=N89,"No","Yes"))</x:f>
      </x:c>
      <x:c r="V89" s="98" t="n">
        <x:v>1</x:v>
      </x:c>
    </x:row>
    <x:row r="90" ht="54" hidden="0" customHeight="1">
      <x:c r="A90" s="38" t="str">
        <x:v>Q003::B00CHHXW6S_review_2683503</x:v>
      </x:c>
      <x:c r="B90" s="38" t="str">
        <x:v>Q003</x:v>
      </x:c>
      <x:c r="C90" s="91" t="str">
        <x:v>Which portable speaker has strong bass without distortion at high volume?</x:v>
      </x:c>
      <x:c r="D90" s="38" t="n">
        <x:v>9</x:v>
      </x:c>
      <x:c r="E90" s="38" t="str">
        <x:v>B00CHHXW6S</x:v>
      </x:c>
      <x:c r="F90" s="38" t="str">
        <x:v>review</x:v>
      </x:c>
      <x:c r="G90" s="38" t="str">
        <x:v>general</x:v>
      </x:c>
      <x:c r="H90" s="38" t="str">
        <x:v>Computers</x:v>
      </x:c>
      <x:c r="I90" s="91" t="str">
        <x:v>[Product: DBEST London Solo Rechargeable Mini Speaker - Rubberized Black (PS4011-RB) | ASIN: B00CHHXW6S] I loved it. It had surprising clarity, and it could go pretty far.</x:v>
      </x:c>
      <x:c r="J90" s="101" t="n">
        <x:v>1</x:v>
      </x:c>
      <x:c r="K90" s="92" t="str">
        <x:v>Human_Reviewer_01</x:v>
      </x:c>
      <x:c r="L90" s="92" t="str">
        <x:v>High</x:v>
      </x:c>
      <x:c r="M90" s="93" t="str">
        <x:v>Mini speaker has general clarity praise, without bass or high-volume testing.</x:v>
      </x:c>
      <x:c r="N90" s="94"/>
      <x:c r="O90" s="94"/>
      <x:c r="P90" s="94"/>
      <x:c r="Q90" s="95"/>
      <x:c r="R90" s="96"/>
      <x:c r="S90" s="96"/>
      <x:c r="T90" s="97"/>
      <x:c r="U90" s="98" t="str">
        <x:f>IF(OR(J90="",N90=""),"",IF(J90=N90,"No","Yes"))</x:f>
      </x:c>
      <x:c r="V90" s="98" t="n">
        <x:v>1</x:v>
      </x:c>
    </x:row>
    <x:row r="91" ht="54" hidden="0" customHeight="1">
      <x:c r="A91" s="38" t="str">
        <x:v>Q003::B00XIH4FOE_review_1713521</x:v>
      </x:c>
      <x:c r="B91" s="38" t="str">
        <x:v>Q003</x:v>
      </x:c>
      <x:c r="C91" s="91" t="str">
        <x:v>Which portable speaker has strong bass without distortion at high volume?</x:v>
      </x:c>
      <x:c r="D91" s="38" t="n">
        <x:v>10</x:v>
      </x:c>
      <x:c r="E91" s="38" t="str">
        <x:v>B00XIH4FOE</x:v>
      </x:c>
      <x:c r="F91" s="38" t="str">
        <x:v>review</x:v>
      </x:c>
      <x:c r="G91" s="38" t="str">
        <x:v>sound quality</x:v>
      </x:c>
      <x:c r="H91" s="38" t="str">
        <x:v>Cell Phones &amp; Accessories</x:v>
      </x:c>
      <x:c r="I91" s="91" t="str">
        <x:v>[Product: RCA SP10 Portable Speaker | ASIN: B00XIH4FOE] Also good sound clarity, especially for 8 bucks.</x:v>
      </x:c>
      <x:c r="J91" s="101" t="n">
        <x:v>1</x:v>
      </x:c>
      <x:c r="K91" s="92" t="str">
        <x:v>Human_Reviewer_01</x:v>
      </x:c>
      <x:c r="L91" s="92" t="str">
        <x:v>High</x:v>
      </x:c>
      <x:c r="M91" s="93" t="str">
        <x:v>Portable speaker has general clarity praise, without bass or high-volume testing.</x:v>
      </x:c>
      <x:c r="N91" s="94"/>
      <x:c r="O91" s="94"/>
      <x:c r="P91" s="94"/>
      <x:c r="Q91" s="95"/>
      <x:c r="R91" s="96"/>
      <x:c r="S91" s="96"/>
      <x:c r="T91" s="97"/>
      <x:c r="U91" s="98" t="str">
        <x:f>IF(OR(J91="",N91=""),"",IF(J91=N91,"No","Yes"))</x:f>
      </x:c>
      <x:c r="V91" s="98" t="n">
        <x:v>1</x:v>
      </x:c>
    </x:row>
    <x:row r="92" ht="54" hidden="0" customHeight="1">
      <x:c r="A92" s="38" t="str">
        <x:v>Q003::B00JFKJFAC_review_2032899</x:v>
      </x:c>
      <x:c r="B92" s="38" t="str">
        <x:v>Q003</x:v>
      </x:c>
      <x:c r="C92" s="91" t="str">
        <x:v>Which portable speaker has strong bass without distortion at high volume?</x:v>
      </x:c>
      <x:c r="D92" s="38" t="n">
        <x:v>11</x:v>
      </x:c>
      <x:c r="E92" s="38" t="str">
        <x:v>B00JFKJFAC</x:v>
      </x:c>
      <x:c r="F92" s="38" t="str">
        <x:v>review</x:v>
      </x:c>
      <x:c r="G92" s="38" t="str">
        <x:v>sound quality</x:v>
      </x:c>
      <x:c r="H92" s="38" t="str">
        <x:v>Cell Phones &amp; Accessories</x:v>
      </x:c>
      <x:c r="I92" s="91" t="str">
        <x:v>[Product: Huawei Bluetooth Speaker Color Green | ASIN: B00JFKJFAC] The Speaker has a very nice sound,it has some nice bass to it for its size and price. There is a noticeable distortion at maximum volume but turn it one or two notches down and it will be fine.</x:v>
      </x:c>
      <x:c r="J92" s="101" t="n">
        <x:v>1</x:v>
      </x:c>
      <x:c r="K92" s="92" t="str">
        <x:v>Human_Reviewer_01</x:v>
      </x:c>
      <x:c r="L92" s="92" t="str">
        <x:v>Medium</x:v>
      </x:c>
      <x:c r="M92" s="93" t="str">
        <x:v>Bass and maximum-volume distortion are explicit, but the chunk does not establish portable-speaker use.</x:v>
      </x:c>
      <x:c r="N92" s="94"/>
      <x:c r="O92" s="94"/>
      <x:c r="P92" s="94"/>
      <x:c r="Q92" s="95"/>
      <x:c r="R92" s="96"/>
      <x:c r="S92" s="96"/>
      <x:c r="T92" s="97"/>
      <x:c r="U92" s="98" t="str">
        <x:f>IF(OR(J92="",N92=""),"",IF(J92=N92,"No","Yes"))</x:f>
      </x:c>
      <x:c r="V92" s="98" t="n">
        <x:v>1</x:v>
      </x:c>
    </x:row>
    <x:row r="93" ht="54" hidden="0" customHeight="1">
      <x:c r="A93" s="38" t="str">
        <x:v>Q003::B00KTUKNNK_review_4241908</x:v>
      </x:c>
      <x:c r="B93" s="38" t="str">
        <x:v>Q003</x:v>
      </x:c>
      <x:c r="C93" s="91" t="str">
        <x:v>Which portable speaker has strong bass without distortion at high volume?</x:v>
      </x:c>
      <x:c r="D93" s="38" t="n">
        <x:v>12</x:v>
      </x:c>
      <x:c r="E93" s="38" t="str">
        <x:v>B00KTUKNNK</x:v>
      </x:c>
      <x:c r="F93" s="38" t="str">
        <x:v>review</x:v>
      </x:c>
      <x:c r="G93" s="38" t="str">
        <x:v>sound quality</x:v>
      </x:c>
      <x:c r="H93" s="38" t="str">
        <x:v>Computers</x:v>
      </x:c>
      <x:c r="I93" s="91" t="str">
        <x:v>[Product: Dell Wireless Portable Speaker (520-AAGP) | ASIN: B00KTUKNNK] I have had good luck with Dell products but nothing to applaud with this little speaker. Do not recommend beyond medium volume because of distortion.</x:v>
      </x:c>
      <x:c r="J93" s="101" t="n">
        <x:v>2</x:v>
      </x:c>
      <x:c r="K93" s="92" t="str">
        <x:v>Human_Reviewer_01</x:v>
      </x:c>
      <x:c r="L93" s="92" t="str">
        <x:v>High</x:v>
      </x:c>
      <x:c r="M93" s="93" t="str">
        <x:v>Portable speaker distorts above medium volume; direct negative evidence.</x:v>
      </x:c>
      <x:c r="N93" s="94"/>
      <x:c r="O93" s="94"/>
      <x:c r="P93" s="94"/>
      <x:c r="Q93" s="95"/>
      <x:c r="R93" s="96"/>
      <x:c r="S93" s="96"/>
      <x:c r="T93" s="97"/>
      <x:c r="U93" s="98" t="str">
        <x:f>IF(OR(J93="",N93=""),"",IF(J93=N93,"No","Yes"))</x:f>
      </x:c>
      <x:c r="V93" s="98" t="n">
        <x:v>2</x:v>
      </x:c>
    </x:row>
    <x:row r="94" ht="54" hidden="0" customHeight="1">
      <x:c r="A94" s="38" t="str">
        <x:v>Q003::B00B981XQC_review_1377329</x:v>
      </x:c>
      <x:c r="B94" s="38" t="str">
        <x:v>Q003</x:v>
      </x:c>
      <x:c r="C94" s="91" t="str">
        <x:v>Which portable speaker has strong bass without distortion at high volume?</x:v>
      </x:c>
      <x:c r="D94" s="38" t="n">
        <x:v>13</x:v>
      </x:c>
      <x:c r="E94" s="38" t="str">
        <x:v>B00B981XQC</x:v>
      </x:c>
      <x:c r="F94" s="38" t="str">
        <x:v>review</x:v>
      </x:c>
      <x:c r="G94" s="38" t="str">
        <x:v>sound quality</x:v>
      </x:c>
      <x:c r="H94" s="38" t="str">
        <x:v>Cell Phones &amp; Accessories</x:v>
      </x:c>
      <x:c r="I94" s="91" t="str">
        <x:v>[Product: ION Audio iPA30 Audio Job Rocker | Portable Heavy-Duty Bluetooth Speaker with AM/FM Radio (Orange) | ASIN: B00B981XQC] This speaker is a beast. It does not get distorted even at high volumes, and the bass really holds up well.</x:v>
      </x:c>
      <x:c r="J94" s="101" t="n">
        <x:v>2</x:v>
      </x:c>
      <x:c r="K94" s="92" t="str">
        <x:v>Human_Reviewer_01</x:v>
      </x:c>
      <x:c r="L94" s="92" t="str">
        <x:v>High</x:v>
      </x:c>
      <x:c r="M94" s="93" t="str">
        <x:v>Portable speaker maintains bass without distortion at high volume.</x:v>
      </x:c>
      <x:c r="N94" s="94"/>
      <x:c r="O94" s="94"/>
      <x:c r="P94" s="94"/>
      <x:c r="Q94" s="95"/>
      <x:c r="R94" s="96"/>
      <x:c r="S94" s="96"/>
      <x:c r="T94" s="97"/>
      <x:c r="U94" s="98" t="str">
        <x:f>IF(OR(J94="",N94=""),"",IF(J94=N94,"No","Yes"))</x:f>
      </x:c>
      <x:c r="V94" s="98" t="n">
        <x:v>2</x:v>
      </x:c>
    </x:row>
    <x:row r="95" ht="54" hidden="0" customHeight="1">
      <x:c r="A95" s="38" t="str">
        <x:v>Q003::B00UI69NEA_review_927643</x:v>
      </x:c>
      <x:c r="B95" s="38" t="str">
        <x:v>Q003</x:v>
      </x:c>
      <x:c r="C95" s="91" t="str">
        <x:v>Which portable speaker has strong bass without distortion at high volume?</x:v>
      </x:c>
      <x:c r="D95" s="38" t="n">
        <x:v>14</x:v>
      </x:c>
      <x:c r="E95" s="38" t="str">
        <x:v>B00UI69NEA</x:v>
      </x:c>
      <x:c r="F95" s="38" t="str">
        <x:v>review</x:v>
      </x:c>
      <x:c r="G95" s="38" t="str">
        <x:v>sound quality</x:v>
      </x:c>
      <x:c r="H95" s="38" t="str">
        <x:v>Cell Phones &amp; Accessories</x:v>
      </x:c>
      <x:c r="I95" s="91" t="str">
        <x:v>[Product: Sony SRSX5 Portable NFC Bluetooth Wireless Speaker System (Black) with Speakerphone (Renewed) | ASIN: B00UI69NEA] Heavy distortion on vocals, especially where bass is strong.</x:v>
      </x:c>
      <x:c r="J95" s="101" t="n">
        <x:v>2</x:v>
      </x:c>
      <x:c r="K95" s="92" t="str">
        <x:v>Human_Reviewer_01</x:v>
      </x:c>
      <x:c r="L95" s="92" t="str">
        <x:v>High</x:v>
      </x:c>
      <x:c r="M95" s="93" t="str">
        <x:v>Portable speaker has heavy vocal distortion where bass is strong.</x:v>
      </x:c>
      <x:c r="N95" s="94"/>
      <x:c r="O95" s="94"/>
      <x:c r="P95" s="94"/>
      <x:c r="Q95" s="95"/>
      <x:c r="R95" s="96"/>
      <x:c r="S95" s="96"/>
      <x:c r="T95" s="97"/>
      <x:c r="U95" s="98" t="str">
        <x:f>IF(OR(J95="",N95=""),"",IF(J95=N95,"No","Yes"))</x:f>
      </x:c>
      <x:c r="V95" s="98" t="n">
        <x:v>2</x:v>
      </x:c>
    </x:row>
    <x:row r="96" ht="54" hidden="0" customHeight="1">
      <x:c r="A96" s="38" t="str">
        <x:v>Q003::B00R0JH93U_review_744014</x:v>
      </x:c>
      <x:c r="B96" s="38" t="str">
        <x:v>Q003</x:v>
      </x:c>
      <x:c r="C96" s="91" t="str">
        <x:v>Which portable speaker has strong bass without distortion at high volume?</x:v>
      </x:c>
      <x:c r="D96" s="38" t="n">
        <x:v>15</x:v>
      </x:c>
      <x:c r="E96" s="38" t="str">
        <x:v>B00R0JH93U</x:v>
      </x:c>
      <x:c r="F96" s="38" t="str">
        <x:v>review</x:v>
      </x:c>
      <x:c r="G96" s="38" t="str">
        <x:v>sound quality</x:v>
      </x:c>
      <x:c r="H96" s="38" t="str">
        <x:v>Cell Phones &amp; Accessories</x:v>
      </x:c>
      <x:c r="I96" s="91" t="str">
        <x:v>[Product: Sylvania SP258-BLACK Rugged Bluetooth Portable Speaker | ASIN: B00R0JH93U] I decided to buy this BT speaker from Big Lots ..... It sound very good and clear with strong bass for its size....</x:v>
      </x:c>
      <x:c r="J96" s="101" t="n">
        <x:v>2</x:v>
      </x:c>
      <x:c r="K96" s="92" t="str">
        <x:v>Human_Reviewer_01</x:v>
      </x:c>
      <x:c r="L96" s="92" t="str">
        <x:v>High</x:v>
      </x:c>
      <x:c r="M96" s="93" t="str">
        <x:v>Portable speaker has clear sound and strong bass for its size.</x:v>
      </x:c>
      <x:c r="N96" s="94"/>
      <x:c r="O96" s="94"/>
      <x:c r="P96" s="94"/>
      <x:c r="Q96" s="95"/>
      <x:c r="R96" s="96"/>
      <x:c r="S96" s="96"/>
      <x:c r="T96" s="97"/>
      <x:c r="U96" s="98" t="str">
        <x:f>IF(OR(J96="",N96=""),"",IF(J96=N96,"No","Yes"))</x:f>
      </x:c>
      <x:c r="V96" s="98" t="n">
        <x:v>2</x:v>
      </x:c>
    </x:row>
    <x:row r="97" ht="54" hidden="0" customHeight="1">
      <x:c r="A97" s="38" t="str">
        <x:v>Q003::B08HHY9FNK_review_983736</x:v>
      </x:c>
      <x:c r="B97" s="38" t="str">
        <x:v>Q003</x:v>
      </x:c>
      <x:c r="C97" s="91" t="str">
        <x:v>Which portable speaker has strong bass without distortion at high volume?</x:v>
      </x:c>
      <x:c r="D97" s="38" t="n">
        <x:v>16</x:v>
      </x:c>
      <x:c r="E97" s="38" t="str">
        <x:v>B08HHY9FNK</x:v>
      </x:c>
      <x:c r="F97" s="38" t="str">
        <x:v>review</x:v>
      </x:c>
      <x:c r="G97" s="38" t="str">
        <x:v>general</x:v>
      </x:c>
      <x:c r="H97" s="38" t="str">
        <x:v>Cell Phones &amp; Accessories</x:v>
      </x:c>
      <x:c r="I97" s="91" t="str">
        <x:v>[Product: Hermitshell Hard Travel Case for Sony SRS-XB33 Extra BASS Wireless Portable Speaker (Black) | ASIN: B08HHY9FNK] I found this case to fit my Sony SRS-XB33 perfectly but this case has a strong bad smell of industrial smoke. Not pleasant.</x:v>
      </x:c>
      <x:c r="J97" s="101" t="n">
        <x:v>0</x:v>
      </x:c>
      <x:c r="K97" s="92" t="str">
        <x:v>Human_Reviewer_01</x:v>
      </x:c>
      <x:c r="L97" s="92" t="str">
        <x:v>High</x:v>
      </x:c>
      <x:c r="M97" s="93" t="str">
        <x:v>This is a speaker carrying case, not a speaker.</x:v>
      </x:c>
      <x:c r="N97" s="94"/>
      <x:c r="O97" s="94"/>
      <x:c r="P97" s="94"/>
      <x:c r="Q97" s="95"/>
      <x:c r="R97" s="96"/>
      <x:c r="S97" s="96"/>
      <x:c r="T97" s="97"/>
      <x:c r="U97" s="98" t="str">
        <x:f>IF(OR(J97="",N97=""),"",IF(J97=N97,"No","Yes"))</x:f>
      </x:c>
      <x:c r="V97" s="98" t="n">
        <x:v>0</x:v>
      </x:c>
    </x:row>
    <x:row r="98" ht="54" hidden="0" customHeight="1">
      <x:c r="A98" s="38" t="str">
        <x:v>Q003::B0014KS0FW_review_2265942</x:v>
      </x:c>
      <x:c r="B98" s="38" t="str">
        <x:v>Q003</x:v>
      </x:c>
      <x:c r="C98" s="91" t="str">
        <x:v>Which portable speaker has strong bass without distortion at high volume?</x:v>
      </x:c>
      <x:c r="D98" s="38" t="n">
        <x:v>17</x:v>
      </x:c>
      <x:c r="E98" s="38" t="str">
        <x:v>B0014KS0FW</x:v>
      </x:c>
      <x:c r="F98" s="38" t="str">
        <x:v>review</x:v>
      </x:c>
      <x:c r="G98" s="38" t="str">
        <x:v>sound quality</x:v>
      </x:c>
      <x:c r="H98" s="38" t="str">
        <x:v>Computers</x:v>
      </x:c>
      <x:c r="I98" s="91" t="str">
        <x:v>[Product: Sony SRS-T33SILVER Compact Portable Speaker | ASIN: B0014KS0FW] Have good mid-range sound, not tinny, but not much bass either.</x:v>
      </x:c>
      <x:c r="J98" s="101" t="n">
        <x:v>2</x:v>
      </x:c>
      <x:c r="K98" s="92" t="str">
        <x:v>Human_Reviewer_01</x:v>
      </x:c>
      <x:c r="L98" s="92" t="str">
        <x:v>High</x:v>
      </x:c>
      <x:c r="M98" s="93" t="str">
        <x:v>Portable speaker has little bass; direct negative evidence.</x:v>
      </x:c>
      <x:c r="N98" s="94"/>
      <x:c r="O98" s="94"/>
      <x:c r="P98" s="94"/>
      <x:c r="Q98" s="95"/>
      <x:c r="R98" s="96"/>
      <x:c r="S98" s="96"/>
      <x:c r="T98" s="97"/>
      <x:c r="U98" s="98" t="str">
        <x:f>IF(OR(J98="",N98=""),"",IF(J98=N98,"No","Yes"))</x:f>
      </x:c>
      <x:c r="V98" s="98" t="n">
        <x:v>2</x:v>
      </x:c>
    </x:row>
    <x:row r="99" ht="54" hidden="0" customHeight="1">
      <x:c r="A99" s="38" t="str">
        <x:v>Q003::B01N4NY1KE_review_2836084</x:v>
      </x:c>
      <x:c r="B99" s="38" t="str">
        <x:v>Q003</x:v>
      </x:c>
      <x:c r="C99" s="91" t="str">
        <x:v>Which portable speaker has strong bass without distortion at high volume?</x:v>
      </x:c>
      <x:c r="D99" s="38" t="n">
        <x:v>18</x:v>
      </x:c>
      <x:c r="E99" s="38" t="str">
        <x:v>B01N4NY1KE</x:v>
      </x:c>
      <x:c r="F99" s="38" t="str">
        <x:v>review</x:v>
      </x:c>
      <x:c r="G99" s="38" t="str">
        <x:v>sound quality</x:v>
      </x:c>
      <x:c r="H99" s="38" t="str">
        <x:v>Cell Phones &amp; Accessories</x:v>
      </x:c>
      <x:c r="I99" s="91" t="str">
        <x:v>[Product: Hifonics ZS35CX Zeus 3.5" Coaxial Speaker ,BLACK | ASIN: B01N4NY1KE] No distortion at high volume.</x:v>
      </x:c>
      <x:c r="J99" s="101" t="n">
        <x:v>0</x:v>
      </x:c>
      <x:c r="K99" s="92" t="str">
        <x:v>Human_Reviewer_01</x:v>
      </x:c>
      <x:c r="L99" s="92" t="str">
        <x:v>High</x:v>
      </x:c>
      <x:c r="M99" s="93" t="str">
        <x:v>A coaxial component speaker is not established as a portable speaker.</x:v>
      </x:c>
      <x:c r="N99" s="94"/>
      <x:c r="O99" s="94"/>
      <x:c r="P99" s="94"/>
      <x:c r="Q99" s="95"/>
      <x:c r="R99" s="96"/>
      <x:c r="S99" s="96"/>
      <x:c r="T99" s="97"/>
      <x:c r="U99" s="98" t="str">
        <x:f>IF(OR(J99="",N99=""),"",IF(J99=N99,"No","Yes"))</x:f>
      </x:c>
      <x:c r="V99" s="98" t="n">
        <x:v>0</x:v>
      </x:c>
    </x:row>
    <x:row r="100" ht="54" hidden="0" customHeight="1">
      <x:c r="A100" s="38" t="str">
        <x:v>Q003::B00XIH4FOE_review_1713514</x:v>
      </x:c>
      <x:c r="B100" s="38" t="str">
        <x:v>Q003</x:v>
      </x:c>
      <x:c r="C100" s="91" t="str">
        <x:v>Which portable speaker has strong bass without distortion at high volume?</x:v>
      </x:c>
      <x:c r="D100" s="38" t="n">
        <x:v>19</x:v>
      </x:c>
      <x:c r="E100" s="38" t="str">
        <x:v>B00XIH4FOE</x:v>
      </x:c>
      <x:c r="F100" s="38" t="str">
        <x:v>review</x:v>
      </x:c>
      <x:c r="G100" s="38" t="str">
        <x:v>sound quality</x:v>
      </x:c>
      <x:c r="H100" s="38" t="str">
        <x:v>Cell Phones &amp; Accessories</x:v>
      </x:c>
      <x:c r="I100" s="91" t="str">
        <x:v>[Product: RCA SP10 Portable Speaker | ASIN: B00XIH4FOE] I have to chuckle at the reviews of this product that say it has good bass response. It actually has minimal to no bass response! Both lows and highs become distorted at high volume. These have good performance only relative to poor tablet speakers. For example I did a side by side listen test with the speakers on my Kindle Fire HD (known for having good tablet speakers), and the RCA SP10 is only a little better and may have had more distortion at some frequencies. But if all you need a boost beyond some poor tablet speakers, go for it.</x:v>
      </x:c>
      <x:c r="J100" s="101" t="n">
        <x:v>2</x:v>
      </x:c>
      <x:c r="K100" s="92" t="str">
        <x:v>Human_Reviewer_01</x:v>
      </x:c>
      <x:c r="L100" s="92" t="str">
        <x:v>High</x:v>
      </x:c>
      <x:c r="M100" s="93" t="str">
        <x:v>Portable speaker has minimal bass and distorted lows and highs at high volume.</x:v>
      </x:c>
      <x:c r="N100" s="94"/>
      <x:c r="O100" s="94"/>
      <x:c r="P100" s="94"/>
      <x:c r="Q100" s="95"/>
      <x:c r="R100" s="96"/>
      <x:c r="S100" s="96"/>
      <x:c r="T100" s="97"/>
      <x:c r="U100" s="98" t="str">
        <x:f>IF(OR(J100="",N100=""),"",IF(J100=N100,"No","Yes"))</x:f>
      </x:c>
      <x:c r="V100" s="98" t="n">
        <x:v>2</x:v>
      </x:c>
    </x:row>
    <x:row r="101" ht="54" hidden="0" customHeight="1">
      <x:c r="A101" s="38" t="str">
        <x:v>Q003::B00ILH3PJC_review_3789386</x:v>
      </x:c>
      <x:c r="B101" s="38" t="str">
        <x:v>Q003</x:v>
      </x:c>
      <x:c r="C101" s="91" t="str">
        <x:v>Which portable speaker has strong bass without distortion at high volume?</x:v>
      </x:c>
      <x:c r="D101" s="38" t="n">
        <x:v>20</x:v>
      </x:c>
      <x:c r="E101" s="38" t="str">
        <x:v>B00ILH3PJC</x:v>
      </x:c>
      <x:c r="F101" s="38" t="str">
        <x:v>review</x:v>
      </x:c>
      <x:c r="G101" s="38" t="str">
        <x:v>sound quality</x:v>
      </x:c>
      <x:c r="H101" s="38" t="str">
        <x:v>Cell Phones &amp; Accessories</x:v>
      </x:c>
      <x:c r="I101" s="91" t="str">
        <x:v>[Product: Jawbone BIG JAMBOX Wireless Bluetooth Speaker - Graphite Hex (Renewed) | ASIN: B00ILH3PJC] The bass drive was damaged in some way, with incredible distortion at all volume levels.</x:v>
      </x:c>
      <x:c r="J101" s="101" t="n">
        <x:v>1</x:v>
      </x:c>
      <x:c r="K101" s="92" t="str">
        <x:v>Human_Reviewer_01</x:v>
      </x:c>
      <x:c r="L101" s="92" t="str">
        <x:v>Medium</x:v>
      </x:c>
      <x:c r="M101" s="93" t="str">
        <x:v>Bass-driver distortion is explicit, but portability is not established in this chunk.</x:v>
      </x:c>
      <x:c r="N101" s="94"/>
      <x:c r="O101" s="94"/>
      <x:c r="P101" s="94"/>
      <x:c r="Q101" s="95"/>
      <x:c r="R101" s="96"/>
      <x:c r="S101" s="96"/>
      <x:c r="T101" s="97"/>
      <x:c r="U101" s="98" t="str">
        <x:f>IF(OR(J101="",N101=""),"",IF(J101=N101,"No","Yes"))</x:f>
      </x:c>
      <x:c r="V101" s="98" t="n">
        <x:v>1</x:v>
      </x:c>
    </x:row>
    <x:row r="102" ht="54" hidden="0" customHeight="1">
      <x:c r="A102" s="38" t="str">
        <x:v>Q003::B08HHY9FNK_review_983742</x:v>
      </x:c>
      <x:c r="B102" s="38" t="str">
        <x:v>Q003</x:v>
      </x:c>
      <x:c r="C102" s="91" t="str">
        <x:v>Which portable speaker has strong bass without distortion at high volume?</x:v>
      </x:c>
      <x:c r="D102" s="38" t="n">
        <x:v>21</x:v>
      </x:c>
      <x:c r="E102" s="38" t="str">
        <x:v>B08HHY9FNK</x:v>
      </x:c>
      <x:c r="F102" s="38" t="str">
        <x:v>review</x:v>
      </x:c>
      <x:c r="G102" s="38" t="str">
        <x:v>sound quality</x:v>
      </x:c>
      <x:c r="H102" s="38" t="str">
        <x:v>Cell Phones &amp; Accessories</x:v>
      </x:c>
      <x:c r="I102" s="91" t="str">
        <x:v>[Product: Hermitshell Hard Travel Case for Sony SRS-XB33 Extra BASS Wireless Portable Speaker (Black) | ASIN: B08HHY9FNK] Strong Zipper and a soft interior to protect your speaker.</x:v>
      </x:c>
      <x:c r="J102" s="101" t="n">
        <x:v>0</x:v>
      </x:c>
      <x:c r="K102" s="92" t="str">
        <x:v>Human_Reviewer_01</x:v>
      </x:c>
      <x:c r="L102" s="92" t="str">
        <x:v>High</x:v>
      </x:c>
      <x:c r="M102" s="93" t="str">
        <x:v>This is a speaker carrying case, not a speaker.</x:v>
      </x:c>
      <x:c r="N102" s="94"/>
      <x:c r="O102" s="94"/>
      <x:c r="P102" s="94"/>
      <x:c r="Q102" s="95"/>
      <x:c r="R102" s="96"/>
      <x:c r="S102" s="96"/>
      <x:c r="T102" s="97"/>
      <x:c r="U102" s="98" t="str">
        <x:f>IF(OR(J102="",N102=""),"",IF(J102=N102,"No","Yes"))</x:f>
      </x:c>
      <x:c r="V102" s="98" t="n">
        <x:v>0</x:v>
      </x:c>
    </x:row>
    <x:row r="103" ht="54" hidden="0" customHeight="1">
      <x:c r="A103" s="38" t="str">
        <x:v>Q003::B01M5F6E90_review_1249441</x:v>
      </x:c>
      <x:c r="B103" s="38" t="str">
        <x:v>Q003</x:v>
      </x:c>
      <x:c r="C103" s="91" t="str">
        <x:v>Which portable speaker has strong bass without distortion at high volume?</x:v>
      </x:c>
      <x:c r="D103" s="38" t="n">
        <x:v>22</x:v>
      </x:c>
      <x:c r="E103" s="38" t="str">
        <x:v>B01M5F6E90</x:v>
      </x:c>
      <x:c r="F103" s="38" t="str">
        <x:v>review</x:v>
      </x:c>
      <x:c r="G103" s="38" t="str">
        <x:v>sound quality</x:v>
      </x:c>
      <x:c r="H103" s="38" t="str">
        <x:v>Cell Phones &amp; Accessories</x:v>
      </x:c>
      <x:c r="I103" s="91" t="str">
        <x:v>[Product: Simpowel V10 - Speaker 20W Portable Wireless Speaker with Deep Bass, DSP and Build-in Micro SD Slot - Black | ASIN: B01M5F6E90] I was totally impressed by the sound volume and quality of the speaker. The two drivers provide clean and clear sound, while the strong sub-woofer provides powerful bass without distortion under all preset EQ. The radiator helps projecting sound stage from both the front and back, which makes the speaker literally perfect at the middle of a home party. At max volume, the speaker can easily fill a large conference room or small hall, and the built-in mic helps with conference call. The sound volume and quality blows my Logitech x100 away (with picture for size comparison).&lt;br /&gt;&lt;br /&gt;The large battery provides long hours of play. Together with the speakers and sub-woofer, the whole package is on the hefty side as expected. The speaker and accessories came in nice packaging as well, which is very presentable and nice as a gift.</x:v>
      </x:c>
      <x:c r="J103" s="101" t="n">
        <x:v>2</x:v>
      </x:c>
      <x:c r="K103" s="92" t="str">
        <x:v>Human_Reviewer_01</x:v>
      </x:c>
      <x:c r="L103" s="92" t="str">
        <x:v>High</x:v>
      </x:c>
      <x:c r="M103" s="93" t="str">
        <x:v>Portable speaker has powerful undistorted bass and strong maximum-volume output.</x:v>
      </x:c>
      <x:c r="N103" s="94"/>
      <x:c r="O103" s="94"/>
      <x:c r="P103" s="94"/>
      <x:c r="Q103" s="95"/>
      <x:c r="R103" s="96"/>
      <x:c r="S103" s="96"/>
      <x:c r="T103" s="97"/>
      <x:c r="U103" s="98" t="str">
        <x:f>IF(OR(J103="",N103=""),"",IF(J103=N103,"No","Yes"))</x:f>
      </x:c>
      <x:c r="V103" s="98" t="n">
        <x:v>2</x:v>
      </x:c>
    </x:row>
    <x:row r="104" ht="54" hidden="0" customHeight="1">
      <x:c r="A104" s="38" t="str">
        <x:v>Q003::B076DWW62Z_review_1539352</x:v>
      </x:c>
      <x:c r="B104" s="38" t="str">
        <x:v>Q003</x:v>
      </x:c>
      <x:c r="C104" s="91" t="str">
        <x:v>Which portable speaker has strong bass without distortion at high volume?</x:v>
      </x:c>
      <x:c r="D104" s="38" t="n">
        <x:v>23</x:v>
      </x:c>
      <x:c r="E104" s="38" t="str">
        <x:v>B076DWW62Z</x:v>
      </x:c>
      <x:c r="F104" s="38" t="str">
        <x:v>review</x:v>
      </x:c>
      <x:c r="G104" s="38" t="str">
        <x:v>sound quality</x:v>
      </x:c>
      <x:c r="H104" s="38" t="str">
        <x:v>Cell Phones &amp; Accessories</x:v>
      </x:c>
      <x:c r="I104" s="91" t="str">
        <x:v>[Product: Wireless Bluetooth Speaker - Forcovr Mini LED Best Multi-Function Portable Indoor Outdoor Stereo Bluetooth Speakers with Bass HD Surround, Built-in Microphone, FM Radio, Handsfree Call, AUX Input | ASIN: B076DWW62Z] I used it with my tablet which it says it supports but what a lie...my tablet without earphones has better sound quality than this speaker does...Buyer Beware is all I have to say</x:v>
      </x:c>
      <x:c r="J104" s="101" t="n">
        <x:v>1</x:v>
      </x:c>
      <x:c r="K104" s="92" t="str">
        <x:v>Human_Reviewer_01</x:v>
      </x:c>
      <x:c r="L104" s="92" t="str">
        <x:v>High</x:v>
      </x:c>
      <x:c r="M104" s="93" t="str">
        <x:v>Portable speaker has poor general sound; no specific bass or high-volume evidence is provided.</x:v>
      </x:c>
      <x:c r="N104" s="94"/>
      <x:c r="O104" s="94"/>
      <x:c r="P104" s="94"/>
      <x:c r="Q104" s="95"/>
      <x:c r="R104" s="96"/>
      <x:c r="S104" s="96"/>
      <x:c r="T104" s="97"/>
      <x:c r="U104" s="98" t="str">
        <x:f>IF(OR(J104="",N104=""),"",IF(J104=N104,"No","Yes"))</x:f>
      </x:c>
      <x:c r="V104" s="98" t="n">
        <x:v>1</x:v>
      </x:c>
    </x:row>
    <x:row r="105" ht="54" hidden="0" customHeight="1">
      <x:c r="A105" s="38" t="str">
        <x:v>Q003::B00F4EONWS_review_3805559</x:v>
      </x:c>
      <x:c r="B105" s="38" t="str">
        <x:v>Q003</x:v>
      </x:c>
      <x:c r="C105" s="91" t="str">
        <x:v>Which portable speaker has strong bass without distortion at high volume?</x:v>
      </x:c>
      <x:c r="D105" s="38" t="n">
        <x:v>24</x:v>
      </x:c>
      <x:c r="E105" s="38" t="str">
        <x:v>B00F4EONWS</x:v>
      </x:c>
      <x:c r="F105" s="38" t="str">
        <x:v>review</x:v>
      </x:c>
      <x:c r="G105" s="38" t="str">
        <x:v>sound quality</x:v>
      </x:c>
      <x:c r="H105" s="38" t="str">
        <x:v>Cell Phones &amp; Accessories</x:v>
      </x:c>
      <x:c r="I105" s="91" t="str">
        <x:v>[Product: ARCTIC S113BT NFC/Bluetooth 4.0 Stereo Speaker, AAC/aptX, Build-in Microphone for Hands-Free Calls, Black | ASIN: B00F4EONWS] Update 1/9/14: The distortion problem I noted below is making listening to the speaker unpleasant. Is it just mine, or are all Arctic speaker this way? I have reduced the product review to 2 stars.&lt;br /&gt;I received this speaker as a gift.&lt;br /&gt;Summary: All these Bluetooth speakers had a nice sound which was light-years ahead of the sound quality of my Samsung Note 3 built-in speaker, or even a table radio! My favorite for accurate voice reproduction is the Belkin FUSIVE although it has a bad tendency for distorted bass rhythm. My gold standard comparison was the Sennheiser HD 203 headphones for bass and the JVC HA-RX500 for voice and high frequencies. Of course, I did not expect any of these speakers to have the low base and the immersive experience of headphones. Test music: Natalie Merchant, Tiger Lilly: San Andreas Fault (chosen for its clean balanced sound), and Lady Gaga, Born This Way,: Americano (chosen for its heavy deep base).&lt;br /&gt;&lt;br /&gt;1. The sound is a little too bright. At the highest volume levels (over 90%), it vibrates enough to move on a tabletop, and develops some harshness and distortion.&lt;br /&gt;&lt;br /&gt;2. marginally louder than the other speakers. A good balanced sound, and a nice crisp high end although no more deep bass than any of the other speakers here. Disturbingly, the bass rhythm (probably a bass drum) is flabby and distorted on San Andreas Fault (also Beloved Wife, River, Carnival, etc., etc.), but this distortion is not apparent on Lady Gaga. At the highest volume levels (over 90%), it develops harshness and distortion. By far the largest of the 3 speakers (7.9 x 5.3 x 0.7 inches). Although I rate this last, it is much better than your phone's built-in speaker.&lt;br /&gt;Con:&lt;br Unfortunately, it lacks in high frequency response and, more troubling, it had some noticeable distortion and harshness in the mid to upper frequencies at all volume levels in Natalie Merchant's San Andreas Fault.</x:v>
      </x:c>
      <x:c r="J105" s="101" t="n">
        <x:v>1</x:v>
      </x:c>
      <x:c r="K105" s="92" t="str">
        <x:v>Human_Reviewer_01</x:v>
      </x:c>
      <x:c r="L105" s="92" t="str">
        <x:v>Low</x:v>
      </x:c>
      <x:c r="M105" s="93" t="str">
        <x:v>Bass and high-volume distortion are relevant, but numbered comparisons omit model identities and attribution is unclear.</x:v>
      </x:c>
      <x:c r="N105" s="94"/>
      <x:c r="O105" s="94"/>
      <x:c r="P105" s="94"/>
      <x:c r="Q105" s="95"/>
      <x:c r="R105" s="96"/>
      <x:c r="S105" s="96"/>
      <x:c r="T105" s="97"/>
      <x:c r="U105" s="98" t="str">
        <x:f>IF(OR(J105="",N105=""),"",IF(J105=N105,"No","Yes"))</x:f>
      </x:c>
      <x:c r="V105" s="98" t="n">
        <x:v>1</x:v>
      </x:c>
    </x:row>
    <x:row r="106" ht="54" hidden="0" customHeight="1">
      <x:c r="A106" s="38" t="str">
        <x:v>Q003::B00M4ZTI3Y_review_581663</x:v>
      </x:c>
      <x:c r="B106" s="38" t="str">
        <x:v>Q003</x:v>
      </x:c>
      <x:c r="C106" s="91" t="str">
        <x:v>Which portable speaker has strong bass without distortion at high volume?</x:v>
      </x:c>
      <x:c r="D106" s="38" t="n">
        <x:v>25</x:v>
      </x:c>
      <x:c r="E106" s="38" t="str">
        <x:v>B00M4ZTI3Y</x:v>
      </x:c>
      <x:c r="F106" s="38" t="str">
        <x:v>review</x:v>
      </x:c>
      <x:c r="G106" s="38" t="str">
        <x:v>battery life</x:v>
      </x:c>
      <x:c r="H106" s="38" t="str">
        <x:v>Cell Phones &amp; Accessories</x:v>
      </x:c>
      <x:c r="I106" s="91" t="str">
        <x:v>[Product: Samsung Level Box Bluetooth Wireless Speaker (Black) | ASIN: B00M4ZTI3Y] It has the most powerful with most bass at high levels, but least bass at low levels, crazy!</x:v>
      </x:c>
      <x:c r="J106" s="101" t="n">
        <x:v>1</x:v>
      </x:c>
      <x:c r="K106" s="92" t="str">
        <x:v>Human_Reviewer_01</x:v>
      </x:c>
      <x:c r="L106" s="92" t="str">
        <x:v>Medium</x:v>
      </x:c>
      <x:c r="M106" s="93" t="str">
        <x:v>High-volume bass behavior is explicit, but portability is not established in this chunk.</x:v>
      </x:c>
      <x:c r="N106" s="94"/>
      <x:c r="O106" s="94"/>
      <x:c r="P106" s="94"/>
      <x:c r="Q106" s="95"/>
      <x:c r="R106" s="96"/>
      <x:c r="S106" s="96"/>
      <x:c r="T106" s="97"/>
      <x:c r="U106" s="98" t="str">
        <x:f>IF(OR(J106="",N106=""),"",IF(J106=N106,"No","Yes"))</x:f>
      </x:c>
      <x:c r="V106" s="98" t="n">
        <x:v>1</x:v>
      </x:c>
    </x:row>
    <x:row r="107" ht="54" hidden="0" customHeight="1">
      <x:c r="A107" s="38" t="str">
        <x:v>Q003::B00XIH4FOE_review_1713519</x:v>
      </x:c>
      <x:c r="B107" s="38" t="str">
        <x:v>Q003</x:v>
      </x:c>
      <x:c r="C107" s="91" t="str">
        <x:v>Which portable speaker has strong bass without distortion at high volume?</x:v>
      </x:c>
      <x:c r="D107" s="38" t="n">
        <x:v>26</x:v>
      </x:c>
      <x:c r="E107" s="38" t="str">
        <x:v>B00XIH4FOE</x:v>
      </x:c>
      <x:c r="F107" s="38" t="str">
        <x:v>review</x:v>
      </x:c>
      <x:c r="G107" s="38" t="str">
        <x:v>build quality</x:v>
      </x:c>
      <x:c r="H107" s="38" t="str">
        <x:v>Cell Phones &amp; Accessories</x:v>
      </x:c>
      <x:c r="I107" s="91" t="str">
        <x:v>[Product: RCA SP10 Portable Speaker | ASIN: B00XIH4FOE] Solid volume producing ability, especially when considering the size.</x:v>
      </x:c>
      <x:c r="J107" s="101" t="n">
        <x:v>1</x:v>
      </x:c>
      <x:c r="K107" s="92" t="str">
        <x:v>Human_Reviewer_01</x:v>
      </x:c>
      <x:c r="L107" s="92" t="str">
        <x:v>High</x:v>
      </x:c>
      <x:c r="M107" s="93" t="str">
        <x:v>Portable speaker volume is described, but bass strength and distortion are untested.</x:v>
      </x:c>
      <x:c r="N107" s="94"/>
      <x:c r="O107" s="94"/>
      <x:c r="P107" s="94"/>
      <x:c r="Q107" s="95"/>
      <x:c r="R107" s="96"/>
      <x:c r="S107" s="96"/>
      <x:c r="T107" s="97"/>
      <x:c r="U107" s="98" t="str">
        <x:f>IF(OR(J107="",N107=""),"",IF(J107=N107,"No","Yes"))</x:f>
      </x:c>
      <x:c r="V107" s="98" t="n">
        <x:v>1</x:v>
      </x:c>
    </x:row>
    <x:row r="108" ht="54" hidden="0" customHeight="1">
      <x:c r="A108" s="38" t="str">
        <x:v>Q003::B00UI69NEA_review_927621</x:v>
      </x:c>
      <x:c r="B108" s="38" t="str">
        <x:v>Q003</x:v>
      </x:c>
      <x:c r="C108" s="91" t="str">
        <x:v>Which portable speaker has strong bass without distortion at high volume?</x:v>
      </x:c>
      <x:c r="D108" s="38" t="n">
        <x:v>27</x:v>
      </x:c>
      <x:c r="E108" s="38" t="str">
        <x:v>B00UI69NEA</x:v>
      </x:c>
      <x:c r="F108" s="38" t="str">
        <x:v>review</x:v>
      </x:c>
      <x:c r="G108" s="38" t="str">
        <x:v>sound quality</x:v>
      </x:c>
      <x:c r="H108" s="38" t="str">
        <x:v>Cell Phones &amp; Accessories</x:v>
      </x:c>
      <x:c r="I108" s="91" t="str">
        <x:v>[Product: Sony SRSX5 Portable NFC Bluetooth Wireless Speaker System (Black) with Speakerphone (Renewed) | ASIN: B00UI69NEA] Provides a surprising amount of bass with articulate midrange and treble response. My wife uses it in her workshop which is about 25' x 15' The speaker system easily fills that space without distortion.</x:v>
      </x:c>
      <x:c r="J108" s="101" t="n">
        <x:v>2</x:v>
      </x:c>
      <x:c r="K108" s="92" t="str">
        <x:v>Human_Reviewer_01</x:v>
      </x:c>
      <x:c r="L108" s="92" t="str">
        <x:v>High</x:v>
      </x:c>
      <x:c r="M108" s="93" t="str">
        <x:v>Portable speaker supplies substantial bass and fills a workshop without distortion.</x:v>
      </x:c>
      <x:c r="N108" s="94"/>
      <x:c r="O108" s="94"/>
      <x:c r="P108" s="94"/>
      <x:c r="Q108" s="95"/>
      <x:c r="R108" s="96"/>
      <x:c r="S108" s="96"/>
      <x:c r="T108" s="97"/>
      <x:c r="U108" s="98" t="str">
        <x:f>IF(OR(J108="",N108=""),"",IF(J108=N108,"No","Yes"))</x:f>
      </x:c>
      <x:c r="V108" s="98" t="n">
        <x:v>2</x:v>
      </x:c>
    </x:row>
    <x:row r="109" ht="54" hidden="0" customHeight="1">
      <x:c r="A109" s="38" t="str">
        <x:v>Q003::B007YK0FFE_review_3588089</x:v>
      </x:c>
      <x:c r="B109" s="38" t="str">
        <x:v>Q003</x:v>
      </x:c>
      <x:c r="C109" s="91" t="str">
        <x:v>Which portable speaker has strong bass without distortion at high volume?</x:v>
      </x:c>
      <x:c r="D109" s="38" t="n">
        <x:v>28</x:v>
      </x:c>
      <x:c r="E109" s="38" t="str">
        <x:v>B007YK0FFE</x:v>
      </x:c>
      <x:c r="F109" s="38" t="str">
        <x:v>review</x:v>
      </x:c>
      <x:c r="G109" s="38" t="str">
        <x:v>sound quality</x:v>
      </x:c>
      <x:c r="H109" s="38" t="str">
        <x:v>Cell Phones &amp; Accessories</x:v>
      </x:c>
      <x:c r="I109" s="91" t="str">
        <x:v>[Product: Alpine SWS10D4 / SWS-10D4 / SWS-10D4 Type-S 10 Car Subwoofer | ASIN: B007YK0FFE] My gain is set at 35-40%, and bass booster is off, with a flat EQ. I just bump my head unit's bass level if desired. It delivers loud, punchy, tight, CLEAN bass even at less the 50% gain and a flat EQ, which is incredibly impressive. This thing sounds like two 12&amp;#34; SVC subwoofers at 80% gain and a touch of bass boost, without distortion and muddy sound.</x:v>
      </x:c>
      <x:c r="J109" s="101" t="n">
        <x:v>0</x:v>
      </x:c>
      <x:c r="K109" s="92" t="str">
        <x:v>Human_Reviewer_01</x:v>
      </x:c>
      <x:c r="L109" s="92" t="str">
        <x:v>High</x:v>
      </x:c>
      <x:c r="M109" s="93" t="str">
        <x:v>This is a car subwoofer, not a portable speaker.</x:v>
      </x:c>
      <x:c r="N109" s="94"/>
      <x:c r="O109" s="94"/>
      <x:c r="P109" s="94"/>
      <x:c r="Q109" s="95"/>
      <x:c r="R109" s="96"/>
      <x:c r="S109" s="96"/>
      <x:c r="T109" s="97"/>
      <x:c r="U109" s="98" t="str">
        <x:f>IF(OR(J109="",N109=""),"",IF(J109=N109,"No","Yes"))</x:f>
      </x:c>
      <x:c r="V109" s="98" t="n">
        <x:v>0</x:v>
      </x:c>
    </x:row>
    <x:row r="110" ht="54" hidden="0" customHeight="1">
      <x:c r="A110" s="38" t="str">
        <x:v>Q003::B00YO2T6ZA_review_2471594</x:v>
      </x:c>
      <x:c r="B110" s="38" t="str">
        <x:v>Q003</x:v>
      </x:c>
      <x:c r="C110" s="91" t="str">
        <x:v>Which portable speaker has strong bass without distortion at high volume?</x:v>
      </x:c>
      <x:c r="D110" s="38" t="n">
        <x:v>29</x:v>
      </x:c>
      <x:c r="E110" s="38" t="str">
        <x:v>B00YO2T6ZA</x:v>
      </x:c>
      <x:c r="F110" s="38" t="str">
        <x:v>review</x:v>
      </x:c>
      <x:c r="G110" s="38" t="str">
        <x:v>sound quality</x:v>
      </x:c>
      <x:c r="H110" s="38" t="str">
        <x:v>Cell Phones &amp; Accessories</x:v>
      </x:c>
      <x:c r="I110" s="91" t="str">
        <x:v>[Product: SYLVANIA LEDVANCE Portable Bluetooth Speaker, Black, 7 x 8.2 x 15.5 inches (SP328-BLACK) | ASIN: B00YO2T6ZA] The speaker is okay BUT NOT the best, the bass and treble tuning on it IS NOT POWERFUL at all in controlling its sound. the bass is ONLY heavy at max if you put you are ear very close to hear its distortion or feel the models speakers to feel the bass's vibrations. BUT as I said before, the bass IS NOT AS HEAVY AS ITS SOUNDING. You would have more of high drums &amp; vocals than bass, but it tries.</x:v>
      </x:c>
      <x:c r="J110" s="101" t="n">
        <x:v>2</x:v>
      </x:c>
      <x:c r="K110" s="92" t="str">
        <x:v>Human_Reviewer_01</x:v>
      </x:c>
      <x:c r="L110" s="92" t="str">
        <x:v>High</x:v>
      </x:c>
      <x:c r="M110" s="93" t="str">
        <x:v>Portable speaker lacks strong bass and exhibits distortion near maximum output.</x:v>
      </x:c>
      <x:c r="N110" s="94"/>
      <x:c r="O110" s="94"/>
      <x:c r="P110" s="94"/>
      <x:c r="Q110" s="95"/>
      <x:c r="R110" s="96"/>
      <x:c r="S110" s="96"/>
      <x:c r="T110" s="97"/>
      <x:c r="U110" s="98" t="str">
        <x:f>IF(OR(J110="",N110=""),"",IF(J110=N110,"No","Yes"))</x:f>
      </x:c>
      <x:c r="V110" s="98" t="n">
        <x:v>2</x:v>
      </x:c>
    </x:row>
    <x:row r="111" ht="54" hidden="0" customHeight="1">
      <x:c r="A111" s="38" t="str">
        <x:v>Q003::B00CO8KXX0_review_3748600</x:v>
      </x:c>
      <x:c r="B111" s="38" t="str">
        <x:v>Q003</x:v>
      </x:c>
      <x:c r="C111" s="91" t="str">
        <x:v>Which portable speaker has strong bass without distortion at high volume?</x:v>
      </x:c>
      <x:c r="D111" s="38" t="n">
        <x:v>30</x:v>
      </x:c>
      <x:c r="E111" s="38" t="str">
        <x:v>B00CO8KXX0</x:v>
      </x:c>
      <x:c r="F111" s="38" t="str">
        <x:v>review</x:v>
      </x:c>
      <x:c r="G111" s="38" t="str">
        <x:v>sound quality</x:v>
      </x:c>
      <x:c r="H111" s="38" t="str">
        <x:v>Cell Phones &amp; Accessories</x:v>
      </x:c>
      <x:c r="I111" s="91" t="str">
        <x:v>[Product: Craig CMA3558 On The Go Portable Bluetooth Speaker- Color May Vary | ASIN: B00CO8KXX0] True, when you get to max volume there is some sound distortion, but the size, portability, battery life, ease of use and the fact that I have used this speaker for nearly 4 years on a nearly daily basis before it gave out on me- make it an excellent value.&lt;br /&gt;I have purchased other compact waterproof speakers since and just keep going back to this tried and true.</x:v>
      </x:c>
      <x:c r="J111" s="101" t="n">
        <x:v>2</x:v>
      </x:c>
      <x:c r="K111" s="92" t="str">
        <x:v>Human_Reviewer_01</x:v>
      </x:c>
      <x:c r="L111" s="92" t="str">
        <x:v>High</x:v>
      </x:c>
      <x:c r="M111" s="93" t="str">
        <x:v>Portable speaker explicitly distorts at maximum volume.</x:v>
      </x:c>
      <x:c r="N111" s="94"/>
      <x:c r="O111" s="94"/>
      <x:c r="P111" s="94"/>
      <x:c r="Q111" s="95"/>
      <x:c r="R111" s="96"/>
      <x:c r="S111" s="96"/>
      <x:c r="T111" s="97"/>
      <x:c r="U111" s="98" t="str">
        <x:f>IF(OR(J111="",N111=""),"",IF(J111=N111,"No","Yes"))</x:f>
      </x:c>
      <x:c r="V111" s="98" t="n">
        <x:v>2</x:v>
      </x:c>
    </x:row>
    <x:row r="112" ht="54" hidden="0" customHeight="1">
      <x:c r="A112" s="38" t="str">
        <x:v>Q003::B004L2JPS6_review_500965</x:v>
      </x:c>
      <x:c r="B112" s="38" t="str">
        <x:v>Q003</x:v>
      </x:c>
      <x:c r="C112" s="91" t="str">
        <x:v>Which portable speaker has strong bass without distortion at high volume?</x:v>
      </x:c>
      <x:c r="D112" s="38" t="n">
        <x:v>31</x:v>
      </x:c>
      <x:c r="E112" s="38" t="str">
        <x:v>B004L2JPS6</x:v>
      </x:c>
      <x:c r="F112" s="38" t="str">
        <x:v>review</x:v>
      </x:c>
      <x:c r="G112" s="38" t="str">
        <x:v>connectivity</x:v>
      </x:c>
      <x:c r="H112" s="38" t="str">
        <x:v>Computers</x:v>
      </x:c>
      <x:c r="I112" s="91" t="str">
        <x:v>[Product: Razer Ferox Mobile PC Gaming Speakers | ASIN: B004L2JPS6] I have tried other portable speakers (such as the iLuv) and they were okay, but no great shakes. These are the best small-form, portable speakers I have tried or heard.&lt;br /&gt;&lt;br It is nice to finally have portables with bass that is not watery or whispery.&lt;br /&gt;&lt;br</x:v>
      </x:c>
      <x:c r="J112" s="101" t="n">
        <x:v>2</x:v>
      </x:c>
      <x:c r="K112" s="92" t="str">
        <x:v>Human_Reviewer_01</x:v>
      </x:c>
      <x:c r="L112" s="92" t="str">
        <x:v>High</x:v>
      </x:c>
      <x:c r="M112" s="93" t="str">
        <x:v>Explicitly portable speakers have substantial bass rather than weak bass.</x:v>
      </x:c>
      <x:c r="N112" s="94"/>
      <x:c r="O112" s="94"/>
      <x:c r="P112" s="94"/>
      <x:c r="Q112" s="95"/>
      <x:c r="R112" s="96"/>
      <x:c r="S112" s="96"/>
      <x:c r="T112" s="97"/>
      <x:c r="U112" s="98" t="str">
        <x:f>IF(OR(J112="",N112=""),"",IF(J112=N112,"No","Yes"))</x:f>
      </x:c>
      <x:c r="V112" s="98" t="n">
        <x:v>2</x:v>
      </x:c>
    </x:row>
    <x:row r="113" ht="54" hidden="0" customHeight="1">
      <x:c r="A113" s="38" t="str">
        <x:v>Q003::B08HHY9FNK_review_983745</x:v>
      </x:c>
      <x:c r="B113" s="38" t="str">
        <x:v>Q003</x:v>
      </x:c>
      <x:c r="C113" s="91" t="str">
        <x:v>Which portable speaker has strong bass without distortion at high volume?</x:v>
      </x:c>
      <x:c r="D113" s="38" t="n">
        <x:v>32</x:v>
      </x:c>
      <x:c r="E113" s="38" t="str">
        <x:v>B08HHY9FNK</x:v>
      </x:c>
      <x:c r="F113" s="38" t="str">
        <x:v>review</x:v>
      </x:c>
      <x:c r="G113" s="38" t="str">
        <x:v>sound quality</x:v>
      </x:c>
      <x:c r="H113" s="38" t="str">
        <x:v>Cell Phones &amp; Accessories</x:v>
      </x:c>
      <x:c r="I113" s="91" t="str">
        <x:v>[Product: Hermitshell Hard Travel Case for Sony SRS-XB33 Extra BASS Wireless Portable Speaker (Black) | ASIN: B08HHY9FNK] Strong case, fits the speaker well. Perfect to protect the speaker inside my backpack.</x:v>
      </x:c>
      <x:c r="J113" s="101" t="n">
        <x:v>0</x:v>
      </x:c>
      <x:c r="K113" s="92" t="str">
        <x:v>Human_Reviewer_01</x:v>
      </x:c>
      <x:c r="L113" s="92" t="str">
        <x:v>High</x:v>
      </x:c>
      <x:c r="M113" s="93" t="str">
        <x:v>This is a speaker carrying case, not a speaker.</x:v>
      </x:c>
      <x:c r="N113" s="94"/>
      <x:c r="O113" s="94"/>
      <x:c r="P113" s="94"/>
      <x:c r="Q113" s="95"/>
      <x:c r="R113" s="96"/>
      <x:c r="S113" s="96"/>
      <x:c r="T113" s="97"/>
      <x:c r="U113" s="98" t="str">
        <x:f>IF(OR(J113="",N113=""),"",IF(J113=N113,"No","Yes"))</x:f>
      </x:c>
      <x:c r="V113" s="98" t="n">
        <x:v>0</x:v>
      </x:c>
    </x:row>
    <x:row r="114" ht="54" hidden="0" customHeight="1">
      <x:c r="A114" s="38" t="str">
        <x:v>Q003::B00J1QDDZS_review_3266705</x:v>
      </x:c>
      <x:c r="B114" s="38" t="str">
        <x:v>Q003</x:v>
      </x:c>
      <x:c r="C114" s="91" t="str">
        <x:v>Which portable speaker has strong bass without distortion at high volume?</x:v>
      </x:c>
      <x:c r="D114" s="38" t="n">
        <x:v>33</x:v>
      </x:c>
      <x:c r="E114" s="38" t="str">
        <x:v>B00J1QDDZS</x:v>
      </x:c>
      <x:c r="F114" s="38" t="str">
        <x:v>review</x:v>
      </x:c>
      <x:c r="G114" s="38" t="str">
        <x:v>sound quality</x:v>
      </x:c>
      <x:c r="H114" s="38" t="str">
        <x:v>Cell Phones &amp; Accessories</x:v>
      </x:c>
      <x:c r="I114" s="91" t="str">
        <x:v>[Product: NudeAudio Move L Portable Wireless Bluetooth Speaker - Great Sound - 100%- 5 Stars For The Best Portable Speaker - Color Black | ASIN: B00J1QDDZS] Songs with high bass kept distorting on me.</x:v>
      </x:c>
      <x:c r="J114" s="101" t="n">
        <x:v>2</x:v>
      </x:c>
      <x:c r="K114" s="92" t="str">
        <x:v>Human_Reviewer_01</x:v>
      </x:c>
      <x:c r="L114" s="92" t="str">
        <x:v>High</x:v>
      </x:c>
      <x:c r="M114" s="93" t="str">
        <x:v>Portable speaker distorts on bass-heavy songs.</x:v>
      </x:c>
      <x:c r="N114" s="94"/>
      <x:c r="O114" s="94"/>
      <x:c r="P114" s="94"/>
      <x:c r="Q114" s="95"/>
      <x:c r="R114" s="96"/>
      <x:c r="S114" s="96"/>
      <x:c r="T114" s="97"/>
      <x:c r="U114" s="98" t="str">
        <x:f>IF(OR(J114="",N114=""),"",IF(J114=N114,"No","Yes"))</x:f>
      </x:c>
      <x:c r="V114" s="98" t="n">
        <x:v>2</x:v>
      </x:c>
    </x:row>
    <x:row r="115" ht="54" hidden="0" customHeight="1">
      <x:c r="A115" s="38" t="str">
        <x:v>Q003::B00T8KDZ00_review_3243085</x:v>
      </x:c>
      <x:c r="B115" s="38" t="str">
        <x:v>Q003</x:v>
      </x:c>
      <x:c r="C115" s="91" t="str">
        <x:v>Which portable speaker has strong bass without distortion at high volume?</x:v>
      </x:c>
      <x:c r="D115" s="38" t="n">
        <x:v>34</x:v>
      </x:c>
      <x:c r="E115" s="38" t="str">
        <x:v>B00T8KDZ00</x:v>
      </x:c>
      <x:c r="F115" s="38" t="str">
        <x:v>review</x:v>
      </x:c>
      <x:c r="G115" s="38" t="str">
        <x:v>sound quality</x:v>
      </x:c>
      <x:c r="H115" s="38" t="str">
        <x:v>Cell Phones &amp; Accessories</x:v>
      </x:c>
      <x:c r="I115" s="91" t="str">
        <x:v>[Product: BeatStreet Bluetooth Speaker for Mobile Devices By Patriot - Up to 8 Hours of HD Audio Playtime - PCBTSCNFC-GY - Grey | ASIN: B00T8KDZ00] First, I received this speaker free for testing and review. Micro-USB cord for charging the speaker&lt;br /&gt;(1) /&gt;What is this, and what is it supposed to do?:&lt;br /&gt;This speaker allows you to access your audio wirelessly via a Bluetooth enabled device such as a phone or tablet. The speaker is charged via a provided Micro-USB cord. buttons.&lt;br /&gt;&lt;br /&gt;Sound I tested it across a variety of music styles, from bass heavy hip hop to treble dominated pop, and an enjoyable listening experience can be had with this speaker in all ranges. The bass is impressive for a $20 speaker, but it gets lost in busier tracks. I was surprised at the lack of distortion at high volumes. The highs can mildly distort when both the speaker and the device are at max volumes, but overall the speaker can reach solid volumes while reproducing distortion free sound.&lt;br /&gt;&lt;br /&gt;Anything else of note?:</x:v>
      </x:c>
      <x:c r="J115" s="101" t="n">
        <x:v>2</x:v>
      </x:c>
      <x:c r="K115" s="92" t="str">
        <x:v>Human_Reviewer_01</x:v>
      </x:c>
      <x:c r="L115" s="92" t="str">
        <x:v>High</x:v>
      </x:c>
      <x:c r="M115" s="93" t="str">
        <x:v>Rechargeable speaker has bass and high-volume distortion tests, including limits at maximum settings.</x:v>
      </x:c>
      <x:c r="N115" s="94"/>
      <x:c r="O115" s="94"/>
      <x:c r="P115" s="94"/>
      <x:c r="Q115" s="95"/>
      <x:c r="R115" s="96"/>
      <x:c r="S115" s="96"/>
      <x:c r="T115" s="97"/>
      <x:c r="U115" s="98" t="str">
        <x:f>IF(OR(J115="",N115=""),"",IF(J115=N115,"No","Yes"))</x:f>
      </x:c>
      <x:c r="V115" s="98" t="n">
        <x:v>2</x:v>
      </x:c>
    </x:row>
    <x:row r="116" ht="54" hidden="0" customHeight="1">
      <x:c r="A116" s="38" t="str">
        <x:v>Q003::B00FAYDU12_review_405956</x:v>
      </x:c>
      <x:c r="B116" s="38" t="str">
        <x:v>Q003</x:v>
      </x:c>
      <x:c r="C116" s="91" t="str">
        <x:v>Which portable speaker has strong bass without distortion at high volume?</x:v>
      </x:c>
      <x:c r="D116" s="38" t="n">
        <x:v>35</x:v>
      </x:c>
      <x:c r="E116" s="38" t="str">
        <x:v>B00FAYDU12</x:v>
      </x:c>
      <x:c r="F116" s="38" t="str">
        <x:v>review</x:v>
      </x:c>
      <x:c r="G116" s="38" t="str">
        <x:v>sound quality</x:v>
      </x:c>
      <x:c r="H116" s="38" t="str">
        <x:v>Cell Phones &amp; Accessories</x:v>
      </x:c>
      <x:c r="I116" s="91" t="str">
        <x:v>[Product: iHome iBT30 Bluetooth Stereo Speaker System (Black) | ASIN: B00FAYDU12] Distorts on max volume. In my opinion all decent speakers should be designed to not distort under any conditions at max volume period. However a combination of the 2 in one speaker would be optimal. The speaker has what I think is one sound chamber and has speakers on 3 sides making it perfect for parties. You never leave the what I am going to call optimal sound zone. But what speaker ever had good bass, volume and a battery without weight. I was not impressed with his 400$ speaker. I have pioneer a1 and a3 speakers.</x:v>
      </x:c>
      <x:c r="J116" s="101" t="n">
        <x:v>1</x:v>
      </x:c>
      <x:c r="K116" s="92" t="str">
        <x:v>Human_Reviewer_01</x:v>
      </x:c>
      <x:c r="L116" s="92" t="str">
        <x:v>Medium</x:v>
      </x:c>
      <x:c r="M116" s="93" t="str">
        <x:v>Maximum-volume distortion is explicit, but the generic battery-and-weight discussion does not establish that this speaker is portable.</x:v>
      </x:c>
      <x:c r="N116" s="94"/>
      <x:c r="O116" s="94"/>
      <x:c r="P116" s="94"/>
      <x:c r="Q116" s="95"/>
      <x:c r="R116" s="96"/>
      <x:c r="S116" s="96"/>
      <x:c r="T116" s="97"/>
      <x:c r="U116" s="98" t="str">
        <x:f>IF(OR(J116="",N116=""),"",IF(J116=N116,"No","Yes"))</x:f>
      </x:c>
      <x:c r="V116" s="98" t="n">
        <x:v>1</x:v>
      </x:c>
    </x:row>
    <x:row r="117" ht="54" hidden="0" customHeight="1">
      <x:c r="A117" s="38" t="str">
        <x:v>Q003::B00R1PCFFA_review_1979111</x:v>
      </x:c>
      <x:c r="B117" s="38" t="str">
        <x:v>Q003</x:v>
      </x:c>
      <x:c r="C117" s="91" t="str">
        <x:v>Which portable speaker has strong bass without distortion at high volume?</x:v>
      </x:c>
      <x:c r="D117" s="38" t="n">
        <x:v>36</x:v>
      </x:c>
      <x:c r="E117" s="38" t="str">
        <x:v>B00R1PCFFA</x:v>
      </x:c>
      <x:c r="F117" s="38" t="str">
        <x:v>review</x:v>
      </x:c>
      <x:c r="G117" s="38" t="str">
        <x:v>sound quality</x:v>
      </x:c>
      <x:c r="H117" s="38" t="str">
        <x:v>Cell Phones &amp; Accessories</x:v>
      </x:c>
      <x:c r="I117" s="91" t="str">
        <x:v>[Product: XXX by Audiopipe 2 Pack 600w High Frequency Car Truck Boat Stereo Tweeters Built-in Crossover XTC-7700 | ASIN: B00R1PCFFA] For you guys having distortion it is because you probably have the bass from the radio turn up. Do not forget bass from radio to any speaker turns up the bass for those speakers! So that mean you need an equalizer and amp or a bass knob to controll bass seperate!!</x:v>
      </x:c>
      <x:c r="J117" s="101" t="n">
        <x:v>0</x:v>
      </x:c>
      <x:c r="K117" s="92" t="str">
        <x:v>Human_Reviewer_01</x:v>
      </x:c>
      <x:c r="L117" s="92" t="str">
        <x:v>High</x:v>
      </x:c>
      <x:c r="M117" s="93" t="str">
        <x:v>These are vehicle tweeters, not a portable speaker.</x:v>
      </x:c>
      <x:c r="N117" s="94"/>
      <x:c r="O117" s="94"/>
      <x:c r="P117" s="94"/>
      <x:c r="Q117" s="95"/>
      <x:c r="R117" s="96"/>
      <x:c r="S117" s="96"/>
      <x:c r="T117" s="97"/>
      <x:c r="U117" s="98" t="str">
        <x:f>IF(OR(J117="",N117=""),"",IF(J117=N117,"No","Yes"))</x:f>
      </x:c>
      <x:c r="V117" s="98" t="n">
        <x:v>0</x:v>
      </x:c>
    </x:row>
    <x:row r="118" ht="54" hidden="0" customHeight="1">
      <x:c r="A118" s="38" t="str">
        <x:v>Q003::B009WNBDJS_review_4162816</x:v>
      </x:c>
      <x:c r="B118" s="38" t="str">
        <x:v>Q003</x:v>
      </x:c>
      <x:c r="C118" s="91" t="str">
        <x:v>Which portable speaker has strong bass without distortion at high volume?</x:v>
      </x:c>
      <x:c r="D118" s="38" t="n">
        <x:v>37</x:v>
      </x:c>
      <x:c r="E118" s="38" t="str">
        <x:v>B009WNBDJS</x:v>
      </x:c>
      <x:c r="F118" s="38" t="str">
        <x:v>review</x:v>
      </x:c>
      <x:c r="G118" s="38" t="str">
        <x:v>sound quality</x:v>
      </x:c>
      <x:c r="H118" s="38" t="str">
        <x:v>Computers</x:v>
      </x:c>
      <x:c r="I118" s="91" t="str">
        <x:v>[Product: Microlab B51BLACK Portable Amplified USB-Powered Clip-On Speaker for Notebook and Tablet with USB Port (Black) | ASIN: B009WNBDJS] This speaker will not only help me out when I am on vacation, but I am also actually using it in my second audio jack. They have a somewhat limited bass range, though.&lt;br /&gt;&lt;br /&gt;Having my regular speakers in for bass and this in for treble, I feel much more into my shows and music.&lt;br /&gt;&lt;br Not a bad way to boost sound quality as a secondary speaker, either.&lt;br /&gt;&lt;br</x:v>
      </x:c>
      <x:c r="J118" s="101" t="n">
        <x:v>2</x:v>
      </x:c>
      <x:c r="K118" s="92" t="str">
        <x:v>Human_Reviewer_01</x:v>
      </x:c>
      <x:c r="L118" s="92" t="str">
        <x:v>High</x:v>
      </x:c>
      <x:c r="M118" s="93" t="str">
        <x:v>Portable clip-on speaker explicitly has limited bass range.</x:v>
      </x:c>
      <x:c r="N118" s="94"/>
      <x:c r="O118" s="94"/>
      <x:c r="P118" s="94"/>
      <x:c r="Q118" s="95"/>
      <x:c r="R118" s="96"/>
      <x:c r="S118" s="96"/>
      <x:c r="T118" s="97"/>
      <x:c r="U118" s="98" t="str">
        <x:f>IF(OR(J118="",N118=""),"",IF(J118=N118,"No","Yes"))</x:f>
      </x:c>
      <x:c r="V118" s="98" t="n">
        <x:v>2</x:v>
      </x:c>
    </x:row>
    <x:row r="119" ht="54" hidden="0" customHeight="1">
      <x:c r="A119" s="38" t="str">
        <x:v>Q004::B00BN2BIUK_review_3996752</x:v>
      </x:c>
      <x:c r="B119" s="38" t="str">
        <x:v>Q004</x:v>
      </x:c>
      <x:c r="C119" s="91" t="str">
        <x:v>Find a monitor with accurate colors and a sharp display for photo editing.</x:v>
      </x:c>
      <x:c r="D119" s="38" t="n">
        <x:v>1</x:v>
      </x:c>
      <x:c r="E119" s="38" t="str">
        <x:v>B00BN2BIUK</x:v>
      </x:c>
      <x:c r="F119" s="38" t="str">
        <x:v>review</x:v>
      </x:c>
      <x:c r="G119" s="38" t="str">
        <x:v>price/value</x:v>
      </x:c>
      <x:c r="H119" s="38" t="str">
        <x:v>Computers</x:v>
      </x:c>
      <x:c r="I119" s="91" t="str">
        <x:v>[Product: Dell Ultra Sharp U2413 23.8" Screen LED-Lit Monitor (Discontinued by Manufacturer) | ASIN: B00BN2BIUK] The colors and grays are very accurate and pleasing to any eye.&lt;br /&gt;Probably one of the best values for the money.</x:v>
      </x:c>
      <x:c r="J119" s="101" t="n">
        <x:v>2</x:v>
      </x:c>
      <x:c r="K119" s="92" t="str">
        <x:v>Human_Reviewer_01</x:v>
      </x:c>
      <x:c r="L119" s="92" t="str">
        <x:v>High</x:v>
      </x:c>
      <x:c r="M119" s="93" t="str">
        <x:v>Monitor colors and grayscale are explicitly accurate.</x:v>
      </x:c>
      <x:c r="N119" s="94"/>
      <x:c r="O119" s="94"/>
      <x:c r="P119" s="94"/>
      <x:c r="Q119" s="95"/>
      <x:c r="R119" s="96"/>
      <x:c r="S119" s="96"/>
      <x:c r="T119" s="97"/>
      <x:c r="U119" s="98" t="str">
        <x:f>IF(OR(J119="",N119=""),"",IF(J119=N119,"No","Yes"))</x:f>
      </x:c>
      <x:c r="V119" s="98" t="n">
        <x:v>2</x:v>
      </x:c>
    </x:row>
    <x:row r="120" ht="54" hidden="0" customHeight="1">
      <x:c r="A120" s="38" t="str">
        <x:v>Q004::B001FWWAFU_review_3587659</x:v>
      </x:c>
      <x:c r="B120" s="38" t="str">
        <x:v>Q004</x:v>
      </x:c>
      <x:c r="C120" s="91" t="str">
        <x:v>Find a monitor with accurate colors and a sharp display for photo editing.</x:v>
      </x:c>
      <x:c r="D120" s="38" t="n">
        <x:v>2</x:v>
      </x:c>
      <x:c r="E120" s="38" t="str">
        <x:v>B001FWWAFU</x:v>
      </x:c>
      <x:c r="F120" s="38" t="str">
        <x:v>review</x:v>
      </x:c>
      <x:c r="G120" s="38" t="str">
        <x:v>design/appearance</x:v>
      </x:c>
      <x:c r="H120" s="38" t="str">
        <x:v>Computers</x:v>
      </x:c>
      <x:c r="I120" s="91" t="str">
        <x:v>[Product: HP W2558HC 25-Inch Widescreen Flat Panel Monitor | ASIN: B001FWWAFU] I do not do photo editing as the man below so I cannot comment on how accurate the colors are for exact photo editing. However the monitor is VERY adjustable and looks great to me.</x:v>
      </x:c>
      <x:c r="J120" s="101" t="n">
        <x:v>1</x:v>
      </x:c>
      <x:c r="K120" s="92" t="str">
        <x:v>Human_Reviewer_01</x:v>
      </x:c>
      <x:c r="L120" s="92" t="str">
        <x:v>High</x:v>
      </x:c>
      <x:c r="M120" s="93" t="str">
        <x:v>Reviewer explicitly cannot assess color accuracy for photo editing.</x:v>
      </x:c>
      <x:c r="N120" s="94"/>
      <x:c r="O120" s="94"/>
      <x:c r="P120" s="94"/>
      <x:c r="Q120" s="95"/>
      <x:c r="R120" s="96"/>
      <x:c r="S120" s="96"/>
      <x:c r="T120" s="97"/>
      <x:c r="U120" s="98" t="str">
        <x:f>IF(OR(J120="",N120=""),"",IF(J120=N120,"No","Yes"))</x:f>
      </x:c>
      <x:c r="V120" s="98" t="n">
        <x:v>1</x:v>
      </x:c>
    </x:row>
    <x:row r="121" ht="54" hidden="0" customHeight="1">
      <x:c r="A121" s="38" t="str">
        <x:v>Q004::B00SHZSXVI_review_2429451</x:v>
      </x:c>
      <x:c r="B121" s="38" t="str">
        <x:v>Q004</x:v>
      </x:c>
      <x:c r="C121" s="91" t="str">
        <x:v>Find a monitor with accurate colors and a sharp display for photo editing.</x:v>
      </x:c>
      <x:c r="D121" s="38" t="n">
        <x:v>3</x:v>
      </x:c>
      <x:c r="E121" s="38" t="str">
        <x:v>B00SHZSXVI</x:v>
      </x:c>
      <x:c r="F121" s="38" t="str">
        <x:v>review</x:v>
      </x:c>
      <x:c r="G121" s="38" t="str">
        <x:v>design/appearance</x:v>
      </x:c>
      <x:c r="H121" s="38" t="str">
        <x:v>Computers</x:v>
      </x:c>
      <x:c r="I121" s="91" t="str">
        <x:v>[Product: ViewSonic VP2780-4K 27" 4K Monitor with 10-bit Color Processing and Preset EBU and Gamma Corrections for Photography and Graphic Design | ASIN: B00SHZSXVI] Extremely sharp, bright, and colorful.</x:v>
      </x:c>
      <x:c r="J121" s="101" t="n">
        <x:v>2</x:v>
      </x:c>
      <x:c r="K121" s="92" t="str">
        <x:v>Human_Reviewer_01</x:v>
      </x:c>
      <x:c r="L121" s="92" t="str">
        <x:v>High</x:v>
      </x:c>
      <x:c r="M121" s="93" t="str">
        <x:v>Photography monitor has 4K and ten-bit color claims with direct sharpness testimony.</x:v>
      </x:c>
      <x:c r="N121" s="94"/>
      <x:c r="O121" s="94"/>
      <x:c r="P121" s="94"/>
      <x:c r="Q121" s="95"/>
      <x:c r="R121" s="96"/>
      <x:c r="S121" s="96"/>
      <x:c r="T121" s="97"/>
      <x:c r="U121" s="98" t="str">
        <x:f>IF(OR(J121="",N121=""),"",IF(J121=N121,"No","Yes"))</x:f>
      </x:c>
      <x:c r="V121" s="98" t="n">
        <x:v>2</x:v>
      </x:c>
    </x:row>
    <x:row r="122" ht="54" hidden="0" customHeight="1">
      <x:c r="A122" s="38" t="str">
        <x:v>Q004::B08L5VQ1LQ_review_4134567</x:v>
      </x:c>
      <x:c r="B122" s="38" t="str">
        <x:v>Q004</x:v>
      </x:c>
      <x:c r="C122" s="91" t="str">
        <x:v>Find a monitor with accurate colors and a sharp display for photo editing.</x:v>
      </x:c>
      <x:c r="D122" s="38" t="n">
        <x:v>4</x:v>
      </x:c>
      <x:c r="E122" s="38" t="str">
        <x:v>B08L5VQ1LQ</x:v>
      </x:c>
      <x:c r="F122" s="38" t="str">
        <x:v>review</x:v>
      </x:c>
      <x:c r="G122" s="38" t="str">
        <x:v>design/appearance</x:v>
      </x:c>
      <x:c r="H122" s="38" t="str">
        <x:v>Computers</x:v>
      </x:c>
      <x:c r="I122" s="91" t="str">
        <x:v>[Product: Dell S2721QS 27 Inch 4K UHD (3840 x 2160) IPS Ultra-Thin Bezel Monitor, AMD FreeSync (HDMI, DisplayPort), VESA Certified, Silver (Renewed) | ASIN: B08L5VQ1LQ] Was looking for this specific monitor for photo editing. Looks and works like new. Pretty accurate colors out of the box, but after calibrating it, it was perfect!</x:v>
      </x:c>
      <x:c r="J122" s="101" t="n">
        <x:v>2</x:v>
      </x:c>
      <x:c r="K122" s="92" t="str">
        <x:v>Human_Reviewer_01</x:v>
      </x:c>
      <x:c r="L122" s="92" t="str">
        <x:v>High</x:v>
      </x:c>
      <x:c r="M122" s="93" t="str">
        <x:v>Monitor is used for photo editing with accurate colors improved by calibration.</x:v>
      </x:c>
      <x:c r="N122" s="94"/>
      <x:c r="O122" s="94"/>
      <x:c r="P122" s="94"/>
      <x:c r="Q122" s="95"/>
      <x:c r="R122" s="96"/>
      <x:c r="S122" s="96"/>
      <x:c r="T122" s="97"/>
      <x:c r="U122" s="98" t="str">
        <x:f>IF(OR(J122="",N122=""),"",IF(J122=N122,"No","Yes"))</x:f>
      </x:c>
      <x:c r="V122" s="98" t="n">
        <x:v>2</x:v>
      </x:c>
    </x:row>
    <x:row r="123" ht="54" hidden="0" customHeight="1">
      <x:c r="A123" s="38" t="str">
        <x:v>Q004::B016V1PWEK_review_1639668</x:v>
      </x:c>
      <x:c r="B123" s="38" t="str">
        <x:v>Q004</x:v>
      </x:c>
      <x:c r="C123" s="91" t="str">
        <x:v>Find a monitor with accurate colors and a sharp display for photo editing.</x:v>
      </x:c>
      <x:c r="D123" s="38" t="n">
        <x:v>5</x:v>
      </x:c>
      <x:c r="E123" s="38" t="str">
        <x:v>B016V1PWEK</x:v>
      </x:c>
      <x:c r="F123" s="38" t="str">
        <x:v>review</x:v>
      </x:c>
      <x:c r="G123" s="38" t="str">
        <x:v>design/appearance</x:v>
      </x:c>
      <x:c r="H123" s="38" t="str">
        <x:v>Computers</x:v>
      </x:c>
      <x:c r="I123" s="91" t="str">
        <x:v>[Product: Dell UP2716D 27" QHD Wide 1440p Screen LED-Lit Monitor | ASIN: B016V1PWEK] do illustration/photography work, and really wanted something that rivaled my Macbook Pro as far as color representation goes. However, it should be noted that color uniformity is still severely lacking. Beautiful, vibrant (but balanced) colors, and wide gamut really makes editing a breeze.</x:v>
      </x:c>
      <x:c r="J123" s="101" t="n">
        <x:v>2</x:v>
      </x:c>
      <x:c r="K123" s="92" t="str">
        <x:v>Human_Reviewer_01</x:v>
      </x:c>
      <x:c r="L123" s="92" t="str">
        <x:v>High</x:v>
      </x:c>
      <x:c r="M123" s="93" t="str">
        <x:v>Photography monitor provides balanced wide-gamut colors, but poor uniformity is useful negative evidence.</x:v>
      </x:c>
      <x:c r="N123" s="94"/>
      <x:c r="O123" s="94"/>
      <x:c r="P123" s="94"/>
      <x:c r="Q123" s="95"/>
      <x:c r="R123" s="96"/>
      <x:c r="S123" s="96"/>
      <x:c r="T123" s="97"/>
      <x:c r="U123" s="98" t="str">
        <x:f>IF(OR(J123="",N123=""),"",IF(J123=N123,"No","Yes"))</x:f>
      </x:c>
      <x:c r="V123" s="98" t="n">
        <x:v>2</x:v>
      </x:c>
    </x:row>
    <x:row r="124" ht="54" hidden="0" customHeight="1">
      <x:c r="A124" s="38" t="str">
        <x:v>Q004::B075KGLYRL_review_1855379</x:v>
      </x:c>
      <x:c r="B124" s="38" t="str">
        <x:v>Q004</x:v>
      </x:c>
      <x:c r="C124" s="91" t="str">
        <x:v>Find a monitor with accurate colors and a sharp display for photo editing.</x:v>
      </x:c>
      <x:c r="D124" s="38" t="n">
        <x:v>6</x:v>
      </x:c>
      <x:c r="E124" s="38" t="str">
        <x:v>B075KGLYRL</x:v>
      </x:c>
      <x:c r="F124" s="38" t="str">
        <x:v>review</x:v>
      </x:c>
      <x:c r="G124" s="38" t="str">
        <x:v>build quality</x:v>
      </x:c>
      <x:c r="H124" s="38" t="str">
        <x:v>Computers</x:v>
      </x:c>
      <x:c r="I124" s="91" t="str">
        <x:v>[Product: Dell Ultra Sharp LED-Lit Monitor 25" Black (U2518D)| 2560 X 1440 at 60 Hz| IPS| Vesa Mount Compatibility | ASIN: B075KGLYRL] I have been a fan and user of dell monitors for years now due to how sharp and accurate the picture quality and colors are , and these monitors DID NOT DISAPPOINT!(I purchased two for dual screen purposes).</x:v>
      </x:c>
      <x:c r="J124" s="101" t="n">
        <x:v>2</x:v>
      </x:c>
      <x:c r="K124" s="92" t="str">
        <x:v>Human_Reviewer_01</x:v>
      </x:c>
      <x:c r="L124" s="92" t="str">
        <x:v>High</x:v>
      </x:c>
      <x:c r="M124" s="93" t="str">
        <x:v>Monitor has explicitly sharp pictures and accurate colors.</x:v>
      </x:c>
      <x:c r="N124" s="94"/>
      <x:c r="O124" s="94"/>
      <x:c r="P124" s="94"/>
      <x:c r="Q124" s="95"/>
      <x:c r="R124" s="96"/>
      <x:c r="S124" s="96"/>
      <x:c r="T124" s="97"/>
      <x:c r="U124" s="98" t="str">
        <x:f>IF(OR(J124="",N124=""),"",IF(J124=N124,"No","Yes"))</x:f>
      </x:c>
      <x:c r="V124" s="98" t="n">
        <x:v>2</x:v>
      </x:c>
    </x:row>
    <x:row r="125" ht="54" hidden="0" customHeight="1">
      <x:c r="A125" s="38" t="str">
        <x:v>Q004::B01E06JSI4_review_2758617</x:v>
      </x:c>
      <x:c r="B125" s="38" t="str">
        <x:v>Q004</x:v>
      </x:c>
      <x:c r="C125" s="91" t="str">
        <x:v>Find a monitor with accurate colors and a sharp display for photo editing.</x:v>
      </x:c>
      <x:c r="D125" s="38" t="n">
        <x:v>7</x:v>
      </x:c>
      <x:c r="E125" s="38" t="str">
        <x:v>B01E06JSI4</x:v>
      </x:c>
      <x:c r="F125" s="38" t="str">
        <x:v>review</x:v>
      </x:c>
      <x:c r="G125" s="38" t="str">
        <x:v>design/appearance</x:v>
      </x:c>
      <x:c r="H125" s="38" t="str">
        <x:v>Computers</x:v>
      </x:c>
      <x:c r="I125" s="91" t="str">
        <x:v>[Product: Planar Helium PCT2235 Touch Screen 22" LED LCD Full HD Resolution Monitor with Helium Stand,black | ASIN: B01E06JSI4] I have been looking for a monitor that can be adjusted to lay flat when someone comes to sit across from me. The colors and crispness of the monitor are excellent. Text is sharp and vivid as are the colors. Although not very noticeable, this may be a deal breaker for folks needing to have a very accurate monitor for design and creative work.</x:v>
      </x:c>
      <x:c r="J125" s="101" t="n">
        <x:v>2</x:v>
      </x:c>
      <x:c r="K125" s="92" t="str">
        <x:v>Human_Reviewer_01</x:v>
      </x:c>
      <x:c r="L125" s="92" t="str">
        <x:v>Medium</x:v>
      </x:c>
      <x:c r="M125" s="93" t="str">
        <x:v>Monitor has sharp text and colors, with a creative-work accuracy caveat whose cause is omitted.</x:v>
      </x:c>
      <x:c r="N125" s="94"/>
      <x:c r="O125" s="94"/>
      <x:c r="P125" s="94"/>
      <x:c r="Q125" s="95"/>
      <x:c r="R125" s="96"/>
      <x:c r="S125" s="96"/>
      <x:c r="T125" s="97"/>
      <x:c r="U125" s="98" t="str">
        <x:f>IF(OR(J125="",N125=""),"",IF(J125=N125,"No","Yes"))</x:f>
      </x:c>
      <x:c r="V125" s="98" t="n">
        <x:v>2</x:v>
      </x:c>
    </x:row>
    <x:row r="126" ht="54" hidden="0" customHeight="1">
      <x:c r="A126" s="38" t="str">
        <x:v>Q004::B00J0DQDCM_review_739204</x:v>
      </x:c>
      <x:c r="B126" s="38" t="str">
        <x:v>Q004</x:v>
      </x:c>
      <x:c r="C126" s="91" t="str">
        <x:v>Find a monitor with accurate colors and a sharp display for photo editing.</x:v>
      </x:c>
      <x:c r="D126" s="38" t="n">
        <x:v>8</x:v>
      </x:c>
      <x:c r="E126" s="38" t="str">
        <x:v>B00J0DQDCM</x:v>
      </x:c>
      <x:c r="F126" s="38" t="str">
        <x:v>review</x:v>
      </x:c>
      <x:c r="G126" s="38" t="str">
        <x:v>build quality</x:v>
      </x:c>
      <x:c r="H126" s="38" t="str">
        <x:v>Computers</x:v>
      </x:c>
      <x:c r="I126" s="91" t="str">
        <x:v>[Product: ViewSonic VA2349S 23" IPS 1080p LED Monitor DVI, VGA | ASIN: B00J0DQDCM] Poor quality monitors can hinder the photo editing process, resulting in image printing frustration.&lt;br /&gt;&lt;br</x:v>
      </x:c>
      <x:c r="J126" s="101" t="n">
        <x:v>1</x:v>
      </x:c>
      <x:c r="K126" s="92" t="str">
        <x:v>Human_Reviewer_01</x:v>
      </x:c>
      <x:c r="L126" s="92" t="str">
        <x:v>High</x:v>
      </x:c>
      <x:c r="M126" s="93" t="str">
        <x:v>General warning about poor monitors provides no observation about this monitor.</x:v>
      </x:c>
      <x:c r="N126" s="94"/>
      <x:c r="O126" s="94"/>
      <x:c r="P126" s="94"/>
      <x:c r="Q126" s="95"/>
      <x:c r="R126" s="96"/>
      <x:c r="S126" s="96"/>
      <x:c r="T126" s="97"/>
      <x:c r="U126" s="98" t="str">
        <x:f>IF(OR(J126="",N126=""),"",IF(J126=N126,"No","Yes"))</x:f>
      </x:c>
      <x:c r="V126" s="98" t="n">
        <x:v>1</x:v>
      </x:c>
    </x:row>
    <x:row r="127" ht="54" hidden="0" customHeight="1">
      <x:c r="A127" s="38" t="str">
        <x:v>Q004::B07F9B8RQZ_review_40259</x:v>
      </x:c>
      <x:c r="B127" s="38" t="str">
        <x:v>Q004</x:v>
      </x:c>
      <x:c r="C127" s="91" t="str">
        <x:v>Find a monitor with accurate colors and a sharp display for photo editing.</x:v>
      </x:c>
      <x:c r="D127" s="38" t="n">
        <x:v>9</x:v>
      </x:c>
      <x:c r="E127" s="38" t="str">
        <x:v>B07F9B8RQZ</x:v>
      </x:c>
      <x:c r="F127" s="38" t="str">
        <x:v>review</x:v>
      </x:c>
      <x:c r="G127" s="38" t="str">
        <x:v>design/appearance</x:v>
      </x:c>
      <x:c r="H127" s="38" t="str">
        <x:v>Computers</x:v>
      </x:c>
      <x:c r="I127" s="91" t="str">
        <x:v>[Product: Dell Ultra Sharp U2413 23.8in Screen LED-Lit Monitor (Discontinued by Manufacturer) (Renewed) | ASIN: B07F9B8RQZ] It has accurate color rendition for photo editing (still getting 99%Adobe rgb after calibration) and has been a workhorse and they all still run great.</x:v>
      </x:c>
      <x:c r="J127" s="101" t="n">
        <x:v>2</x:v>
      </x:c>
      <x:c r="K127" s="92" t="str">
        <x:v>Human_Reviewer_01</x:v>
      </x:c>
      <x:c r="L127" s="92" t="str">
        <x:v>High</x:v>
      </x:c>
      <x:c r="M127" s="93" t="str">
        <x:v>Monitor has calibrated accurate photo-editing colors and reported 99% Adobe RGB coverage.</x:v>
      </x:c>
      <x:c r="N127" s="94"/>
      <x:c r="O127" s="94"/>
      <x:c r="P127" s="94"/>
      <x:c r="Q127" s="95"/>
      <x:c r="R127" s="96"/>
      <x:c r="S127" s="96"/>
      <x:c r="T127" s="97"/>
      <x:c r="U127" s="98" t="str">
        <x:f>IF(OR(J127="",N127=""),"",IF(J127=N127,"No","Yes"))</x:f>
      </x:c>
      <x:c r="V127" s="98" t="n">
        <x:v>2</x:v>
      </x:c>
    </x:row>
    <x:row r="128" ht="54" hidden="0" customHeight="1">
      <x:c r="A128" s="38" t="str">
        <x:v>Q004::B00LM5MZ4Q_review_37273</x:v>
      </x:c>
      <x:c r="B128" s="38" t="str">
        <x:v>Q004</x:v>
      </x:c>
      <x:c r="C128" s="91" t="str">
        <x:v>Find a monitor with accurate colors and a sharp display for photo editing.</x:v>
      </x:c>
      <x:c r="D128" s="38" t="n">
        <x:v>10</x:v>
      </x:c>
      <x:c r="E128" s="38" t="str">
        <x:v>B00LM5MZ4Q</x:v>
      </x:c>
      <x:c r="F128" s="38" t="str">
        <x:v>review</x:v>
      </x:c>
      <x:c r="G128" s="38" t="str">
        <x:v>design/appearance</x:v>
      </x:c>
      <x:c r="H128" s="38" t="str">
        <x:v>Computers</x:v>
      </x:c>
      <x:c r="I128" s="91" t="str">
        <x:v>[Product: HP Pavilion 20xi 20-Inch Screen LED-lit Monitor | ASIN: B00LM5MZ4Q] /&gt;Next, I loaded up some of my test photos, and immediately noticed details that were unseen before, specially color banding and gradients in blue skies or sunsets. My older monitor did not show these, so I am thinking this is a plus as this monitor will allow me to adjust some of the photos I took.&lt;br /&gt;&lt;br /&gt;I spent a day calibrating this to my needs, and the colors really stand out compared to my old monitor. Text looks razor sharp. Accurate Colors&lt;br /&gt;+ Detail in shadow areas&lt;</x:v>
      </x:c>
      <x:c r="J128" s="101" t="n">
        <x:v>2</x:v>
      </x:c>
      <x:c r="K128" s="92" t="str">
        <x:v>Human_Reviewer_01</x:v>
      </x:c>
      <x:c r="L128" s="92" t="str">
        <x:v>High</x:v>
      </x:c>
      <x:c r="M128" s="93" t="str">
        <x:v>Monitor shows photo detail, sharp text, and accurate calibrated colors.</x:v>
      </x:c>
      <x:c r="N128" s="94"/>
      <x:c r="O128" s="94"/>
      <x:c r="P128" s="94"/>
      <x:c r="Q128" s="95"/>
      <x:c r="R128" s="96"/>
      <x:c r="S128" s="96"/>
      <x:c r="T128" s="97"/>
      <x:c r="U128" s="98" t="str">
        <x:f>IF(OR(J128="",N128=""),"",IF(J128=N128,"No","Yes"))</x:f>
      </x:c>
      <x:c r="V128" s="98" t="n">
        <x:v>2</x:v>
      </x:c>
    </x:row>
    <x:row r="129" ht="54" hidden="0" customHeight="1">
      <x:c r="A129" s="38" t="str">
        <x:v>Q004::B012UNOCJY_review_2826853</x:v>
      </x:c>
      <x:c r="B129" s="38" t="str">
        <x:v>Q004</x:v>
      </x:c>
      <x:c r="C129" s="91" t="str">
        <x:v>Find a monitor with accurate colors and a sharp display for photo editing.</x:v>
      </x:c>
      <x:c r="D129" s="38" t="n">
        <x:v>11</x:v>
      </x:c>
      <x:c r="E129" s="38" t="str">
        <x:v>B012UNOCJY</x:v>
      </x:c>
      <x:c r="F129" s="38" t="str">
        <x:v>review</x:v>
      </x:c>
      <x:c r="G129" s="38" t="str">
        <x:v>general</x:v>
      </x:c>
      <x:c r="H129" s="38" t="str">
        <x:v>Computers</x:v>
      </x:c>
      <x:c r="I129" s="91" t="str">
        <x:v>[Product: BenQ SW2700PT 27 Inch QHD 1440P IPS Photography Monitor | Aqcolor technology for Accurate Reproduction | Hotkey Puck Efficiency Boost,Black | ASIN: B012UNOCJY] I am a professional photographer who produces fine art photographs. I have been using Photoshop for over 15 years and have suffered the shortcomings of &amp;#34;low gamut&amp;#34; monitors my whole retouching life. My Asus monitor finally died and based on the reviews for this monitor I took a chance. All I can say is WOW!! While a little bright It was easily corrected. The 99% Adobe 1998 gamut coverage really makes a difference when I send images out to my lab or when I print them out on my Epson 2880. No more multiple printouts adjusting in PS then printing out again. If your serious about post work in Photoshop, buy this monitor.</x:v>
      </x:c>
      <x:c r="J129" s="101" t="n">
        <x:v>2</x:v>
      </x:c>
      <x:c r="K129" s="92" t="str">
        <x:v>Human_Reviewer_01</x:v>
      </x:c>
      <x:c r="L129" s="92" t="str">
        <x:v>High</x:v>
      </x:c>
      <x:c r="M129" s="93" t="str">
        <x:v>Photography monitor improves print matching with reported 99% Adobe gamut coverage.</x:v>
      </x:c>
      <x:c r="N129" s="94"/>
      <x:c r="O129" s="94"/>
      <x:c r="P129" s="94"/>
      <x:c r="Q129" s="95"/>
      <x:c r="R129" s="96"/>
      <x:c r="S129" s="96"/>
      <x:c r="T129" s="97"/>
      <x:c r="U129" s="98" t="str">
        <x:f>IF(OR(J129="",N129=""),"",IF(J129=N129,"No","Yes"))</x:f>
      </x:c>
      <x:c r="V129" s="98" t="n">
        <x:v>2</x:v>
      </x:c>
    </x:row>
    <x:row r="130" ht="54" hidden="0" customHeight="1">
      <x:c r="A130" s="38" t="str">
        <x:v>Q004::B0002IP4ME_review_1813096</x:v>
      </x:c>
      <x:c r="B130" s="38" t="str">
        <x:v>Q004</x:v>
      </x:c>
      <x:c r="C130" s="91" t="str">
        <x:v>Find a monitor with accurate colors and a sharp display for photo editing.</x:v>
      </x:c>
      <x:c r="D130" s="38" t="n">
        <x:v>12</x:v>
      </x:c>
      <x:c r="E130" s="38" t="str">
        <x:v>B0002IP4ME</x:v>
      </x:c>
      <x:c r="F130" s="38" t="str">
        <x:v>review</x:v>
      </x:c>
      <x:c r="G130" s="38" t="str">
        <x:v>design/appearance</x:v>
      </x:c>
      <x:c r="H130" s="38" t="str">
        <x:v>Computers</x:v>
      </x:c>
      <x:c r="I130" s="91" t="str">
        <x:v>[Product: ViewSonic VA721 17" LCD Monitor | ASIN: B0002IP4ME] Ths colors are SO precise that you can take a photo and put it next the the monitor and it will match!&lt;br /&gt;&lt;br</x:v>
      </x:c>
      <x:c r="J130" s="101" t="n">
        <x:v>2</x:v>
      </x:c>
      <x:c r="K130" s="92" t="str">
        <x:v>Human_Reviewer_01</x:v>
      </x:c>
      <x:c r="L130" s="92" t="str">
        <x:v>High</x:v>
      </x:c>
      <x:c r="M130" s="93" t="str">
        <x:v>Monitor colors reportedly match a physical photograph.</x:v>
      </x:c>
      <x:c r="N130" s="94"/>
      <x:c r="O130" s="94"/>
      <x:c r="P130" s="94"/>
      <x:c r="Q130" s="95"/>
      <x:c r="R130" s="96"/>
      <x:c r="S130" s="96"/>
      <x:c r="T130" s="97"/>
      <x:c r="U130" s="98" t="str">
        <x:f>IF(OR(J130="",N130=""),"",IF(J130=N130,"No","Yes"))</x:f>
      </x:c>
      <x:c r="V130" s="98" t="n">
        <x:v>2</x:v>
      </x:c>
    </x:row>
    <x:row r="131" ht="54" hidden="0" customHeight="1">
      <x:c r="A131" s="38" t="str">
        <x:v>Q004::B0BB4F88KR_review_1085816</x:v>
      </x:c>
      <x:c r="B131" s="38" t="str">
        <x:v>Q004</x:v>
      </x:c>
      <x:c r="C131" s="91" t="str">
        <x:v>Find a monitor with accurate colors and a sharp display for photo editing.</x:v>
      </x:c>
      <x:c r="D131" s="38" t="n">
        <x:v>13</x:v>
      </x:c>
      <x:c r="E131" s="38" t="str">
        <x:v>B0BB4F88KR</x:v>
      </x:c>
      <x:c r="F131" s="38" t="str">
        <x:v>review</x:v>
      </x:c>
      <x:c r="G131" s="38" t="str">
        <x:v>price/value</x:v>
      </x:c>
      <x:c r="H131" s="38" t="str">
        <x:v>Computers</x:v>
      </x:c>
      <x:c r="I131" s="91" t="str">
        <x:v>[Product: HP 27-inch FHD Monitor with AMD FreeSync Technology (2021 Model, M27fw) | ASIN: B0BB4F88KR] 27&amp;#34; monitor review - OK monitor for the price - Terrible for reading but probably fine for gaming and even photo editing.</x:v>
      </x:c>
      <x:c r="J131" s="101" t="n">
        <x:v>1</x:v>
      </x:c>
      <x:c r="K131" s="92" t="str">
        <x:v>Human_Reviewer_01</x:v>
      </x:c>
      <x:c r="L131" s="92" t="str">
        <x:v>High</x:v>
      </x:c>
      <x:c r="M131" s="93" t="str">
        <x:v>Photo-editing suitability is speculative and reading quality is criticized; color accuracy is untested.</x:v>
      </x:c>
      <x:c r="N131" s="94"/>
      <x:c r="O131" s="94"/>
      <x:c r="P131" s="94"/>
      <x:c r="Q131" s="95"/>
      <x:c r="R131" s="96"/>
      <x:c r="S131" s="96"/>
      <x:c r="T131" s="97"/>
      <x:c r="U131" s="98" t="str">
        <x:f>IF(OR(J131="",N131=""),"",IF(J131=N131,"No","Yes"))</x:f>
      </x:c>
      <x:c r="V131" s="98" t="n">
        <x:v>1</x:v>
      </x:c>
    </x:row>
    <x:row r="132" ht="54" hidden="0" customHeight="1">
      <x:c r="A132" s="38" t="str">
        <x:v>Q004::B00CMHQOJU_review_3001775</x:v>
      </x:c>
      <x:c r="B132" s="38" t="str">
        <x:v>Q004</x:v>
      </x:c>
      <x:c r="C132" s="91" t="str">
        <x:v>Find a monitor with accurate colors and a sharp display for photo editing.</x:v>
      </x:c>
      <x:c r="D132" s="38" t="n">
        <x:v>14</x:v>
      </x:c>
      <x:c r="E132" s="38" t="str">
        <x:v>B00CMHQOJU</x:v>
      </x:c>
      <x:c r="F132" s="38" t="str">
        <x:v>review</x:v>
      </x:c>
      <x:c r="G132" s="38" t="str">
        <x:v>design/appearance</x:v>
      </x:c>
      <x:c r="H132" s="38" t="str">
        <x:v>Computers</x:v>
      </x:c>
      <x:c r="I132" s="91" t="str">
        <x:v>[Product: ASUS PA249Q 24.1-Inch WUXGA AH-IPS DisplayPort HDMI DVI-D VGA Ergonomic Back-lit LED Monitor | ASIN: B00CMHQOJU] I do tons of shooting and photo editing in both Adobe Lightroom and Photoshop using BOTH the Adobe 98 and sRGB color spaces this Asus monitor comes calibrated with from the factory.&lt;br /&gt;&lt;br Great and accurate color right out of the box... NO inaccurate COLOR OR GREY SCALE Imagery. I will also tell you everything else looks wonderful as well.</x:v>
      </x:c>
      <x:c r="J132" s="101" t="n">
        <x:v>2</x:v>
      </x:c>
      <x:c r="K132" s="92" t="str">
        <x:v>Human_Reviewer_01</x:v>
      </x:c>
      <x:c r="L132" s="92" t="str">
        <x:v>High</x:v>
      </x:c>
      <x:c r="M132" s="93" t="str">
        <x:v>Monitor provides accurate factory-calibrated color and grayscale for Lightroom and Photoshop.</x:v>
      </x:c>
      <x:c r="N132" s="94"/>
      <x:c r="O132" s="94"/>
      <x:c r="P132" s="94"/>
      <x:c r="Q132" s="95"/>
      <x:c r="R132" s="96"/>
      <x:c r="S132" s="96"/>
      <x:c r="T132" s="97"/>
      <x:c r="U132" s="98" t="str">
        <x:f>IF(OR(J132="",N132=""),"",IF(J132=N132,"No","Yes"))</x:f>
      </x:c>
      <x:c r="V132" s="98" t="n">
        <x:v>2</x:v>
      </x:c>
    </x:row>
    <x:row r="133" ht="54" hidden="0" customHeight="1">
      <x:c r="A133" s="38" t="str">
        <x:v>Q004::B0051OLOG4_review_994056</x:v>
      </x:c>
      <x:c r="B133" s="38" t="str">
        <x:v>Q004</x:v>
      </x:c>
      <x:c r="C133" s="91" t="str">
        <x:v>Find a monitor with accurate colors and a sharp display for photo editing.</x:v>
      </x:c>
      <x:c r="D133" s="38" t="n">
        <x:v>15</x:v>
      </x:c>
      <x:c r="E133" s="38" t="str">
        <x:v>B0051OLOG4</x:v>
      </x:c>
      <x:c r="F133" s="38" t="str">
        <x:v>review</x:v>
      </x:c>
      <x:c r="G133" s="38" t="str">
        <x:v>design/appearance</x:v>
      </x:c>
      <x:c r="H133" s="38" t="str">
        <x:v>Computers</x:v>
      </x:c>
      <x:c r="I133" s="91" t="str">
        <x:v>[Product: HP Pavilion dm1-3210us 11.6-Inch Entertainment PC (Black) | ASIN: B0051OLOG4] The monitor color rendering is horrible and cannot be calibrated (I spent considerable effort to no avail). Since the colors are not accurate, it is useless for even the most rudimentary home photo editing.</x:v>
      </x:c>
      <x:c r="J133" s="101" t="n">
        <x:v>0</x:v>
      </x:c>
      <x:c r="K133" s="92" t="str">
        <x:v>Human_Reviewer_01</x:v>
      </x:c>
      <x:c r="L133" s="92" t="str">
        <x:v>High</x:v>
      </x:c>
      <x:c r="M133" s="93" t="str">
        <x:v>The product is a laptop rather than a standalone monitor.</x:v>
      </x:c>
      <x:c r="N133" s="94"/>
      <x:c r="O133" s="94"/>
      <x:c r="P133" s="94"/>
      <x:c r="Q133" s="95"/>
      <x:c r="R133" s="96"/>
      <x:c r="S133" s="96"/>
      <x:c r="T133" s="97"/>
      <x:c r="U133" s="98" t="str">
        <x:f>IF(OR(J133="",N133=""),"",IF(J133=N133,"No","Yes"))</x:f>
      </x:c>
      <x:c r="V133" s="98" t="n">
        <x:v>0</x:v>
      </x:c>
    </x:row>
    <x:row r="134" ht="54" hidden="0" customHeight="1">
      <x:c r="A134" s="38" t="str">
        <x:v>Q004::B000VAKHKM_review_2212054</x:v>
      </x:c>
      <x:c r="B134" s="38" t="str">
        <x:v>Q004</x:v>
      </x:c>
      <x:c r="C134" s="91" t="str">
        <x:v>Find a monitor with accurate colors and a sharp display for photo editing.</x:v>
      </x:c>
      <x:c r="D134" s="38" t="n">
        <x:v>16</x:v>
      </x:c>
      <x:c r="E134" s="38" t="str">
        <x:v>B000VAKHKM</x:v>
      </x:c>
      <x:c r="F134" s="38" t="str">
        <x:v>review</x:v>
      </x:c>
      <x:c r="G134" s="38" t="str">
        <x:v>design/appearance</x:v>
      </x:c>
      <x:c r="H134" s="38" t="str">
        <x:v>Computers</x:v>
      </x:c>
      <x:c r="I134" s="91" t="str">
        <x:v>[Product: Hanns-G 22-inch Widescreen TFT LCD Display Monitor (HG216DPB) | ASIN: B000VAKHKM] /&gt;This Hanns-G monitor is absolutely stunning - the picture is crisp and clear, colors look great - it is lovely overall I have looked at a lot of my pictures on this monitor to really see how it displays colors and images and the quality is superb - crisp, accurate colors, sharp text, simply excellent overall.&lt;br /&gt;&lt;br</x:v>
      </x:c>
      <x:c r="J134" s="101" t="n">
        <x:v>2</x:v>
      </x:c>
      <x:c r="K134" s="92" t="str">
        <x:v>Human_Reviewer_01</x:v>
      </x:c>
      <x:c r="L134" s="92" t="str">
        <x:v>High</x:v>
      </x:c>
      <x:c r="M134" s="93" t="str">
        <x:v>Monitor explicitly provides crisp photographs, accurate colors, and sharp text.</x:v>
      </x:c>
      <x:c r="N134" s="94"/>
      <x:c r="O134" s="94"/>
      <x:c r="P134" s="94"/>
      <x:c r="Q134" s="95"/>
      <x:c r="R134" s="96"/>
      <x:c r="S134" s="96"/>
      <x:c r="T134" s="97"/>
      <x:c r="U134" s="98" t="str">
        <x:f>IF(OR(J134="",N134=""),"",IF(J134=N134,"No","Yes"))</x:f>
      </x:c>
      <x:c r="V134" s="98" t="n">
        <x:v>2</x:v>
      </x:c>
    </x:row>
    <x:row r="135" ht="54" hidden="0" customHeight="1">
      <x:c r="A135" s="38" t="str">
        <x:v>Q004::B07F9B8RQZ_review_40261</x:v>
      </x:c>
      <x:c r="B135" s="38" t="str">
        <x:v>Q004</x:v>
      </x:c>
      <x:c r="C135" s="91" t="str">
        <x:v>Find a monitor with accurate colors and a sharp display for photo editing.</x:v>
      </x:c>
      <x:c r="D135" s="38" t="n">
        <x:v>17</x:v>
      </x:c>
      <x:c r="E135" s="38" t="str">
        <x:v>B07F9B8RQZ</x:v>
      </x:c>
      <x:c r="F135" s="38" t="str">
        <x:v>review</x:v>
      </x:c>
      <x:c r="G135" s="38" t="str">
        <x:v>design/appearance</x:v>
      </x:c>
      <x:c r="H135" s="38" t="str">
        <x:v>Computers</x:v>
      </x:c>
      <x:c r="I135" s="91" t="str">
        <x:v>[Product: Dell Ultra Sharp U2413 23.8in Screen LED-Lit Monitor (Discontinued by Manufacturer) (Renewed) | ASIN: B07F9B8RQZ] I bought two of these for myself, I design and illustrate on my computer and wanted a more accurate representation of the colors in my artwork on the monitor. I do not have a fancy color printer to check colors</x:v>
      </x:c>
      <x:c r="J135" s="101" t="n">
        <x:v>1</x:v>
      </x:c>
      <x:c r="K135" s="92" t="str">
        <x:v>Human_Reviewer_01</x:v>
      </x:c>
      <x:c r="L135" s="92" t="str">
        <x:v>High</x:v>
      </x:c>
      <x:c r="M135" s="93" t="str">
        <x:v>Purchase motivation concerns accurate illustration colors, but achieved accuracy is not reported.</x:v>
      </x:c>
      <x:c r="N135" s="94"/>
      <x:c r="O135" s="94"/>
      <x:c r="P135" s="94"/>
      <x:c r="Q135" s="95"/>
      <x:c r="R135" s="96"/>
      <x:c r="S135" s="96"/>
      <x:c r="T135" s="97"/>
      <x:c r="U135" s="98" t="str">
        <x:f>IF(OR(J135="",N135=""),"",IF(J135=N135,"No","Yes"))</x:f>
      </x:c>
      <x:c r="V135" s="98" t="n">
        <x:v>1</x:v>
      </x:c>
    </x:row>
    <x:row r="136" ht="54" hidden="0" customHeight="1">
      <x:c r="A136" s="38" t="str">
        <x:v>Q004::B07ZFKGZ5K_review_1081158</x:v>
      </x:c>
      <x:c r="B136" s="38" t="str">
        <x:v>Q004</x:v>
      </x:c>
      <x:c r="C136" s="91" t="str">
        <x:v>Find a monitor with accurate colors and a sharp display for photo editing.</x:v>
      </x:c>
      <x:c r="D136" s="38" t="n">
        <x:v>18</x:v>
      </x:c>
      <x:c r="E136" s="38" t="str">
        <x:v>B07ZFKGZ5K</x:v>
      </x:c>
      <x:c r="F136" s="38" t="str">
        <x:v>review</x:v>
      </x:c>
      <x:c r="G136" s="38" t="str">
        <x:v>design/appearance</x:v>
      </x:c>
      <x:c r="H136" s="38" t="str">
        <x:v>Computers</x:v>
      </x:c>
      <x:c r="I136" s="91" t="str">
        <x:v>[Product: Dell U3417W FR3PK 34-Inch QHD Ultra Wide 1440p Screen Led-Lit Monitor, Single | ASIN: B07ZFKGZ5K] See at the end of the post&lt;br /&gt;&lt;br /&gt;I am a photographer who needs to have true colors and be able to straighten verticals and perspectives. Looks like I got lucky.</x:v>
      </x:c>
      <x:c r="J136" s="101" t="n">
        <x:v>1</x:v>
      </x:c>
      <x:c r="K136" s="92" t="str">
        <x:v>Human_Reviewer_01</x:v>
      </x:c>
      <x:c r="L136" s="92" t="str">
        <x:v>Medium</x:v>
      </x:c>
      <x:c r="M136" s="93" t="str">
        <x:v>Photographer implies satisfaction, but true-color performance is not explicitly demonstrated.</x:v>
      </x:c>
      <x:c r="N136" s="94"/>
      <x:c r="O136" s="94"/>
      <x:c r="P136" s="94"/>
      <x:c r="Q136" s="95"/>
      <x:c r="R136" s="96"/>
      <x:c r="S136" s="96"/>
      <x:c r="T136" s="97"/>
      <x:c r="U136" s="98" t="str">
        <x:f>IF(OR(J136="",N136=""),"",IF(J136=N136,"No","Yes"))</x:f>
      </x:c>
      <x:c r="V136" s="98" t="n">
        <x:v>1</x:v>
      </x:c>
    </x:row>
    <x:row r="137" ht="54" hidden="0" customHeight="1">
      <x:c r="A137" s="38" t="str">
        <x:v>Q004::B0B1YLJZTK_review_2554046</x:v>
      </x:c>
      <x:c r="B137" s="38" t="str">
        <x:v>Q004</x:v>
      </x:c>
      <x:c r="C137" s="91" t="str">
        <x:v>Find a monitor with accurate colors and a sharp display for photo editing.</x:v>
      </x:c>
      <x:c r="D137" s="38" t="n">
        <x:v>19</x:v>
      </x:c>
      <x:c r="E137" s="38" t="str">
        <x:v>B0B1YLJZTK</x:v>
      </x:c>
      <x:c r="F137" s="38" t="str">
        <x:v>review</x:v>
      </x:c>
      <x:c r="G137" s="38" t="str">
        <x:v>design/appearance</x:v>
      </x:c>
      <x:c r="H137" s="38" t="str">
        <x:v>Computers</x:v>
      </x:c>
      <x:c r="I137" s="91" t="str">
        <x:v>[Product: Dell 27-inch USB-C Monitor - Full HD (1920 x 1080 Display, 75Hz Refresh Rate, 4MS Grey-to-Grey Response Time (Extreme Mode), Dual 3W Built-in Speakers, HDMI, IPS, AMD FreeSync, Silver - S2723HC | ASIN: B0B1YLJZTK] I need accurate colors for photo editing, and Lightroom works best with 2 monitors. However, getting accurate colors after calibration with my Color Monkey is better than what I had with my previous display (Philips) which looked nice, but the colors could not be made to match up.&lt;br /&gt;&lt;br</x:v>
      </x:c>
      <x:c r="J137" s="101" t="n">
        <x:v>2</x:v>
      </x:c>
      <x:c r="K137" s="92" t="str">
        <x:v>Human_Reviewer_01</x:v>
      </x:c>
      <x:c r="L137" s="92" t="str">
        <x:v>High</x:v>
      </x:c>
      <x:c r="M137" s="93" t="str">
        <x:v>Monitor calibration improves accurate color matching for photo editing.</x:v>
      </x:c>
      <x:c r="N137" s="94"/>
      <x:c r="O137" s="94"/>
      <x:c r="P137" s="94"/>
      <x:c r="Q137" s="95"/>
      <x:c r="R137" s="96"/>
      <x:c r="S137" s="96"/>
      <x:c r="T137" s="97"/>
      <x:c r="U137" s="98" t="str">
        <x:f>IF(OR(J137="",N137=""),"",IF(J137=N137,"No","Yes"))</x:f>
      </x:c>
      <x:c r="V137" s="98" t="n">
        <x:v>2</x:v>
      </x:c>
    </x:row>
    <x:row r="138" ht="54" hidden="0" customHeight="1">
      <x:c r="A138" s="38" t="str">
        <x:v>Q004::B000MT5J7I_review_1601696</x:v>
      </x:c>
      <x:c r="B138" s="38" t="str">
        <x:v>Q004</x:v>
      </x:c>
      <x:c r="C138" s="91" t="str">
        <x:v>Find a monitor with accurate colors and a sharp display for photo editing.</x:v>
      </x:c>
      <x:c r="D138" s="38" t="n">
        <x:v>20</x:v>
      </x:c>
      <x:c r="E138" s="38" t="str">
        <x:v>B000MT5J7I</x:v>
      </x:c>
      <x:c r="F138" s="38" t="str">
        <x:v>review</x:v>
      </x:c>
      <x:c r="G138" s="38" t="str">
        <x:v>general</x:v>
      </x:c>
      <x:c r="H138" s="38" t="str">
        <x:v>Computers</x:v>
      </x:c>
      <x:c r="I138" s="91" t="str">
        <x:v>[Product: NEC Computers LCD2490WUXI-BK 24-Inch Widescreeen LCD Monitor | ASIN: B000MT5J7I] The search is over! For years I was struggling to find an acceptable monitor for photo editing. Big mistake. I sold these at a 50% loss and purchased the NEC. Calibration was a snap, and this monitor now also matches my calibrated ACD.</x:v>
      </x:c>
      <x:c r="J138" s="101" t="n">
        <x:v>2</x:v>
      </x:c>
      <x:c r="K138" s="92" t="str">
        <x:v>Human_Reviewer_01</x:v>
      </x:c>
      <x:c r="L138" s="92" t="str">
        <x:v>High</x:v>
      </x:c>
      <x:c r="M138" s="93" t="str">
        <x:v>Photo-editing monitor calibrates easily and matches another calibrated display.</x:v>
      </x:c>
      <x:c r="N138" s="94"/>
      <x:c r="O138" s="94"/>
      <x:c r="P138" s="94"/>
      <x:c r="Q138" s="95"/>
      <x:c r="R138" s="96"/>
      <x:c r="S138" s="96"/>
      <x:c r="T138" s="97"/>
      <x:c r="U138" s="98" t="str">
        <x:f>IF(OR(J138="",N138=""),"",IF(J138=N138,"No","Yes"))</x:f>
      </x:c>
      <x:c r="V138" s="98" t="n">
        <x:v>2</x:v>
      </x:c>
    </x:row>
    <x:row r="139" ht="54" hidden="0" customHeight="1">
      <x:c r="A139" s="38" t="str">
        <x:v>Q004::B002RJUSO0_review_169464</x:v>
      </x:c>
      <x:c r="B139" s="38" t="str">
        <x:v>Q004</x:v>
      </x:c>
      <x:c r="C139" s="91" t="str">
        <x:v>Find a monitor with accurate colors and a sharp display for photo editing.</x:v>
      </x:c>
      <x:c r="D139" s="38" t="n">
        <x:v>21</x:v>
      </x:c>
      <x:c r="E139" s="38" t="str">
        <x:v>B002RJUSO0</x:v>
      </x:c>
      <x:c r="F139" s="38" t="str">
        <x:v>review</x:v>
      </x:c>
      <x:c r="G139" s="38" t="str">
        <x:v>design/appearance</x:v>
      </x:c>
      <x:c r="H139" s="38" t="str">
        <x:v>Computers</x:v>
      </x:c>
      <x:c r="I139" s="91" t="str">
        <x:v>[Product: Asus VH232H 23-Inch Full-HD LCD Monitor with Integrated Speakers | ASIN: B002RJUSO0] In the process of looking for a new monitor I decided to try and kill two birds with one stone, and get a unit that would work both as a high-quality computer monitor for photo editing (which means being able to color profile it!) Having played with some of the color modes (Scenic, Theatre, etc) before turning them off they do provide a variety of useful options, especially if you are using multiple inputs - one of the best features is that it remembers your mode settings between inputs. All-in-all it is a great choice as a consumer-grade monitor, even for my picky, very color-specific photography needs.</x:v>
      </x:c>
      <x:c r="J139" s="101" t="n">
        <x:v>2</x:v>
      </x:c>
      <x:c r="K139" s="92" t="str">
        <x:v>Human_Reviewer_01</x:v>
      </x:c>
      <x:c r="L139" s="92" t="str">
        <x:v>High</x:v>
      </x:c>
      <x:c r="M139" s="93" t="str">
        <x:v>Reviewer reports suitability for color-specific photographic work and color profiling.</x:v>
      </x:c>
      <x:c r="N139" s="94"/>
      <x:c r="O139" s="94"/>
      <x:c r="P139" s="94"/>
      <x:c r="Q139" s="95"/>
      <x:c r="R139" s="96"/>
      <x:c r="S139" s="96"/>
      <x:c r="T139" s="97"/>
      <x:c r="U139" s="98" t="str">
        <x:f>IF(OR(J139="",N139=""),"",IF(J139=N139,"No","Yes"))</x:f>
      </x:c>
      <x:c r="V139" s="98" t="n">
        <x:v>2</x:v>
      </x:c>
    </x:row>
    <x:row r="140" ht="54" hidden="0" customHeight="1">
      <x:c r="A140" s="38" t="str">
        <x:v>Q004::B0043T34RK_review_456502</x:v>
      </x:c>
      <x:c r="B140" s="38" t="str">
        <x:v>Q004</x:v>
      </x:c>
      <x:c r="C140" s="91" t="str">
        <x:v>Find a monitor with accurate colors and a sharp display for photo editing.</x:v>
      </x:c>
      <x:c r="D140" s="38" t="n">
        <x:v>22</x:v>
      </x:c>
      <x:c r="E140" s="38" t="str">
        <x:v>B0043T34RK</x:v>
      </x:c>
      <x:c r="F140" s="38" t="str">
        <x:v>review</x:v>
      </x:c>
      <x:c r="G140" s="38" t="str">
        <x:v>build quality</x:v>
      </x:c>
      <x:c r="H140" s="38" t="str">
        <x:v>Computers</x:v>
      </x:c>
      <x:c r="I140" s="91" t="str">
        <x:v>[Product: ASUS VE278Q 27" Full HD 1920x1080 2ms DisplayPort HDMI DVI VGA Monitor , Black | ASIN: B0043T34RK] I am a photographer and I need solid, consistent color for photo editing.</x:v>
      </x:c>
      <x:c r="J140" s="101" t="n">
        <x:v>1</x:v>
      </x:c>
      <x:c r="K140" s="92" t="str">
        <x:v>Human_Reviewer_01</x:v>
      </x:c>
      <x:c r="L140" s="92" t="str">
        <x:v>High</x:v>
      </x:c>
      <x:c r="M140" s="93" t="str">
        <x:v>Reviewer states a need for consistent color without reporting this monitor's performance.</x:v>
      </x:c>
      <x:c r="N140" s="94"/>
      <x:c r="O140" s="94"/>
      <x:c r="P140" s="94"/>
      <x:c r="Q140" s="95"/>
      <x:c r="R140" s="96"/>
      <x:c r="S140" s="96"/>
      <x:c r="T140" s="97"/>
      <x:c r="U140" s="98" t="str">
        <x:f>IF(OR(J140="",N140=""),"",IF(J140=N140,"No","Yes"))</x:f>
      </x:c>
      <x:c r="V140" s="98" t="n">
        <x:v>1</x:v>
      </x:c>
    </x:row>
    <x:row r="141" ht="54" hidden="0" customHeight="1">
      <x:c r="A141" s="38" t="str">
        <x:v>Q004::B00123WDQ8_review_1544499</x:v>
      </x:c>
      <x:c r="B141" s="38" t="str">
        <x:v>Q004</x:v>
      </x:c>
      <x:c r="C141" s="91" t="str">
        <x:v>Find a monitor with accurate colors and a sharp display for photo editing.</x:v>
      </x:c>
      <x:c r="D141" s="38" t="n">
        <x:v>23</x:v>
      </x:c>
      <x:c r="E141" s="38" t="str">
        <x:v>B00123WDQ8</x:v>
      </x:c>
      <x:c r="F141" s="38" t="str">
        <x:v>review</x:v>
      </x:c>
      <x:c r="G141" s="38" t="str">
        <x:v>design/appearance</x:v>
      </x:c>
      <x:c r="H141" s="38" t="str">
        <x:v>Computers</x:v>
      </x:c>
      <x:c r="I141" s="91" t="str">
        <x:v>[Product: ViewSonic Pro Series VP2250wb 22" Widescreen LCD Monitor | ASIN: B00123WDQ8] I was interested in getting a monitor that had accurate color for photography. My pictures look great and they print out the same color.</x:v>
      </x:c>
      <x:c r="J141" s="101" t="n">
        <x:v>2</x:v>
      </x:c>
      <x:c r="K141" s="92" t="str">
        <x:v>Human_Reviewer_01</x:v>
      </x:c>
      <x:c r="L141" s="92" t="str">
        <x:v>High</x:v>
      </x:c>
      <x:c r="M141" s="93" t="str">
        <x:v>Monitor photographs match printed colors.</x:v>
      </x:c>
      <x:c r="N141" s="94"/>
      <x:c r="O141" s="94"/>
      <x:c r="P141" s="94"/>
      <x:c r="Q141" s="95"/>
      <x:c r="R141" s="96"/>
      <x:c r="S141" s="96"/>
      <x:c r="T141" s="97"/>
      <x:c r="U141" s="98" t="str">
        <x:f>IF(OR(J141="",N141=""),"",IF(J141=N141,"No","Yes"))</x:f>
      </x:c>
      <x:c r="V141" s="98" t="n">
        <x:v>2</x:v>
      </x:c>
    </x:row>
    <x:row r="142" ht="54" hidden="0" customHeight="1">
      <x:c r="A142" s="38" t="str">
        <x:v>Q004::B0C6G2BD65_review_3351224</x:v>
      </x:c>
      <x:c r="B142" s="38" t="str">
        <x:v>Q004</x:v>
      </x:c>
      <x:c r="C142" s="91" t="str">
        <x:v>Find a monitor with accurate colors and a sharp display for photo editing.</x:v>
      </x:c>
      <x:c r="D142" s="38" t="n">
        <x:v>24</x:v>
      </x:c>
      <x:c r="E142" s="38" t="str">
        <x:v>B0C6G2BD65</x:v>
      </x:c>
      <x:c r="F142" s="38" t="str">
        <x:v>review</x:v>
      </x:c>
      <x:c r="G142" s="38" t="str">
        <x:v>screen/display</x:v>
      </x:c>
      <x:c r="H142" s="38" t="str">
        <x:v>Computers</x:v>
      </x:c>
      <x:c r="I142" s="91" t="str">
        <x:v>[Product: ASUS Zen Screen 15.6” 1080P Portable Monitor (MB166C) - Full HD, IPS, Type-C External Monitor, USB-Powered, Flicker Free, Anti-Glare Surface, Ultra Slim Travel Monitor For Laptop &amp; Macbook | ASIN: B0C6G2BD65] /&gt;--The screen is GREAT. Very crisp and clear images and non-glare.&lt;br /&gt;--The display colors are not as good as the SP3, but very close, and not really enough to be noticeable, unless you are doing photo editing. For the average school work/job, surfing or gaming this screen will be great.</x:v>
      </x:c>
      <x:c r="J142" s="101" t="n">
        <x:v>2</x:v>
      </x:c>
      <x:c r="K142" s="92" t="str">
        <x:v>Human_Reviewer_01</x:v>
      </x:c>
      <x:c r="L142" s="92" t="str">
        <x:v>High</x:v>
      </x:c>
      <x:c r="M142" s="93" t="str">
        <x:v>Monitor has crisp images and a photo-editing color limitation; useful positive and negative evidence.</x:v>
      </x:c>
      <x:c r="N142" s="94"/>
      <x:c r="O142" s="94"/>
      <x:c r="P142" s="94"/>
      <x:c r="Q142" s="95"/>
      <x:c r="R142" s="96"/>
      <x:c r="S142" s="96"/>
      <x:c r="T142" s="97"/>
      <x:c r="U142" s="98" t="str">
        <x:f>IF(OR(J142="",N142=""),"",IF(J142=N142,"No","Yes"))</x:f>
      </x:c>
      <x:c r="V142" s="98" t="n">
        <x:v>2</x:v>
      </x:c>
    </x:row>
    <x:row r="143" ht="54" hidden="0" customHeight="1">
      <x:c r="A143" s="38" t="str">
        <x:v>Q004::B00JM99DIU_review_51101</x:v>
      </x:c>
      <x:c r="B143" s="38" t="str">
        <x:v>Q004</x:v>
      </x:c>
      <x:c r="C143" s="91" t="str">
        <x:v>Find a monitor with accurate colors and a sharp display for photo editing.</x:v>
      </x:c>
      <x:c r="D143" s="38" t="n">
        <x:v>25</x:v>
      </x:c>
      <x:c r="E143" s="38" t="str">
        <x:v>B00JM99DIU</x:v>
      </x:c>
      <x:c r="F143" s="38" t="str">
        <x:v>review</x:v>
      </x:c>
      <x:c r="G143" s="38" t="str">
        <x:v>design/appearance</x:v>
      </x:c>
      <x:c r="H143" s="38" t="str">
        <x:v>Computers</x:v>
      </x:c>
      <x:c r="I143" s="91" t="str">
        <x:v>[Product: L.G 25UM65P 21:9 UltraWide Monitor | ASIN: B00JM99DIU] The colors on this monitor are great and the extra viewing space makes this beautiful for most movies, multi window applications, and video editing.</x:v>
      </x:c>
      <x:c r="J143" s="101" t="n">
        <x:v>1</x:v>
      </x:c>
      <x:c r="K143" s="92" t="str">
        <x:v>Human_Reviewer_01</x:v>
      </x:c>
      <x:c r="L143" s="92" t="str">
        <x:v>High</x:v>
      </x:c>
      <x:c r="M143" s="93" t="str">
        <x:v>Great colors and video-editing space are related, but photo color accuracy is not established.</x:v>
      </x:c>
      <x:c r="N143" s="94"/>
      <x:c r="O143" s="94"/>
      <x:c r="P143" s="94"/>
      <x:c r="Q143" s="95"/>
      <x:c r="R143" s="96"/>
      <x:c r="S143" s="96"/>
      <x:c r="T143" s="97"/>
      <x:c r="U143" s="98" t="str">
        <x:f>IF(OR(J143="",N143=""),"",IF(J143=N143,"No","Yes"))</x:f>
      </x:c>
      <x:c r="V143" s="98" t="n">
        <x:v>1</x:v>
      </x:c>
    </x:row>
    <x:row r="144" ht="54" hidden="0" customHeight="1">
      <x:c r="A144" s="38" t="str">
        <x:v>Q004::B0BGBH4RGT_review_3153900</x:v>
      </x:c>
      <x:c r="B144" s="38" t="str">
        <x:v>Q004</x:v>
      </x:c>
      <x:c r="C144" s="91" t="str">
        <x:v>Find a monitor with accurate colors and a sharp display for photo editing.</x:v>
      </x:c>
      <x:c r="D144" s="38" t="n">
        <x:v>26</x:v>
      </x:c>
      <x:c r="E144" s="38" t="str">
        <x:v>B0BGBH4RGT</x:v>
      </x:c>
      <x:c r="F144" s="38" t="str">
        <x:v>review</x:v>
      </x:c>
      <x:c r="G144" s="38" t="str">
        <x:v>design/appearance</x:v>
      </x:c>
      <x:c r="H144" s="38" t="str">
        <x:v>Computers</x:v>
      </x:c>
      <x:c r="I144" s="91" t="str">
        <x:v>[Product: BenQ EW2780U 27 inch 4K Monitor | IPS Multimedia with HDMI connectivity | HDR | Eye-Care Sensor | Integrated Speakers and Custom Audio Modes | USB C Connectivity and Charging | ASIN: B0BGBH4RGT] Colors are rich and perfect for editing on Photoshop and Lightroom.</x:v>
      </x:c>
      <x:c r="J144" s="101" t="n">
        <x:v>2</x:v>
      </x:c>
      <x:c r="K144" s="92" t="str">
        <x:v>Human_Reviewer_01</x:v>
      </x:c>
      <x:c r="L144" s="92" t="str">
        <x:v>High</x:v>
      </x:c>
      <x:c r="M144" s="93" t="str">
        <x:v>4K monitor colors are explicitly suitable for Photoshop and Lightroom editing.</x:v>
      </x:c>
      <x:c r="N144" s="94"/>
      <x:c r="O144" s="94"/>
      <x:c r="P144" s="94"/>
      <x:c r="Q144" s="95"/>
      <x:c r="R144" s="96"/>
      <x:c r="S144" s="96"/>
      <x:c r="T144" s="97"/>
      <x:c r="U144" s="98" t="str">
        <x:f>IF(OR(J144="",N144=""),"",IF(J144=N144,"No","Yes"))</x:f>
      </x:c>
      <x:c r="V144" s="98" t="n">
        <x:v>2</x:v>
      </x:c>
    </x:row>
    <x:row r="145" ht="54" hidden="0" customHeight="1">
      <x:c r="A145" s="38" t="str">
        <x:v>Q004::B0050X2YZQ_review_1036785</x:v>
      </x:c>
      <x:c r="B145" s="38" t="str">
        <x:v>Q004</x:v>
      </x:c>
      <x:c r="C145" s="91" t="str">
        <x:v>Find a monitor with accurate colors and a sharp display for photo editing.</x:v>
      </x:c>
      <x:c r="D145" s="38" t="n">
        <x:v>27</x:v>
      </x:c>
      <x:c r="E145" s="38" t="str">
        <x:v>B0050X2YZQ</x:v>
      </x:c>
      <x:c r="F145" s="38" t="str">
        <x:v>review</x:v>
      </x:c>
      <x:c r="G145" s="38" t="str">
        <x:v>design/appearance</x:v>
      </x:c>
      <x:c r="H145" s="38" t="str">
        <x:v>Computers</x:v>
      </x:c>
      <x:c r="I145" s="91" t="str">
        <x:v>[Product: SAMSUNG S27A850D 27-Inch Screen LED-Lit Monitor | ASIN: B0050X2YZQ] For general computing I used the Samsung, but for color accuracy and wider color gamut for photo editing I used the old CRT Viewsonic. For photo editing where I really care about color accuracy it has been great. It is adjustable and looks pretty good as well.&lt;br /&gt;&lt;br</x:v>
      </x:c>
      <x:c r="J145" s="101" t="n">
        <x:v>1</x:v>
      </x:c>
      <x:c r="K145" s="92" t="str">
        <x:v>Human_Reviewer_01</x:v>
      </x:c>
      <x:c r="L145" s="92" t="str">
        <x:v>Low</x:v>
      </x:c>
      <x:c r="M145" s="93" t="str">
        <x:v>Color-accuracy discussion switches between Samsung and an old CRT; final pronoun attribution is unclear.</x:v>
      </x:c>
      <x:c r="N145" s="94"/>
      <x:c r="O145" s="94"/>
      <x:c r="P145" s="94"/>
      <x:c r="Q145" s="95"/>
      <x:c r="R145" s="96"/>
      <x:c r="S145" s="96"/>
      <x:c r="T145" s="97"/>
      <x:c r="U145" s="98" t="str">
        <x:f>IF(OR(J145="",N145=""),"",IF(J145=N145,"No","Yes"))</x:f>
      </x:c>
      <x:c r="V145" s="98" t="n">
        <x:v>1</x:v>
      </x:c>
    </x:row>
    <x:row r="146" ht="54" hidden="0" customHeight="1">
      <x:c r="A146" s="38" t="str">
        <x:v>Q004::B000B86RSK_review_577538</x:v>
      </x:c>
      <x:c r="B146" s="38" t="str">
        <x:v>Q004</x:v>
      </x:c>
      <x:c r="C146" s="91" t="str">
        <x:v>Find a monitor with accurate colors and a sharp display for photo editing.</x:v>
      </x:c>
      <x:c r="D146" s="38" t="n">
        <x:v>28</x:v>
      </x:c>
      <x:c r="E146" s="38" t="str">
        <x:v>B000B86RSK</x:v>
      </x:c>
      <x:c r="F146" s="38" t="str">
        <x:v>review</x:v>
      </x:c>
      <x:c r="G146" s="38" t="str">
        <x:v>design/appearance</x:v>
      </x:c>
      <x:c r="H146" s="38" t="str">
        <x:v>Computers</x:v>
      </x:c>
      <x:c r="I146" s="91" t="str">
        <x:v>[Product: ViewSonic VP930b 19" LCD Monitor | ASIN: B000B86RSK] The colors are vibrant and, quite frankly, my digital photos look fan-freakin'-tastic (and that is an understatement). Now look for a tab where you can change your video card settings.</x:v>
      </x:c>
      <x:c r="J146" s="101" t="n">
        <x:v>1</x:v>
      </x:c>
      <x:c r="K146" s="92" t="str">
        <x:v>Human_Reviewer_01</x:v>
      </x:c>
      <x:c r="L146" s="92" t="str">
        <x:v>High</x:v>
      </x:c>
      <x:c r="M146" s="93" t="str">
        <x:v>Vibrant colors and attractive photos do not establish accuracy or sharpness.</x:v>
      </x:c>
      <x:c r="N146" s="94"/>
      <x:c r="O146" s="94"/>
      <x:c r="P146" s="94"/>
      <x:c r="Q146" s="95"/>
      <x:c r="R146" s="96"/>
      <x:c r="S146" s="96"/>
      <x:c r="T146" s="97"/>
      <x:c r="U146" s="98" t="str">
        <x:f>IF(OR(J146="",N146=""),"",IF(J146=N146,"No","Yes"))</x:f>
      </x:c>
      <x:c r="V146" s="98" t="n">
        <x:v>1</x:v>
      </x:c>
    </x:row>
    <x:row r="147" ht="54" hidden="0" customHeight="1">
      <x:c r="A147" s="38" t="str">
        <x:v>Q004::B0B9HZZ2Q7_review_1813489</x:v>
      </x:c>
      <x:c r="B147" s="38" t="str">
        <x:v>Q004</x:v>
      </x:c>
      <x:c r="C147" s="91" t="str">
        <x:v>Find a monitor with accurate colors and a sharp display for photo editing.</x:v>
      </x:c>
      <x:c r="D147" s="38" t="n">
        <x:v>29</x:v>
      </x:c>
      <x:c r="E147" s="38" t="str">
        <x:v>B0B9HZZ2Q7</x:v>
      </x:c>
      <x:c r="F147" s="38" t="str">
        <x:v>review</x:v>
      </x:c>
      <x:c r="G147" s="38" t="str">
        <x:v>build quality</x:v>
      </x:c>
      <x:c r="H147" s="38" t="str">
        <x:v>Computers</x:v>
      </x:c>
      <x:c r="I147" s="91" t="str">
        <x:v>[Product: ASUS ProArt Display 34” Computer Monitor (PA348CGV) - 21:9 Ultra-Wide QHD (3440 x 1440), IPS, Color Accuracy ΔE &lt; 2, Calman Verified, 98% DCI-P3, USB-C, 120Hz, Compatible with Laptop &amp; Mac Monitor | ASIN: B0B9HZZ2Q7] Picture quality is very sharp and has almost true colors which is great for photo and video editing. Buttons feel very flimsy and keep getting stuck into the case and i have to pop them out.</x:v>
      </x:c>
      <x:c r="J147" s="101" t="n">
        <x:v>2</x:v>
      </x:c>
      <x:c r="K147" s="92" t="str">
        <x:v>Human_Reviewer_01</x:v>
      </x:c>
      <x:c r="L147" s="92" t="str">
        <x:v>High</x:v>
      </x:c>
      <x:c r="M147" s="93" t="str">
        <x:v>Monitor explicitly has sharp imagery and near-true colors for photo editing.</x:v>
      </x:c>
      <x:c r="N147" s="94"/>
      <x:c r="O147" s="94"/>
      <x:c r="P147" s="94"/>
      <x:c r="Q147" s="95"/>
      <x:c r="R147" s="96"/>
      <x:c r="S147" s="96"/>
      <x:c r="T147" s="97"/>
      <x:c r="U147" s="98" t="str">
        <x:f>IF(OR(J147="",N147=""),"",IF(J147=N147,"No","Yes"))</x:f>
      </x:c>
      <x:c r="V147" s="98" t="n">
        <x:v>2</x:v>
      </x:c>
    </x:row>
    <x:row r="148" ht="54" hidden="0" customHeight="1">
      <x:c r="A148" s="38" t="str">
        <x:v>Q004::B07Q8BD3RS_review_2368085</x:v>
      </x:c>
      <x:c r="B148" s="38" t="str">
        <x:v>Q004</x:v>
      </x:c>
      <x:c r="C148" s="91" t="str">
        <x:v>Find a monitor with accurate colors and a sharp display for photo editing.</x:v>
      </x:c>
      <x:c r="D148" s="38" t="n">
        <x:v>30</x:v>
      </x:c>
      <x:c r="E148" s="38" t="str">
        <x:v>B07Q8BD3RS</x:v>
      </x:c>
      <x:c r="F148" s="38" t="str">
        <x:v>review</x:v>
      </x:c>
      <x:c r="G148" s="38" t="str">
        <x:v>design/appearance</x:v>
      </x:c>
      <x:c r="H148" s="38" t="str">
        <x:v>Camera &amp; Photo</x:v>
      </x:c>
      <x:c r="I148" s="91" t="str">
        <x:v>[Product: X-Rite i1 Pro 2 Line X-Rite 2nd Generation, Black (EO2AST) | ASIN: B07Q8BD3RS] I bought this specifically because I needed it to match my monitor colors to my printers. Keep in mind you must buy a monitor that can be able to produce accurate colors because I tried this with other monitors and laptops and the colors were better than from the box but it was not perfect for photo editing.</x:v>
      </x:c>
      <x:c r="J148" s="101" t="n">
        <x:v>0</x:v>
      </x:c>
      <x:c r="K148" s="92" t="str">
        <x:v>Human_Reviewer_01</x:v>
      </x:c>
      <x:c r="L148" s="92" t="str">
        <x:v>High</x:v>
      </x:c>
      <x:c r="M148" s="93" t="str">
        <x:v>This is a color-calibration device, not a monitor.</x:v>
      </x:c>
      <x:c r="N148" s="94"/>
      <x:c r="O148" s="94"/>
      <x:c r="P148" s="94"/>
      <x:c r="Q148" s="95"/>
      <x:c r="R148" s="96"/>
      <x:c r="S148" s="96"/>
      <x:c r="T148" s="97"/>
      <x:c r="U148" s="98" t="str">
        <x:f>IF(OR(J148="",N148=""),"",IF(J148=N148,"No","Yes"))</x:f>
      </x:c>
      <x:c r="V148" s="98" t="n">
        <x:v>0</x:v>
      </x:c>
    </x:row>
    <x:row r="149" ht="54" hidden="0" customHeight="1">
      <x:c r="A149" s="38" t="str">
        <x:v>Q004::B06XQ39Z7F_review_3947812</x:v>
      </x:c>
      <x:c r="B149" s="38" t="str">
        <x:v>Q004</x:v>
      </x:c>
      <x:c r="C149" s="91" t="str">
        <x:v>Find a monitor with accurate colors and a sharp display for photo editing.</x:v>
      </x:c>
      <x:c r="D149" s="38" t="n">
        <x:v>31</x:v>
      </x:c>
      <x:c r="E149" s="38" t="str">
        <x:v>B06XQ39Z7F</x:v>
      </x:c>
      <x:c r="F149" s="38" t="str">
        <x:v>review</x:v>
      </x:c>
      <x:c r="G149" s="38" t="str">
        <x:v>design/appearance</x:v>
      </x:c>
      <x:c r="H149" s="38" t="str">
        <x:v>Computers</x:v>
      </x:c>
      <x:c r="I149" s="91" t="str">
        <x:v>[Product: BenQ PD2710QC DesignVue 27 inch QHD 1440p IPS Monitor | USB-C |AQCOLOR Technology for Accurate Reproduction for Professionals | ASIN: B06XQ39Z7F] This BenQ monitor is absolutely gorgeous in design, resolution and color correctness. I found the colors to be accurate and consistent both before and after calibration.</x:v>
      </x:c>
      <x:c r="J149" s="101" t="n">
        <x:v>2</x:v>
      </x:c>
      <x:c r="K149" s="92" t="str">
        <x:v>Human_Reviewer_01</x:v>
      </x:c>
      <x:c r="L149" s="92" t="str">
        <x:v>High</x:v>
      </x:c>
      <x:c r="M149" s="93" t="str">
        <x:v>Monitor has accurate consistent colors and good resolution before and after calibration.</x:v>
      </x:c>
      <x:c r="N149" s="94"/>
      <x:c r="O149" s="94"/>
      <x:c r="P149" s="94"/>
      <x:c r="Q149" s="95"/>
      <x:c r="R149" s="96"/>
      <x:c r="S149" s="96"/>
      <x:c r="T149" s="97"/>
      <x:c r="U149" s="98" t="str">
        <x:f>IF(OR(J149="",N149=""),"",IF(J149=N149,"No","Yes"))</x:f>
      </x:c>
      <x:c r="V149" s="98" t="n">
        <x:v>2</x:v>
      </x:c>
    </x:row>
    <x:row r="150" ht="54" hidden="0" customHeight="1">
      <x:c r="A150" s="38" t="str">
        <x:v>Q004::B002R0JJYO_review_3275210</x:v>
      </x:c>
      <x:c r="B150" s="38" t="str">
        <x:v>Q004</x:v>
      </x:c>
      <x:c r="C150" s="91" t="str">
        <x:v>Find a monitor with accurate colors and a sharp display for photo editing.</x:v>
      </x:c>
      <x:c r="D150" s="38" t="n">
        <x:v>32</x:v>
      </x:c>
      <x:c r="E150" s="38" t="str">
        <x:v>B002R0JJYO</x:v>
      </x:c>
      <x:c r="F150" s="38" t="str">
        <x:v>review</x:v>
      </x:c>
      <x:c r="G150" s="38" t="str">
        <x:v>design/appearance</x:v>
      </x:c>
      <x:c r="H150" s="38" t="str">
        <x:v>Computers</x:v>
      </x:c>
      <x:c r="I150" s="91" t="str">
        <x:v>[Product: ViewSonic VP2365WB 23-Inch IPS LCD Monitor | ASIN: B002R0JJYO] you will get good accurate color. Apple, Eizo, NEC and Lacie might have a tiny edge on color accuracy - and I have worked on all of them - but for under $300, this Viewsonic makes good sense for a small business like mine. If you are a design professional on a budget, look no further than the Viewsonic VP2365wb. Perfect for community newspapers, print shops, in-house design shops and small PR/ad agencies.&lt;br /&gt;&lt;br /&gt;THREE I design more than 50 posters a year, mostly 11x17 and 12x18. Being able to see these designs in full or nearly-full size using the vertical pivot mode has been an incredible time-saver.</x:v>
      </x:c>
      <x:c r="J150" s="101" t="n">
        <x:v>2</x:v>
      </x:c>
      <x:c r="K150" s="92" t="str">
        <x:v>Human_Reviewer_01</x:v>
      </x:c>
      <x:c r="L150" s="92" t="str">
        <x:v>High</x:v>
      </x:c>
      <x:c r="M150" s="93" t="str">
        <x:v>Monitor explicitly provides accurate colors for professional design work.</x:v>
      </x:c>
      <x:c r="N150" s="94"/>
      <x:c r="O150" s="94"/>
      <x:c r="P150" s="94"/>
      <x:c r="Q150" s="95"/>
      <x:c r="R150" s="96"/>
      <x:c r="S150" s="96"/>
      <x:c r="T150" s="97"/>
      <x:c r="U150" s="98" t="str">
        <x:f>IF(OR(J150="",N150=""),"",IF(J150=N150,"No","Yes"))</x:f>
      </x:c>
      <x:c r="V150" s="98" t="n">
        <x:v>2</x:v>
      </x:c>
    </x:row>
    <x:row r="151" ht="54" hidden="0" customHeight="1">
      <x:c r="A151" s="38" t="str">
        <x:v>Q004::B0789LWBDD_review_4243666</x:v>
      </x:c>
      <x:c r="B151" s="38" t="str">
        <x:v>Q004</x:v>
      </x:c>
      <x:c r="C151" s="91" t="str">
        <x:v>Find a monitor with accurate colors and a sharp display for photo editing.</x:v>
      </x:c>
      <x:c r="D151" s="38" t="n">
        <x:v>33</x:v>
      </x:c>
      <x:c r="E151" s="38" t="str">
        <x:v>B0789LWBDD</x:v>
      </x:c>
      <x:c r="F151" s="38" t="str">
        <x:v>review</x:v>
      </x:c>
      <x:c r="G151" s="38" t="str">
        <x:v>design/appearance</x:v>
      </x:c>
      <x:c r="H151" s="38" t="str">
        <x:v>Computers</x:v>
      </x:c>
      <x:c r="I151" s="91" t="str">
        <x:v>[Product: HP DC276 Business Z31x 31.1" WLED LCD Monitor - 17:9-20 ms | ASIN: B0789LWBDD] I was able to use the menus and the built in color calibrator. The item prides itself on top notch color rendition. Color per se is actually not so terrible, but I found I had to use an independent i1Profiler calibrator to get a better result.</x:v>
      </x:c>
      <x:c r="J151" s="101" t="n">
        <x:v>2</x:v>
      </x:c>
      <x:c r="K151" s="92" t="str">
        <x:v>Human_Reviewer_01</x:v>
      </x:c>
      <x:c r="L151" s="92" t="str">
        <x:v>High</x:v>
      </x:c>
      <x:c r="M151" s="93" t="str">
        <x:v>Monitor color rendition benefits from independent calibration; the limitation is directly relevant.</x:v>
      </x:c>
      <x:c r="N151" s="94"/>
      <x:c r="O151" s="94"/>
      <x:c r="P151" s="94"/>
      <x:c r="Q151" s="95"/>
      <x:c r="R151" s="96"/>
      <x:c r="S151" s="96"/>
      <x:c r="T151" s="97"/>
      <x:c r="U151" s="98" t="str">
        <x:f>IF(OR(J151="",N151=""),"",IF(J151=N151,"No","Yes"))</x:f>
      </x:c>
      <x:c r="V151" s="98" t="n">
        <x:v>2</x:v>
      </x:c>
    </x:row>
    <x:row r="152" ht="54" hidden="0" customHeight="1">
      <x:c r="A152" s="38" t="str">
        <x:v>Q004::B0017UYBXO_review_1691134</x:v>
      </x:c>
      <x:c r="B152" s="38" t="str">
        <x:v>Q004</x:v>
      </x:c>
      <x:c r="C152" s="91" t="str">
        <x:v>Find a monitor with accurate colors and a sharp display for photo editing.</x:v>
      </x:c>
      <x:c r="D152" s="38" t="n">
        <x:v>34</x:v>
      </x:c>
      <x:c r="E152" s="38" t="str">
        <x:v>B0017UYBXO</x:v>
      </x:c>
      <x:c r="F152" s="38" t="str">
        <x:v>review</x:v>
      </x:c>
      <x:c r="G152" s="38" t="str">
        <x:v>design/appearance</x:v>
      </x:c>
      <x:c r="H152" s="38" t="str">
        <x:v>Camera &amp; Photo</x:v>
      </x:c>
      <x:c r="I152" s="91" t="str">
        <x:v>[Product: Sigma 70-200mm f/2.8 DG HSM II Macro Zoom Lens for Pentax Digital SLR Cameras | ASIN: B0017UYBXO] Colors are excellent and auto-focusing is nearly silent and as sharp and accurate as any other lens I have used.</x:v>
      </x:c>
      <x:c r="J152" s="101" t="n">
        <x:v>0</x:v>
      </x:c>
      <x:c r="K152" s="92" t="str">
        <x:v>Human_Reviewer_01</x:v>
      </x:c>
      <x:c r="L152" s="92" t="str">
        <x:v>High</x:v>
      </x:c>
      <x:c r="M152" s="93" t="str">
        <x:v>This is a camera lens, not a monitor.</x:v>
      </x:c>
      <x:c r="N152" s="94"/>
      <x:c r="O152" s="94"/>
      <x:c r="P152" s="94"/>
      <x:c r="Q152" s="95"/>
      <x:c r="R152" s="96"/>
      <x:c r="S152" s="96"/>
      <x:c r="T152" s="97"/>
      <x:c r="U152" s="98" t="str">
        <x:f>IF(OR(J152="",N152=""),"",IF(J152=N152,"No","Yes"))</x:f>
      </x:c>
      <x:c r="V152" s="98" t="n">
        <x:v>0</x:v>
      </x:c>
    </x:row>
    <x:row r="153" ht="54" hidden="0" customHeight="1">
      <x:c r="A153" s="38" t="str">
        <x:v>Q004::B01N5LH0Q8_review_277738</x:v>
      </x:c>
      <x:c r="B153" s="38" t="str">
        <x:v>Q004</x:v>
      </x:c>
      <x:c r="C153" s="91" t="str">
        <x:v>Find a monitor with accurate colors and a sharp display for photo editing.</x:v>
      </x:c>
      <x:c r="D153" s="38" t="n">
        <x:v>35</x:v>
      </x:c>
      <x:c r="E153" s="38" t="str">
        <x:v>B01N5LH0Q8</x:v>
      </x:c>
      <x:c r="F153" s="38" t="str">
        <x:v>review</x:v>
      </x:c>
      <x:c r="G153" s="38" t="str">
        <x:v>design/appearance</x:v>
      </x:c>
      <x:c r="H153" s="38" t="str">
        <x:v>Computers</x:v>
      </x:c>
      <x:c r="I153" s="91" t="str">
        <x:v>[Product: AOC C4008VU8 40” Curved LED Monitor, 4K, 16:9, 3840 x 2160 Res, 300 cd/m2, 5ms,VGA,(2) HDMI,(2) Display Port | ASIN: B01N5LH0Q8] After calibration colors are accurate and gradients are smooth with no banding visible in color ramps.&lt;br /&gt;A perfect size for photo editing.</x:v>
      </x:c>
      <x:c r="J153" s="101" t="n">
        <x:v>2</x:v>
      </x:c>
      <x:c r="K153" s="92" t="str">
        <x:v>Human_Reviewer_01</x:v>
      </x:c>
      <x:c r="L153" s="92" t="str">
        <x:v>High</x:v>
      </x:c>
      <x:c r="M153" s="93" t="str">
        <x:v>Monitor has accurate calibrated colors, smooth gradients, and photo-editing suitability.</x:v>
      </x:c>
      <x:c r="N153" s="94"/>
      <x:c r="O153" s="94"/>
      <x:c r="P153" s="94"/>
      <x:c r="Q153" s="95"/>
      <x:c r="R153" s="96"/>
      <x:c r="S153" s="96"/>
      <x:c r="T153" s="97"/>
      <x:c r="U153" s="98" t="str">
        <x:f>IF(OR(J153="",N153=""),"",IF(J153=N153,"No","Yes"))</x:f>
      </x:c>
      <x:c r="V153" s="98" t="n">
        <x:v>2</x:v>
      </x:c>
    </x:row>
    <x:row r="154" ht="54" hidden="0" customHeight="1">
      <x:c r="A154" s="38" t="str">
        <x:v>Q004::B0084FNAB4_review_1331864</x:v>
      </x:c>
      <x:c r="B154" s="38" t="str">
        <x:v>Q004</x:v>
      </x:c>
      <x:c r="C154" s="91" t="str">
        <x:v>Find a monitor with accurate colors and a sharp display for photo editing.</x:v>
      </x:c>
      <x:c r="D154" s="38" t="n">
        <x:v>36</x:v>
      </x:c>
      <x:c r="E154" s="38" t="str">
        <x:v>B0084FNAB4</x:v>
      </x:c>
      <x:c r="F154" s="38" t="str">
        <x:v>review</x:v>
      </x:c>
      <x:c r="G154" s="38" t="str">
        <x:v>general</x:v>
      </x:c>
      <x:c r="H154" s="38" t="str">
        <x:v>Computers</x:v>
      </x:c>
      <x:c r="I154" s="91" t="str">
        <x:v>[Product: ASUS PA248Q 24" ProArt Professional 1920x1200 IPS HDMI Eye Care Monitor,Black | ASIN: B0084FNAB4] I am very impressed with this monitor. I use it to edit pictures, and it was ready to use straight out of the box. Even as an amateur photographer, I am very particular about my photos and, with my laptop monitor, the editing process was arduous. It was not until I had this monitor that I discovered I truly had a great camera and I was not that bad of a photographer. Editing photos has now become a pleasure.</x:v>
      </x:c>
      <x:c r="J154" s="101" t="n">
        <x:v>1</x:v>
      </x:c>
      <x:c r="K154" s="92" t="str">
        <x:v>Human_Reviewer_01</x:v>
      </x:c>
      <x:c r="L154" s="92" t="str">
        <x:v>Medium</x:v>
      </x:c>
      <x:c r="M154" s="93" t="str">
        <x:v>Monitor improves the photo-editing experience, but color accuracy and image sharpness are not directly assessed.</x:v>
      </x:c>
      <x:c r="N154" s="94"/>
      <x:c r="O154" s="94"/>
      <x:c r="P154" s="94"/>
      <x:c r="Q154" s="95"/>
      <x:c r="R154" s="96"/>
      <x:c r="S154" s="96"/>
      <x:c r="T154" s="97"/>
      <x:c r="U154" s="98" t="str">
        <x:f>IF(OR(J154="",N154=""),"",IF(J154=N154,"No","Yes"))</x:f>
      </x:c>
      <x:c r="V154" s="98" t="n">
        <x:v>1</x:v>
      </x:c>
    </x:row>
    <x:row r="155" ht="54" hidden="0" customHeight="1">
      <x:c r="A155" s="38" t="str">
        <x:v>Q004::B07SQ3VKL5_review_1311127</x:v>
      </x:c>
      <x:c r="B155" s="38" t="str">
        <x:v>Q004</x:v>
      </x:c>
      <x:c r="C155" s="91" t="str">
        <x:v>Find a monitor with accurate colors and a sharp display for photo editing.</x:v>
      </x:c>
      <x:c r="D155" s="38" t="n">
        <x:v>37</x:v>
      </x:c>
      <x:c r="E155" s="38" t="str">
        <x:v>B07SQ3VKL5</x:v>
      </x:c>
      <x:c r="F155" s="38" t="str">
        <x:v>review</x:v>
      </x:c>
      <x:c r="G155" s="38" t="str">
        <x:v>design/appearance</x:v>
      </x:c>
      <x:c r="H155" s="38" t="str">
        <x:v>Computers</x:v>
      </x:c>
      <x:c r="I155" s="91" t="str">
        <x:v>[Product: HP 34f 34” Curved Monitor with AMD FreeSync Technology | Ultra-Wide Quad HD Resolution (3440 × 1440p), IPS Display, and 3-Sided Low Bezel, 1-Yr Warranty (6JM50AA) | ASIN: B07SQ3VKL5] Colors are well saturated without being overblown- perfect for syntax highlighting, graphics and light photo editing.</x:v>
      </x:c>
      <x:c r="J155" s="101" t="n">
        <x:v>2</x:v>
      </x:c>
      <x:c r="K155" s="92" t="str">
        <x:v>Human_Reviewer_01</x:v>
      </x:c>
      <x:c r="L155" s="92" t="str">
        <x:v>Medium</x:v>
      </x:c>
      <x:c r="M155" s="93" t="str">
        <x:v>Monitor provides balanced saturation for light photo editing, with QHD resolution in its title.</x:v>
      </x:c>
      <x:c r="N155" s="94"/>
      <x:c r="O155" s="94"/>
      <x:c r="P155" s="94"/>
      <x:c r="Q155" s="95"/>
      <x:c r="R155" s="96"/>
      <x:c r="S155" s="96"/>
      <x:c r="T155" s="97"/>
      <x:c r="U155" s="98" t="str">
        <x:f>IF(OR(J155="",N155=""),"",IF(J155=N155,"No","Yes"))</x:f>
      </x:c>
      <x:c r="V155" s="98" t="n">
        <x:v>2</x:v>
      </x:c>
    </x:row>
    <x:row r="156" ht="54" hidden="0" customHeight="1">
      <x:c r="A156" s="38" t="str">
        <x:v>Q004::B00J0DQDCM_review_739248</x:v>
      </x:c>
      <x:c r="B156" s="38" t="str">
        <x:v>Q004</x:v>
      </x:c>
      <x:c r="C156" s="91" t="str">
        <x:v>Find a monitor with accurate colors and a sharp display for photo editing.</x:v>
      </x:c>
      <x:c r="D156" s="38" t="n">
        <x:v>38</x:v>
      </x:c>
      <x:c r="E156" s="38" t="str">
        <x:v>B00J0DQDCM</x:v>
      </x:c>
      <x:c r="F156" s="38" t="str">
        <x:v>review</x:v>
      </x:c>
      <x:c r="G156" s="38" t="str">
        <x:v>design/appearance</x:v>
      </x:c>
      <x:c r="H156" s="38" t="str">
        <x:v>Computers</x:v>
      </x:c>
      <x:c r="I156" s="91" t="str">
        <x:v>[Product: ViewSonic VA2349S 23" IPS 1080p LED Monitor DVI, VGA | ASIN: B00J0DQDCM] Sharp, bright, accurate colors.</x:v>
      </x:c>
      <x:c r="J156" s="101" t="n">
        <x:v>2</x:v>
      </x:c>
      <x:c r="K156" s="92" t="str">
        <x:v>Human_Reviewer_01</x:v>
      </x:c>
      <x:c r="L156" s="92" t="str">
        <x:v>High</x:v>
      </x:c>
      <x:c r="M156" s="93" t="str">
        <x:v>Monitor is explicitly sharp with accurate colors.</x:v>
      </x:c>
      <x:c r="N156" s="94"/>
      <x:c r="O156" s="94"/>
      <x:c r="P156" s="94"/>
      <x:c r="Q156" s="95"/>
      <x:c r="R156" s="96"/>
      <x:c r="S156" s="96"/>
      <x:c r="T156" s="97"/>
      <x:c r="U156" s="98" t="str">
        <x:f>IF(OR(J156="",N156=""),"",IF(J156=N156,"No","Yes"))</x:f>
      </x:c>
      <x:c r="V156" s="98" t="n">
        <x:v>2</x:v>
      </x:c>
    </x:row>
    <x:row r="157" ht="54" hidden="0" customHeight="1">
      <x:c r="A157" s="38" t="str">
        <x:v>Q004::B00877ZOYK_review_3638003</x:v>
      </x:c>
      <x:c r="B157" s="38" t="str">
        <x:v>Q004</x:v>
      </x:c>
      <x:c r="C157" s="91" t="str">
        <x:v>Find a monitor with accurate colors and a sharp display for photo editing.</x:v>
      </x:c>
      <x:c r="D157" s="38" t="n">
        <x:v>39</x:v>
      </x:c>
      <x:c r="E157" s="38" t="str">
        <x:v>B00877ZOYK</x:v>
      </x:c>
      <x:c r="F157" s="38" t="str">
        <x:v>review</x:v>
      </x:c>
      <x:c r="G157" s="38" t="str">
        <x:v>general</x:v>
      </x:c>
      <x:c r="H157" s="38" t="str">
        <x:v>Computers</x:v>
      </x:c>
      <x:c r="I157" s="91" t="str">
        <x:v>[Product: Asus ProArt PA248Q 24.1 Inch LED Monitor | ASIN: B00877ZOYK] I purchased this for photo editing.</x:v>
      </x:c>
      <x:c r="J157" s="101" t="n">
        <x:v>1</x:v>
      </x:c>
      <x:c r="K157" s="92" t="str">
        <x:v>Human_Reviewer_01</x:v>
      </x:c>
      <x:c r="L157" s="92" t="str">
        <x:v>High</x:v>
      </x:c>
      <x:c r="M157" s="93" t="str">
        <x:v>Purchase for photo editing states intent without performance evidence.</x:v>
      </x:c>
      <x:c r="N157" s="94"/>
      <x:c r="O157" s="94"/>
      <x:c r="P157" s="94"/>
      <x:c r="Q157" s="95"/>
      <x:c r="R157" s="96"/>
      <x:c r="S157" s="96"/>
      <x:c r="T157" s="97"/>
      <x:c r="U157" s="98" t="str">
        <x:f>IF(OR(J157="",N157=""),"",IF(J157=N157,"No","Yes"))</x:f>
      </x:c>
      <x:c r="V157" s="98" t="n">
        <x:v>1</x:v>
      </x:c>
    </x:row>
    <x:row r="158" ht="54" hidden="0" customHeight="1">
      <x:c r="A158" s="38" t="str">
        <x:v>Q005::B008TYQI3C_review_250014</x:v>
      </x:c>
      <x:c r="B158" s="38" t="str">
        <x:v>Q005</x:v>
      </x:c>
      <x:c r="C158" s="91" t="str">
        <x:v>I need a monitor that is easy to set up and has reliable connectivity with a laptop.</x:v>
      </x:c>
      <x:c r="D158" s="38" t="n">
        <x:v>1</x:v>
      </x:c>
      <x:c r="E158" s="38" t="str">
        <x:v>B008TYQI3C</x:v>
      </x:c>
      <x:c r="F158" s="38" t="str">
        <x:v>review</x:v>
      </x:c>
      <x:c r="G158" s="38" t="str">
        <x:v>ease of use</x:v>
      </x:c>
      <x:c r="H158" s="38" t="str">
        <x:v>Computers</x:v>
      </x:c>
      <x:c r="I158" s="91" t="str">
        <x:v>[Product: Acer V173 DJOb 17-Inch Screen LCD Monitor,Black | ASIN: B008TYQI3C] Easy to setup and use.</x:v>
      </x:c>
      <x:c r="J158" s="101" t="n">
        <x:v>2</x:v>
      </x:c>
      <x:c r="K158" s="92" t="str">
        <x:v>Human_Reviewer_01</x:v>
      </x:c>
      <x:c r="L158" s="92" t="str">
        <x:v>High</x:v>
      </x:c>
      <x:c r="M158" s="93" t="str">
        <x:v>Computer monitor setup is explicitly easy; laptop connection reliability is untested.</x:v>
      </x:c>
      <x:c r="N158" s="94"/>
      <x:c r="O158" s="94"/>
      <x:c r="P158" s="94"/>
      <x:c r="Q158" s="95"/>
      <x:c r="R158" s="96"/>
      <x:c r="S158" s="96"/>
      <x:c r="T158" s="97"/>
      <x:c r="U158" s="98" t="str">
        <x:f>IF(OR(J158="",N158=""),"",IF(J158=N158,"No","Yes"))</x:f>
      </x:c>
      <x:c r="V158" s="98" t="n">
        <x:v>2</x:v>
      </x:c>
    </x:row>
    <x:row r="159" ht="54" hidden="0" customHeight="1">
      <x:c r="A159" s="38" t="str">
        <x:v>Q005::B006OE5JFW_review_2774734</x:v>
      </x:c>
      <x:c r="B159" s="38" t="str">
        <x:v>Q005</x:v>
      </x:c>
      <x:c r="C159" s="91" t="str">
        <x:v>I need a monitor that is easy to set up and has reliable connectivity with a laptop.</x:v>
      </x:c>
      <x:c r="D159" s="38" t="n">
        <x:v>2</x:v>
      </x:c>
      <x:c r="E159" s="38" t="str">
        <x:v>B006OE5JFW</x:v>
      </x:c>
      <x:c r="F159" s="38" t="str">
        <x:v>review</x:v>
      </x:c>
      <x:c r="G159" s="38" t="str">
        <x:v>ease of use</x:v>
      </x:c>
      <x:c r="H159" s="38" t="str">
        <x:v>Computers</x:v>
      </x:c>
      <x:c r="I159" s="91" t="str">
        <x:v>[Product: Dell IN2030M 20-Inch Screen LED-lit Monitor (Discontinued by Manufacturer) | ASIN: B006OE5JFW] I can say that set up was very easy, for both the stand and the laptop. I found that picture is very good, and is very easy to read text. The preset modes, make it very easy to have the best contrast for what ever you decide to use the monitor for.</x:v>
      </x:c>
      <x:c r="J159" s="101" t="n">
        <x:v>2</x:v>
      </x:c>
      <x:c r="K159" s="92" t="str">
        <x:v>Human_Reviewer_01</x:v>
      </x:c>
      <x:c r="L159" s="92" t="str">
        <x:v>High</x:v>
      </x:c>
      <x:c r="M159" s="93" t="str">
        <x:v>Monitor stand and laptop setup are explicitly easy.</x:v>
      </x:c>
      <x:c r="N159" s="94"/>
      <x:c r="O159" s="94"/>
      <x:c r="P159" s="94"/>
      <x:c r="Q159" s="95"/>
      <x:c r="R159" s="96"/>
      <x:c r="S159" s="96"/>
      <x:c r="T159" s="97"/>
      <x:c r="U159" s="98" t="str">
        <x:f>IF(OR(J159="",N159=""),"",IF(J159=N159,"No","Yes"))</x:f>
      </x:c>
      <x:c r="V159" s="98" t="n">
        <x:v>2</x:v>
      </x:c>
    </x:row>
    <x:row r="160" ht="54" hidden="0" customHeight="1">
      <x:c r="A160" s="38" t="str">
        <x:v>Q005::B00GJO7GOE_review_927524</x:v>
      </x:c>
      <x:c r="B160" s="38" t="str">
        <x:v>Q005</x:v>
      </x:c>
      <x:c r="C160" s="91" t="str">
        <x:v>I need a monitor that is easy to set up and has reliable connectivity with a laptop.</x:v>
      </x:c>
      <x:c r="D160" s="38" t="n">
        <x:v>3</x:v>
      </x:c>
      <x:c r="E160" s="38" t="str">
        <x:v>B00GJO7GOE</x:v>
      </x:c>
      <x:c r="F160" s="38" t="str">
        <x:v>review</x:v>
      </x:c>
      <x:c r="G160" s="38" t="str">
        <x:v>ease of use</x:v>
      </x:c>
      <x:c r="H160" s="38" t="str">
        <x:v>Computers</x:v>
      </x:c>
      <x:c r="I160" s="91" t="str">
        <x:v>[Product: HP Envy 23-Inch Screen LED-Lit Monitor | ASIN: B00GJO7GOE] Easy to set up and install and has a nice clean look. Easy to adjust height.</x:v>
      </x:c>
      <x:c r="J160" s="101" t="n">
        <x:v>2</x:v>
      </x:c>
      <x:c r="K160" s="92" t="str">
        <x:v>Human_Reviewer_01</x:v>
      </x:c>
      <x:c r="L160" s="92" t="str">
        <x:v>High</x:v>
      </x:c>
      <x:c r="M160" s="93" t="str">
        <x:v>Monitor setup and installation are explicitly easy.</x:v>
      </x:c>
      <x:c r="N160" s="94"/>
      <x:c r="O160" s="94"/>
      <x:c r="P160" s="94"/>
      <x:c r="Q160" s="95"/>
      <x:c r="R160" s="96"/>
      <x:c r="S160" s="96"/>
      <x:c r="T160" s="97"/>
      <x:c r="U160" s="98" t="str">
        <x:f>IF(OR(J160="",N160=""),"",IF(J160=N160,"No","Yes"))</x:f>
      </x:c>
      <x:c r="V160" s="98" t="n">
        <x:v>2</x:v>
      </x:c>
    </x:row>
    <x:row r="161" ht="54" hidden="0" customHeight="1">
      <x:c r="A161" s="38" t="str">
        <x:v>Q005::B000087LB8_review_215263</x:v>
      </x:c>
      <x:c r="B161" s="38" t="str">
        <x:v>Q005</x:v>
      </x:c>
      <x:c r="C161" s="91" t="str">
        <x:v>I need a monitor that is easy to set up and has reliable connectivity with a laptop.</x:v>
      </x:c>
      <x:c r="D161" s="38" t="n">
        <x:v>4</x:v>
      </x:c>
      <x:c r="E161" s="38" t="str">
        <x:v>B000087LB8</x:v>
      </x:c>
      <x:c r="F161" s="38" t="str">
        <x:v>review</x:v>
      </x:c>
      <x:c r="G161" s="38" t="str">
        <x:v>ease of use</x:v>
      </x:c>
      <x:c r="H161" s="38" t="str">
        <x:v>Computers</x:v>
      </x:c>
      <x:c r="I161" s="91" t="str">
        <x:v>[Product: ViewSonic VG900 19" LCD Monitor | ASIN: B000087LB8] Setting up is easy.</x:v>
      </x:c>
      <x:c r="J161" s="101" t="n">
        <x:v>2</x:v>
      </x:c>
      <x:c r="K161" s="92" t="str">
        <x:v>Human_Reviewer_01</x:v>
      </x:c>
      <x:c r="L161" s="92" t="str">
        <x:v>High</x:v>
      </x:c>
      <x:c r="M161" s="93" t="str">
        <x:v>Computer monitor setup is explicitly easy.</x:v>
      </x:c>
      <x:c r="N161" s="94"/>
      <x:c r="O161" s="94"/>
      <x:c r="P161" s="94"/>
      <x:c r="Q161" s="95"/>
      <x:c r="R161" s="96"/>
      <x:c r="S161" s="96"/>
      <x:c r="T161" s="97"/>
      <x:c r="U161" s="98" t="str">
        <x:f>IF(OR(J161="",N161=""),"",IF(J161=N161,"No","Yes"))</x:f>
      </x:c>
      <x:c r="V161" s="98" t="n">
        <x:v>2</x:v>
      </x:c>
    </x:row>
    <x:row r="162" ht="54" hidden="0" customHeight="1">
      <x:c r="A162" s="38" t="str">
        <x:v>Q005::B00DS18ZTG_review_1368523</x:v>
      </x:c>
      <x:c r="B162" s="38" t="str">
        <x:v>Q005</x:v>
      </x:c>
      <x:c r="C162" s="91" t="str">
        <x:v>I need a monitor that is easy to set up and has reliable connectivity with a laptop.</x:v>
      </x:c>
      <x:c r="D162" s="38" t="n">
        <x:v>5</x:v>
      </x:c>
      <x:c r="E162" s="38" t="str">
        <x:v>B00DS18ZTG</x:v>
      </x:c>
      <x:c r="F162" s="38" t="str">
        <x:v>review</x:v>
      </x:c>
      <x:c r="G162" s="38" t="str">
        <x:v>ease of use</x:v>
      </x:c>
      <x:c r="H162" s="38" t="str">
        <x:v>Computers</x:v>
      </x:c>
      <x:c r="I162" s="91" t="str">
        <x:v>[Product: Gechic 1502i 15.6” 1080p IPS Portable Touchscreen Monitor with HDMI, VGA Inputs | ASIN: B00DS18ZTG] It is easy to set up!</x:v>
      </x:c>
      <x:c r="J162" s="101" t="n">
        <x:v>2</x:v>
      </x:c>
      <x:c r="K162" s="92" t="str">
        <x:v>Human_Reviewer_01</x:v>
      </x:c>
      <x:c r="L162" s="92" t="str">
        <x:v>High</x:v>
      </x:c>
      <x:c r="M162" s="93" t="str">
        <x:v>Portable monitor setup is explicitly easy.</x:v>
      </x:c>
      <x:c r="N162" s="94"/>
      <x:c r="O162" s="94"/>
      <x:c r="P162" s="94"/>
      <x:c r="Q162" s="95"/>
      <x:c r="R162" s="96"/>
      <x:c r="S162" s="96"/>
      <x:c r="T162" s="97"/>
      <x:c r="U162" s="98" t="str">
        <x:f>IF(OR(J162="",N162=""),"",IF(J162=N162,"No","Yes"))</x:f>
      </x:c>
      <x:c r="V162" s="98" t="n">
        <x:v>2</x:v>
      </x:c>
    </x:row>
    <x:row r="163" ht="54" hidden="0" customHeight="1">
      <x:c r="A163" s="38" t="str">
        <x:v>Q005::B001ER6CCI_review_2889125</x:v>
      </x:c>
      <x:c r="B163" s="38" t="str">
        <x:v>Q005</x:v>
      </x:c>
      <x:c r="C163" s="91" t="str">
        <x:v>I need a monitor that is easy to set up and has reliable connectivity with a laptop.</x:v>
      </x:c>
      <x:c r="D163" s="38" t="n">
        <x:v>6</x:v>
      </x:c>
      <x:c r="E163" s="38" t="str">
        <x:v>B001ER6CCI</x:v>
      </x:c>
      <x:c r="F163" s="38" t="str">
        <x:v>review</x:v>
      </x:c>
      <x:c r="G163" s="38" t="str">
        <x:v>ease of use</x:v>
      </x:c>
      <x:c r="H163" s="38" t="str">
        <x:v>Computers</x:v>
      </x:c>
      <x:c r="I163" s="91" t="str">
        <x:v>[Product: Acer X183H b 18.5-Inch LCD Monitor | ASIN: B001ER6CCI] It was very easy to setup.</x:v>
      </x:c>
      <x:c r="J163" s="101" t="n">
        <x:v>2</x:v>
      </x:c>
      <x:c r="K163" s="92" t="str">
        <x:v>Human_Reviewer_01</x:v>
      </x:c>
      <x:c r="L163" s="92" t="str">
        <x:v>High</x:v>
      </x:c>
      <x:c r="M163" s="93" t="str">
        <x:v>Computer monitor setup is explicitly easy.</x:v>
      </x:c>
      <x:c r="N163" s="94"/>
      <x:c r="O163" s="94"/>
      <x:c r="P163" s="94"/>
      <x:c r="Q163" s="95"/>
      <x:c r="R163" s="96"/>
      <x:c r="S163" s="96"/>
      <x:c r="T163" s="97"/>
      <x:c r="U163" s="98" t="str">
        <x:f>IF(OR(J163="",N163=""),"",IF(J163=N163,"No","Yes"))</x:f>
      </x:c>
      <x:c r="V163" s="98" t="n">
        <x:v>2</x:v>
      </x:c>
    </x:row>
    <x:row r="164" ht="54" hidden="0" customHeight="1">
      <x:c r="A164" s="38" t="str">
        <x:v>Q005::B087R496R6_review_1245108</x:v>
      </x:c>
      <x:c r="B164" s="38" t="str">
        <x:v>Q005</x:v>
      </x:c>
      <x:c r="C164" s="91" t="str">
        <x:v>I need a monitor that is easy to set up and has reliable connectivity with a laptop.</x:v>
      </x:c>
      <x:c r="D164" s="38" t="n">
        <x:v>7</x:v>
      </x:c>
      <x:c r="E164" s="38" t="str">
        <x:v>B087R496R6</x:v>
      </x:c>
      <x:c r="F164" s="38" t="str">
        <x:v>review</x:v>
      </x:c>
      <x:c r="G164" s="38" t="str">
        <x:v>ease of use</x:v>
      </x:c>
      <x:c r="H164" s="38" t="str">
        <x:v>Computers</x:v>
      </x:c>
      <x:c r="I164" s="91" t="str">
        <x:v>[Product: Haloview M7108/RD7 7'' 720P HD Digital Wireless Rear View Monitor | ASIN: B087R496R6] I bought the side view marker light cameras and rear back up camera to go with it and mount to our 5th wheel camper.&lt;br /&gt;The entire system really works great and mounts easy in every case. It has an easy to set up software built in to the monitor .</x:v>
      </x:c>
      <x:c r="J164" s="101" t="n">
        <x:v>0</x:v>
      </x:c>
      <x:c r="K164" s="92" t="str">
        <x:v>Human_Reviewer_01</x:v>
      </x:c>
      <x:c r="L164" s="92" t="str">
        <x:v>High</x:v>
      </x:c>
      <x:c r="M164" s="93" t="str">
        <x:v>This is a vehicle rear-view monitor, not a laptop display.</x:v>
      </x:c>
      <x:c r="N164" s="94"/>
      <x:c r="O164" s="94"/>
      <x:c r="P164" s="94"/>
      <x:c r="Q164" s="95"/>
      <x:c r="R164" s="96"/>
      <x:c r="S164" s="96"/>
      <x:c r="T164" s="97"/>
      <x:c r="U164" s="98" t="str">
        <x:f>IF(OR(J164="",N164=""),"",IF(J164=N164,"No","Yes"))</x:f>
      </x:c>
      <x:c r="V164" s="98" t="n">
        <x:v>0</x:v>
      </x:c>
    </x:row>
    <x:row r="165" ht="54" hidden="0" customHeight="1">
      <x:c r="A165" s="38" t="str">
        <x:v>Q005::B07KFNMLSH_review_4146610</x:v>
      </x:c>
      <x:c r="B165" s="38" t="str">
        <x:v>Q005</x:v>
      </x:c>
      <x:c r="C165" s="91" t="str">
        <x:v>I need a monitor that is easy to set up and has reliable connectivity with a laptop.</x:v>
      </x:c>
      <x:c r="D165" s="38" t="n">
        <x:v>8</x:v>
      </x:c>
      <x:c r="E165" s="38" t="str">
        <x:v>B07KFNMLSH</x:v>
      </x:c>
      <x:c r="F165" s="38" t="str">
        <x:v>review</x:v>
      </x:c>
      <x:c r="G165" s="38" t="str">
        <x:v>ease of use</x:v>
      </x:c>
      <x:c r="H165" s="38" t="str">
        <x:v>Computers</x:v>
      </x:c>
      <x:c r="I165" s="91" t="str">
        <x:v>[Product: Fantom Drives 10TB External Hard Drive - 7200RPM USB 3.0/3.1 Gen 1 Aluminum Case - Mac, Windows, PS4, and Xbox (GF3B10000UP) (Renewed) | ASIN: B07KFNMLSH] It was easy to set up and has been reliable thus far.</x:v>
      </x:c>
      <x:c r="J165" s="101" t="n">
        <x:v>0</x:v>
      </x:c>
      <x:c r="K165" s="92" t="str">
        <x:v>Human_Reviewer_01</x:v>
      </x:c>
      <x:c r="L165" s="92" t="str">
        <x:v>High</x:v>
      </x:c>
      <x:c r="M165" s="93" t="str">
        <x:v>This is an external hard drive, not a monitor.</x:v>
      </x:c>
      <x:c r="N165" s="94"/>
      <x:c r="O165" s="94"/>
      <x:c r="P165" s="94"/>
      <x:c r="Q165" s="95"/>
      <x:c r="R165" s="96"/>
      <x:c r="S165" s="96"/>
      <x:c r="T165" s="97"/>
      <x:c r="U165" s="98" t="str">
        <x:f>IF(OR(J165="",N165=""),"",IF(J165=N165,"No","Yes"))</x:f>
      </x:c>
      <x:c r="V165" s="98" t="n">
        <x:v>0</x:v>
      </x:c>
    </x:row>
    <x:row r="166" ht="54" hidden="0" customHeight="1">
      <x:c r="A166" s="38" t="str">
        <x:v>Q005::B07W6QTHM9_review_1780981</x:v>
      </x:c>
      <x:c r="B166" s="38" t="str">
        <x:v>Q005</x:v>
      </x:c>
      <x:c r="C166" s="91" t="str">
        <x:v>I need a monitor that is easy to set up and has reliable connectivity with a laptop.</x:v>
      </x:c>
      <x:c r="D166" s="38" t="n">
        <x:v>9</x:v>
      </x:c>
      <x:c r="E166" s="38" t="str">
        <x:v>B07W6QTHM9</x:v>
      </x:c>
      <x:c r="F166" s="38" t="str">
        <x:v>review</x:v>
      </x:c>
      <x:c r="G166" s="38" t="str">
        <x:v>connectivity</x:v>
      </x:c>
      <x:c r="H166" s="38" t="str">
        <x:v>Cell Phones &amp; Accessories</x:v>
      </x:c>
      <x:c r="I166" s="91" t="str">
        <x:v>[Product: Garmin Tacx Neo 2T Smart Trainer | ASIN: B07W6QTHM9] Easy to set up and connect to my smart tablet. Easy to connect to various trainer software but sometimes hard to switch connectivity between software.</x:v>
      </x:c>
      <x:c r="J166" s="101" t="n">
        <x:v>0</x:v>
      </x:c>
      <x:c r="K166" s="92" t="str">
        <x:v>Human_Reviewer_01</x:v>
      </x:c>
      <x:c r="L166" s="92" t="str">
        <x:v>High</x:v>
      </x:c>
      <x:c r="M166" s="93" t="str">
        <x:v>This is an exercise trainer, not a monitor.</x:v>
      </x:c>
      <x:c r="N166" s="94"/>
      <x:c r="O166" s="94"/>
      <x:c r="P166" s="94"/>
      <x:c r="Q166" s="95"/>
      <x:c r="R166" s="96"/>
      <x:c r="S166" s="96"/>
      <x:c r="T166" s="97"/>
      <x:c r="U166" s="98" t="str">
        <x:f>IF(OR(J166="",N166=""),"",IF(J166=N166,"No","Yes"))</x:f>
      </x:c>
      <x:c r="V166" s="98" t="n">
        <x:v>0</x:v>
      </x:c>
    </x:row>
    <x:row r="167" ht="54" hidden="0" customHeight="1">
      <x:c r="A167" s="38" t="str">
        <x:v>Q005::B0756JG73H_review_2352889</x:v>
      </x:c>
      <x:c r="B167" s="38" t="str">
        <x:v>Q005</x:v>
      </x:c>
      <x:c r="C167" s="91" t="str">
        <x:v>I need a monitor that is easy to set up and has reliable connectivity with a laptop.</x:v>
      </x:c>
      <x:c r="D167" s="38" t="n">
        <x:v>10</x:v>
      </x:c>
      <x:c r="E167" s="38" t="str">
        <x:v>B0756JG73H</x:v>
      </x:c>
      <x:c r="F167" s="38" t="str">
        <x:v>review</x:v>
      </x:c>
      <x:c r="G167" s="38" t="str">
        <x:v>ease of use</x:v>
      </x:c>
      <x:c r="H167" s="38" t="str">
        <x:v>Camera &amp; Photo</x:v>
      </x:c>
      <x:c r="I167" s="91" t="str">
        <x:v>[Product: Driveway Monitor Model 1800 - Home Security protection for both indoors and outdoors. Has variable shutters that controls detection area. | ASIN: B0756JG73H] This unit is very easy to set up and use.</x:v>
      </x:c>
      <x:c r="J167" s="101" t="n">
        <x:v>0</x:v>
      </x:c>
      <x:c r="K167" s="92" t="str">
        <x:v>Human_Reviewer_01</x:v>
      </x:c>
      <x:c r="L167" s="92" t="str">
        <x:v>High</x:v>
      </x:c>
      <x:c r="M167" s="93" t="str">
        <x:v>This is a driveway detection device, not a computer display.</x:v>
      </x:c>
      <x:c r="N167" s="94"/>
      <x:c r="O167" s="94"/>
      <x:c r="P167" s="94"/>
      <x:c r="Q167" s="95"/>
      <x:c r="R167" s="96"/>
      <x:c r="S167" s="96"/>
      <x:c r="T167" s="97"/>
      <x:c r="U167" s="98" t="str">
        <x:f>IF(OR(J167="",N167=""),"",IF(J167=N167,"No","Yes"))</x:f>
      </x:c>
      <x:c r="V167" s="98" t="n">
        <x:v>0</x:v>
      </x:c>
    </x:row>
    <x:row r="168" ht="54" hidden="0" customHeight="1">
      <x:c r="A168" s="38" t="str">
        <x:v>Q005::B00127OUZQ_review_3228339</x:v>
      </x:c>
      <x:c r="B168" s="38" t="str">
        <x:v>Q005</x:v>
      </x:c>
      <x:c r="C168" s="91" t="str">
        <x:v>I need a monitor that is easy to set up and has reliable connectivity with a laptop.</x:v>
      </x:c>
      <x:c r="D168" s="38" t="n">
        <x:v>11</x:v>
      </x:c>
      <x:c r="E168" s="38" t="str">
        <x:v>B00127OUZQ</x:v>
      </x:c>
      <x:c r="F168" s="38" t="str">
        <x:v>review</x:v>
      </x:c>
      <x:c r="G168" s="38" t="str">
        <x:v>ease of use</x:v>
      </x:c>
      <x:c r="H168" s="38" t="str">
        <x:v>Computers</x:v>
      </x:c>
      <x:c r="I168" s="91" t="str">
        <x:v>[Product: HP L1710 17-inch LCD Monitor | ASIN: B00127OUZQ] Easy set up.</x:v>
      </x:c>
      <x:c r="J168" s="101" t="n">
        <x:v>2</x:v>
      </x:c>
      <x:c r="K168" s="92" t="str">
        <x:v>Human_Reviewer_01</x:v>
      </x:c>
      <x:c r="L168" s="92" t="str">
        <x:v>High</x:v>
      </x:c>
      <x:c r="M168" s="93" t="str">
        <x:v>Computer monitor setup is explicitly easy.</x:v>
      </x:c>
      <x:c r="N168" s="94"/>
      <x:c r="O168" s="94"/>
      <x:c r="P168" s="94"/>
      <x:c r="Q168" s="95"/>
      <x:c r="R168" s="96"/>
      <x:c r="S168" s="96"/>
      <x:c r="T168" s="97"/>
      <x:c r="U168" s="98" t="str">
        <x:f>IF(OR(J168="",N168=""),"",IF(J168=N168,"No","Yes"))</x:f>
      </x:c>
      <x:c r="V168" s="98" t="n">
        <x:v>2</x:v>
      </x:c>
    </x:row>
    <x:row r="169" ht="54" hidden="0" customHeight="1">
      <x:c r="A169" s="38" t="str">
        <x:v>Q005::B00TJQX9D6_review_2947925</x:v>
      </x:c>
      <x:c r="B169" s="38" t="str">
        <x:v>Q005</x:v>
      </x:c>
      <x:c r="C169" s="91" t="str">
        <x:v>I need a monitor that is easy to set up and has reliable connectivity with a laptop.</x:v>
      </x:c>
      <x:c r="D169" s="38" t="n">
        <x:v>12</x:v>
      </x:c>
      <x:c r="E169" s="38" t="str">
        <x:v>B00TJQX9D6</x:v>
      </x:c>
      <x:c r="F169" s="38" t="str">
        <x:v>review</x:v>
      </x:c>
      <x:c r="G169" s="38" t="str">
        <x:v>ease of use</x:v>
      </x:c>
      <x:c r="H169" s="38" t="str">
        <x:v>Computers</x:v>
      </x:c>
      <x:c r="I169" s="91" t="str">
        <x:v>[Product: HP Pavilion 22xw 21.5-in IPS LED Backlit Monitor | ASIN: B00TJQX9D6] Easy to get set up.</x:v>
      </x:c>
      <x:c r="J169" s="101" t="n">
        <x:v>2</x:v>
      </x:c>
      <x:c r="K169" s="92" t="str">
        <x:v>Human_Reviewer_01</x:v>
      </x:c>
      <x:c r="L169" s="92" t="str">
        <x:v>High</x:v>
      </x:c>
      <x:c r="M169" s="93" t="str">
        <x:v>Computer monitor setup is explicitly easy.</x:v>
      </x:c>
      <x:c r="N169" s="94"/>
      <x:c r="O169" s="94"/>
      <x:c r="P169" s="94"/>
      <x:c r="Q169" s="95"/>
      <x:c r="R169" s="96"/>
      <x:c r="S169" s="96"/>
      <x:c r="T169" s="97"/>
      <x:c r="U169" s="98" t="str">
        <x:f>IF(OR(J169="",N169=""),"",IF(J169=N169,"No","Yes"))</x:f>
      </x:c>
      <x:c r="V169" s="98" t="n">
        <x:v>2</x:v>
      </x:c>
    </x:row>
    <x:row r="170" ht="54" hidden="0" customHeight="1">
      <x:c r="A170" s="38" t="str">
        <x:v>Q005::B00SET896Q_review_3975807</x:v>
      </x:c>
      <x:c r="B170" s="38" t="str">
        <x:v>Q005</x:v>
      </x:c>
      <x:c r="C170" s="91" t="str">
        <x:v>I need a monitor that is easy to set up and has reliable connectivity with a laptop.</x:v>
      </x:c>
      <x:c r="D170" s="38" t="n">
        <x:v>13</x:v>
      </x:c>
      <x:c r="E170" s="38" t="str">
        <x:v>B00SET896Q</x:v>
      </x:c>
      <x:c r="F170" s="38" t="str">
        <x:v>review</x:v>
      </x:c>
      <x:c r="G170" s="38" t="str">
        <x:v>ease of use</x:v>
      </x:c>
      <x:c r="H170" s="38" t="str">
        <x:v>Computers</x:v>
      </x:c>
      <x:c r="I170" s="91" t="str">
        <x:v>[Product: HP Pavilion 27c Curved Monitor | ASIN: B00SET896Q] so I was very pleased at how easy it was to set up this monitor. The base was easy to assemble and then I just plugged in the cords where they needed to go. Turns out that it works great for those functions.&lt;br /&gt;&lt;br /&gt;Overall, an easy to assemble and hook up monitor that serves the purposes for which I wanted it beautifully.</x:v>
      </x:c>
      <x:c r="J170" s="101" t="n">
        <x:v>2</x:v>
      </x:c>
      <x:c r="K170" s="92" t="str">
        <x:v>Human_Reviewer_01</x:v>
      </x:c>
      <x:c r="L170" s="92" t="str">
        <x:v>High</x:v>
      </x:c>
      <x:c r="M170" s="93" t="str">
        <x:v>Monitor base assembly and cable hookup are straightforward.</x:v>
      </x:c>
      <x:c r="N170" s="94"/>
      <x:c r="O170" s="94"/>
      <x:c r="P170" s="94"/>
      <x:c r="Q170" s="95"/>
      <x:c r="R170" s="96"/>
      <x:c r="S170" s="96"/>
      <x:c r="T170" s="97"/>
      <x:c r="U170" s="98" t="str">
        <x:f>IF(OR(J170="",N170=""),"",IF(J170=N170,"No","Yes"))</x:f>
      </x:c>
      <x:c r="V170" s="98" t="n">
        <x:v>2</x:v>
      </x:c>
    </x:row>
    <x:row r="171" ht="54" hidden="0" customHeight="1">
      <x:c r="A171" s="38" t="str">
        <x:v>Q005::B07XQF72ZC_review_1620511</x:v>
      </x:c>
      <x:c r="B171" s="38" t="str">
        <x:v>Q005</x:v>
      </x:c>
      <x:c r="C171" s="91" t="str">
        <x:v>I need a monitor that is easy to set up and has reliable connectivity with a laptop.</x:v>
      </x:c>
      <x:c r="D171" s="38" t="n">
        <x:v>14</x:v>
      </x:c>
      <x:c r="E171" s="38" t="str">
        <x:v>B07XQF72ZC</x:v>
      </x:c>
      <x:c r="F171" s="38" t="str">
        <x:v>review</x:v>
      </x:c>
      <x:c r="G171" s="38" t="str">
        <x:v>ease of use</x:v>
      </x:c>
      <x:c r="H171" s="38" t="str">
        <x:v>Computers</x:v>
      </x:c>
      <x:c r="I171" s="91" t="str">
        <x:v>[Product: TP-Link AC2300 Wifi Router | ASIN: B07XQF72ZC] bedroom.&lt;br /&gt;&lt;br /&gt;The TP-Link AC2300 was easy to set up and provides the information I need to monitor the network.</x:v>
      </x:c>
      <x:c r="J171" s="101" t="n">
        <x:v>0</x:v>
      </x:c>
      <x:c r="K171" s="92" t="str">
        <x:v>Human_Reviewer_01</x:v>
      </x:c>
      <x:c r="L171" s="92" t="str">
        <x:v>High</x:v>
      </x:c>
      <x:c r="M171" s="93" t="str">
        <x:v>This is a router, not a monitor.</x:v>
      </x:c>
      <x:c r="N171" s="94"/>
      <x:c r="O171" s="94"/>
      <x:c r="P171" s="94"/>
      <x:c r="Q171" s="95"/>
      <x:c r="R171" s="96"/>
      <x:c r="S171" s="96"/>
      <x:c r="T171" s="97"/>
      <x:c r="U171" s="98" t="str">
        <x:f>IF(OR(J171="",N171=""),"",IF(J171=N171,"No","Yes"))</x:f>
      </x:c>
      <x:c r="V171" s="98" t="n">
        <x:v>0</x:v>
      </x:c>
    </x:row>
    <x:row r="172" ht="54" hidden="0" customHeight="1">
      <x:c r="A172" s="38" t="str">
        <x:v>Q005::B000BDDFZS_review_3033167</x:v>
      </x:c>
      <x:c r="B172" s="38" t="str">
        <x:v>Q005</x:v>
      </x:c>
      <x:c r="C172" s="91" t="str">
        <x:v>I need a monitor that is easy to set up and has reliable connectivity with a laptop.</x:v>
      </x:c>
      <x:c r="D172" s="38" t="n">
        <x:v>15</x:v>
      </x:c>
      <x:c r="E172" s="38" t="str">
        <x:v>B000BDDFZS</x:v>
      </x:c>
      <x:c r="F172" s="38" t="str">
        <x:v>review</x:v>
      </x:c>
      <x:c r="G172" s="38" t="str">
        <x:v>connectivity</x:v>
      </x:c>
      <x:c r="H172" s="38" t="str">
        <x:v>Computers</x:v>
      </x:c>
      <x:c r="I172" s="91" t="str">
        <x:v>[Product: HP L1706 17-inch LCD Monitor | ASIN: B000BDDFZS] Very easy to connect, it is seamless and very clear.</x:v>
      </x:c>
      <x:c r="J172" s="101" t="n">
        <x:v>2</x:v>
      </x:c>
      <x:c r="K172" s="92" t="str">
        <x:v>Human_Reviewer_01</x:v>
      </x:c>
      <x:c r="L172" s="92" t="str">
        <x:v>High</x:v>
      </x:c>
      <x:c r="M172" s="93" t="str">
        <x:v>Computer monitor connection is explicitly easy and seamless.</x:v>
      </x:c>
      <x:c r="N172" s="94"/>
      <x:c r="O172" s="94"/>
      <x:c r="P172" s="94"/>
      <x:c r="Q172" s="95"/>
      <x:c r="R172" s="96"/>
      <x:c r="S172" s="96"/>
      <x:c r="T172" s="97"/>
      <x:c r="U172" s="98" t="str">
        <x:f>IF(OR(J172="",N172=""),"",IF(J172=N172,"No","Yes"))</x:f>
      </x:c>
      <x:c r="V172" s="98" t="n">
        <x:v>2</x:v>
      </x:c>
    </x:row>
    <x:row r="173" ht="54" hidden="0" customHeight="1">
      <x:c r="A173" s="38" t="str">
        <x:v>Q005::B002ZVCGXQ_review_4202818</x:v>
      </x:c>
      <x:c r="B173" s="38" t="str">
        <x:v>Q005</x:v>
      </x:c>
      <x:c r="C173" s="91" t="str">
        <x:v>I need a monitor that is easy to set up and has reliable connectivity with a laptop.</x:v>
      </x:c>
      <x:c r="D173" s="38" t="n">
        <x:v>16</x:v>
      </x:c>
      <x:c r="E173" s="38" t="str">
        <x:v>B002ZVCGXQ</x:v>
      </x:c>
      <x:c r="F173" s="38" t="str">
        <x:v>review</x:v>
      </x:c>
      <x:c r="G173" s="38" t="str">
        <x:v>ease of use</x:v>
      </x:c>
      <x:c r="H173" s="38" t="str">
        <x:v>Computers</x:v>
      </x:c>
      <x:c r="I173" s="91" t="str">
        <x:v>[Product: ASUS MS238H - 23-Inch Wide LED Monitor | ASIN: B002ZVCGXQ] Monitor is light and easy to handle.&lt;br /&gt;o Easy to assemble and to set up despite meager instructions.&lt;br /&gt;o</x:v>
      </x:c>
      <x:c r="J173" s="101" t="n">
        <x:v>2</x:v>
      </x:c>
      <x:c r="K173" s="92" t="str">
        <x:v>Human_Reviewer_01</x:v>
      </x:c>
      <x:c r="L173" s="92" t="str">
        <x:v>High</x:v>
      </x:c>
      <x:c r="M173" s="93" t="str">
        <x:v>Monitor assembly and setup are easy despite sparse instructions.</x:v>
      </x:c>
      <x:c r="N173" s="94"/>
      <x:c r="O173" s="94"/>
      <x:c r="P173" s="94"/>
      <x:c r="Q173" s="95"/>
      <x:c r="R173" s="96"/>
      <x:c r="S173" s="96"/>
      <x:c r="T173" s="97"/>
      <x:c r="U173" s="98" t="str">
        <x:f>IF(OR(J173="",N173=""),"",IF(J173=N173,"No","Yes"))</x:f>
      </x:c>
      <x:c r="V173" s="98" t="n">
        <x:v>2</x:v>
      </x:c>
    </x:row>
    <x:row r="174" ht="54" hidden="0" customHeight="1">
      <x:c r="A174" s="38" t="str">
        <x:v>Q005::B00LM6LOCY_review_991226</x:v>
      </x:c>
      <x:c r="B174" s="38" t="str">
        <x:v>Q005</x:v>
      </x:c>
      <x:c r="C174" s="91" t="str">
        <x:v>I need a monitor that is easy to set up and has reliable connectivity with a laptop.</x:v>
      </x:c>
      <x:c r="D174" s="38" t="n">
        <x:v>17</x:v>
      </x:c>
      <x:c r="E174" s="38" t="str">
        <x:v>B00LM6LOCY</x:v>
      </x:c>
      <x:c r="F174" s="38" t="str">
        <x:v>review</x:v>
      </x:c>
      <x:c r="G174" s="38" t="str">
        <x:v>ease of use</x:v>
      </x:c>
      <x:c r="H174" s="38" t="str">
        <x:v>Computers</x:v>
      </x:c>
      <x:c r="I174" s="91" t="str">
        <x:v>[Product: Seagate NAS 2-Bay 8TB Network Attached Storage Drive (STCT8000100) | ASIN: B00LM6LOCY] With that in mind it was shockingly easy for me to get this Seagate NAS set up and going. It really is easy and you do not need any in depth technical knowledge to set this baby up. The interface is slick and easy to use and backups are a breeze. If you are running a small business or just looking to backup all your home files this is a great, easy to use, reliable option.</x:v>
      </x:c>
      <x:c r="J174" s="101" t="n">
        <x:v>0</x:v>
      </x:c>
      <x:c r="K174" s="92" t="str">
        <x:v>Human_Reviewer_01</x:v>
      </x:c>
      <x:c r="L174" s="92" t="str">
        <x:v>High</x:v>
      </x:c>
      <x:c r="M174" s="93" t="str">
        <x:v>This is network-attached storage, not a monitor.</x:v>
      </x:c>
      <x:c r="N174" s="94"/>
      <x:c r="O174" s="94"/>
      <x:c r="P174" s="94"/>
      <x:c r="Q174" s="95"/>
      <x:c r="R174" s="96"/>
      <x:c r="S174" s="96"/>
      <x:c r="T174" s="97"/>
      <x:c r="U174" s="98" t="str">
        <x:f>IF(OR(J174="",N174=""),"",IF(J174=N174,"No","Yes"))</x:f>
      </x:c>
      <x:c r="V174" s="98" t="n">
        <x:v>0</x:v>
      </x:c>
    </x:row>
    <x:row r="175" ht="54" hidden="0" customHeight="1">
      <x:c r="A175" s="38" t="str">
        <x:v>Q005::B077YHWWG8_review_3517064</x:v>
      </x:c>
      <x:c r="B175" s="38" t="str">
        <x:v>Q005</x:v>
      </x:c>
      <x:c r="C175" s="91" t="str">
        <x:v>I need a monitor that is easy to set up and has reliable connectivity with a laptop.</x:v>
      </x:c>
      <x:c r="D175" s="38" t="n">
        <x:v>18</x:v>
      </x:c>
      <x:c r="E175" s="38" t="str">
        <x:v>B077YHWWG8</x:v>
      </x:c>
      <x:c r="F175" s="38" t="str">
        <x:v>review</x:v>
      </x:c>
      <x:c r="G175" s="38" t="str">
        <x:v>connectivity</x:v>
      </x:c>
      <x:c r="H175" s="38" t="str">
        <x:v>Computers</x:v>
      </x:c>
      <x:c r="I175" s="91" t="str">
        <x:v>[Product: Acer CB351C 35" LED LCD Monitor - 21:9 - 4 ms | ASIN: B077YHWWG8] on time, was easy to set up and connect to desktop</x:v>
      </x:c>
      <x:c r="J175" s="101" t="n">
        <x:v>2</x:v>
      </x:c>
      <x:c r="K175" s="92" t="str">
        <x:v>Human_Reviewer_01</x:v>
      </x:c>
      <x:c r="L175" s="92" t="str">
        <x:v>High</x:v>
      </x:c>
      <x:c r="M175" s="93" t="str">
        <x:v>Monitor is easy to set up and connect; the reported host is a desktop, not a laptop.</x:v>
      </x:c>
      <x:c r="N175" s="94"/>
      <x:c r="O175" s="94"/>
      <x:c r="P175" s="94"/>
      <x:c r="Q175" s="95"/>
      <x:c r="R175" s="96"/>
      <x:c r="S175" s="96"/>
      <x:c r="T175" s="97"/>
      <x:c r="U175" s="98" t="str">
        <x:f>IF(OR(J175="",N175=""),"",IF(J175=N175,"No","Yes"))</x:f>
      </x:c>
      <x:c r="V175" s="98" t="n">
        <x:v>2</x:v>
      </x:c>
    </x:row>
    <x:row r="176" ht="54" hidden="0" customHeight="1">
      <x:c r="A176" s="38" t="str">
        <x:v>Q005::B0BHHM69NF_review_691879</x:v>
      </x:c>
      <x:c r="B176" s="38" t="str">
        <x:v>Q005</x:v>
      </x:c>
      <x:c r="C176" s="91" t="str">
        <x:v>I need a monitor that is easy to set up and has reliable connectivity with a laptop.</x:v>
      </x:c>
      <x:c r="D176" s="38" t="n">
        <x:v>19</x:v>
      </x:c>
      <x:c r="E176" s="38" t="str">
        <x:v>B0BHHM69NF</x:v>
      </x:c>
      <x:c r="F176" s="38" t="str">
        <x:v>review</x:v>
      </x:c>
      <x:c r="G176" s="38" t="str">
        <x:v>connectivity</x:v>
      </x:c>
      <x:c r="H176" s="38" t="str">
        <x:v>Computers</x:v>
      </x:c>
      <x:c r="I176" s="91" t="str">
        <x:v>[Product: Szory Portable Monitor for Laptop 15.6 Inch Frameless Eye Care 1080P IPS HDR USB-C Laptop Monitor HDMI Travel Monitor for PC Laptop Phone Switch PS4/5 Xbox with Speakers and Cover | ASIN: B0BHHM69NF] I Am very happy with it.&lt;br /&gt;The connections and the controls are easy to navigate and you receive all the cables you might need for hooking up to a larger monitor.</x:v>
      </x:c>
      <x:c r="J176" s="101" t="n">
        <x:v>2</x:v>
      </x:c>
      <x:c r="K176" s="92" t="str">
        <x:v>Human_Reviewer_01</x:v>
      </x:c>
      <x:c r="L176" s="92" t="str">
        <x:v>High</x:v>
      </x:c>
      <x:c r="M176" s="93" t="str">
        <x:v>Laptop monitor connections and controls are easy, with necessary cables included.</x:v>
      </x:c>
      <x:c r="N176" s="94"/>
      <x:c r="O176" s="94"/>
      <x:c r="P176" s="94"/>
      <x:c r="Q176" s="95"/>
      <x:c r="R176" s="96"/>
      <x:c r="S176" s="96"/>
      <x:c r="T176" s="97"/>
      <x:c r="U176" s="98" t="str">
        <x:f>IF(OR(J176="",N176=""),"",IF(J176=N176,"No","Yes"))</x:f>
      </x:c>
      <x:c r="V176" s="98" t="n">
        <x:v>2</x:v>
      </x:c>
    </x:row>
    <x:row r="177" ht="54" hidden="0" customHeight="1">
      <x:c r="A177" s="38" t="str">
        <x:v>Q005::B003VWXWWC_review_2534612</x:v>
      </x:c>
      <x:c r="B177" s="38" t="str">
        <x:v>Q005</x:v>
      </x:c>
      <x:c r="C177" s="91" t="str">
        <x:v>I need a monitor that is easy to set up and has reliable connectivity with a laptop.</x:v>
      </x:c>
      <x:c r="D177" s="38" t="n">
        <x:v>20</x:v>
      </x:c>
      <x:c r="E177" s="38" t="str">
        <x:v>B003VWXWWC</x:v>
      </x:c>
      <x:c r="F177" s="38" t="str">
        <x:v>review</x:v>
      </x:c>
      <x:c r="G177" s="38" t="str">
        <x:v>ease of use</x:v>
      </x:c>
      <x:c r="H177" s="38" t="str">
        <x:v>Computers</x:v>
      </x:c>
      <x:c r="I177" s="91" t="str">
        <x:v>[Product: AOC 2770VH1 27-Inch LCD Monitor | ASIN: B003VWXWWC] Easy to set up, basically plug and play.</x:v>
      </x:c>
      <x:c r="J177" s="101" t="n">
        <x:v>2</x:v>
      </x:c>
      <x:c r="K177" s="92" t="str">
        <x:v>Human_Reviewer_01</x:v>
      </x:c>
      <x:c r="L177" s="92" t="str">
        <x:v>High</x:v>
      </x:c>
      <x:c r="M177" s="93" t="str">
        <x:v>Monitor setup is explicitly plug-and-play.</x:v>
      </x:c>
      <x:c r="N177" s="94"/>
      <x:c r="O177" s="94"/>
      <x:c r="P177" s="94"/>
      <x:c r="Q177" s="95"/>
      <x:c r="R177" s="96"/>
      <x:c r="S177" s="96"/>
      <x:c r="T177" s="97"/>
      <x:c r="U177" s="98" t="str">
        <x:f>IF(OR(J177="",N177=""),"",IF(J177=N177,"No","Yes"))</x:f>
      </x:c>
      <x:c r="V177" s="98" t="n">
        <x:v>2</x:v>
      </x:c>
    </x:row>
    <x:row r="178" ht="54" hidden="0" customHeight="1">
      <x:c r="A178" s="38" t="str">
        <x:v>Q005::B006HIKIG0_review_48618</x:v>
      </x:c>
      <x:c r="B178" s="38" t="str">
        <x:v>Q005</x:v>
      </x:c>
      <x:c r="C178" s="91" t="str">
        <x:v>I need a monitor that is easy to set up and has reliable connectivity with a laptop.</x:v>
      </x:c>
      <x:c r="D178" s="38" t="n">
        <x:v>21</x:v>
      </x:c>
      <x:c r="E178" s="38" t="str">
        <x:v>B006HIKIG0</x:v>
      </x:c>
      <x:c r="F178" s="38" t="str">
        <x:v>review</x:v>
      </x:c>
      <x:c r="G178" s="38" t="str">
        <x:v>ease of use</x:v>
      </x:c>
      <x:c r="H178" s="38" t="str">
        <x:v>Computers</x:v>
      </x:c>
      <x:c r="I178" s="91" t="str">
        <x:v>[Product: BenQ XL2420T Professional Gaming Monitor | ASIN: B006HIKIG0] The monitor is easy to set up and has a lot of cool features.</x:v>
      </x:c>
      <x:c r="J178" s="101" t="n">
        <x:v>2</x:v>
      </x:c>
      <x:c r="K178" s="92" t="str">
        <x:v>Human_Reviewer_01</x:v>
      </x:c>
      <x:c r="L178" s="92" t="str">
        <x:v>High</x:v>
      </x:c>
      <x:c r="M178" s="93" t="str">
        <x:v>Computer monitor setup is explicitly easy.</x:v>
      </x:c>
      <x:c r="N178" s="94"/>
      <x:c r="O178" s="94"/>
      <x:c r="P178" s="94"/>
      <x:c r="Q178" s="95"/>
      <x:c r="R178" s="96"/>
      <x:c r="S178" s="96"/>
      <x:c r="T178" s="97"/>
      <x:c r="U178" s="98" t="str">
        <x:f>IF(OR(J178="",N178=""),"",IF(J178=N178,"No","Yes"))</x:f>
      </x:c>
      <x:c r="V178" s="98" t="n">
        <x:v>2</x:v>
      </x:c>
    </x:row>
    <x:row r="179" ht="54" hidden="0" customHeight="1">
      <x:c r="A179" s="38" t="str">
        <x:v>Q005::B091BJ4CKX_review_2269173</x:v>
      </x:c>
      <x:c r="B179" s="38" t="str">
        <x:v>Q005</x:v>
      </x:c>
      <x:c r="C179" s="91" t="str">
        <x:v>I need a monitor that is easy to set up and has reliable connectivity with a laptop.</x:v>
      </x:c>
      <x:c r="D179" s="38" t="n">
        <x:v>22</x:v>
      </x:c>
      <x:c r="E179" s="38" t="str">
        <x:v>B091BJ4CKX</x:v>
      </x:c>
      <x:c r="F179" s="38" t="str">
        <x:v>review</x:v>
      </x:c>
      <x:c r="G179" s="38" t="str">
        <x:v>ease of use</x:v>
      </x:c>
      <x:c r="H179" s="38" t="str">
        <x:v>Computers</x:v>
      </x:c>
      <x:c r="I179" s="91" t="str">
        <x:v>[Product: Dell U4021QW UltraSharp 40-inch Curved WUHD Monitor | ASIN: B091BJ4CKX] Easy to take out and setup.&lt;br /&gt;&lt;br /&gt;-&lt;br /&gt;&lt;br</x:v>
      </x:c>
      <x:c r="J179" s="101" t="n">
        <x:v>2</x:v>
      </x:c>
      <x:c r="K179" s="92" t="str">
        <x:v>Human_Reviewer_01</x:v>
      </x:c>
      <x:c r="L179" s="92" t="str">
        <x:v>High</x:v>
      </x:c>
      <x:c r="M179" s="93" t="str">
        <x:v>Computer monitor unpacking and setup are explicitly easy.</x:v>
      </x:c>
      <x:c r="N179" s="94"/>
      <x:c r="O179" s="94"/>
      <x:c r="P179" s="94"/>
      <x:c r="Q179" s="95"/>
      <x:c r="R179" s="96"/>
      <x:c r="S179" s="96"/>
      <x:c r="T179" s="97"/>
      <x:c r="U179" s="98" t="str">
        <x:f>IF(OR(J179="",N179=""),"",IF(J179=N179,"No","Yes"))</x:f>
      </x:c>
      <x:c r="V179" s="98" t="n">
        <x:v>2</x:v>
      </x:c>
    </x:row>
    <x:row r="180" ht="54" hidden="0" customHeight="1">
      <x:c r="A180" s="38" t="str">
        <x:v>Q005::B008YQR8IY_review_4056290</x:v>
      </x:c>
      <x:c r="B180" s="38" t="str">
        <x:v>Q005</x:v>
      </x:c>
      <x:c r="C180" s="91" t="str">
        <x:v>I need a monitor that is easy to set up and has reliable connectivity with a laptop.</x:v>
      </x:c>
      <x:c r="D180" s="38" t="n">
        <x:v>23</x:v>
      </x:c>
      <x:c r="E180" s="38" t="str">
        <x:v>B008YQR8IY</x:v>
      </x:c>
      <x:c r="F180" s="38" t="str">
        <x:v>review</x:v>
      </x:c>
      <x:c r="G180" s="38" t="str">
        <x:v>ease of use</x:v>
      </x:c>
      <x:c r="H180" s="38" t="str">
        <x:v>Camera &amp; Photo</x:v>
      </x:c>
      <x:c r="I180" s="91" t="str">
        <x:v>[Product: Q-See QC448-840-5 8-Channel Surveillance System with 500 GB Hard Drive and 8 Weatherproof Color CCD Cameras, Black | ASIN: B008YQR8IY] /&gt;It is easy to set up physically. The DVR itself is easy to set up - you will need to plug it in, though, to a monitor or a television. It is easy to set up, even if there is a bit of a learning curve when it comes to setting it up for remote viewing.</x:v>
      </x:c>
      <x:c r="J180" s="101" t="n">
        <x:v>0</x:v>
      </x:c>
      <x:c r="K180" s="92" t="str">
        <x:v>Human_Reviewer_01</x:v>
      </x:c>
      <x:c r="L180" s="92" t="str">
        <x:v>High</x:v>
      </x:c>
      <x:c r="M180" s="93" t="str">
        <x:v>This is a surveillance system requiring an external display, not a monitor.</x:v>
      </x:c>
      <x:c r="N180" s="94"/>
      <x:c r="O180" s="94"/>
      <x:c r="P180" s="94"/>
      <x:c r="Q180" s="95"/>
      <x:c r="R180" s="96"/>
      <x:c r="S180" s="96"/>
      <x:c r="T180" s="97"/>
      <x:c r="U180" s="98" t="str">
        <x:f>IF(OR(J180="",N180=""),"",IF(J180=N180,"No","Yes"))</x:f>
      </x:c>
      <x:c r="V180" s="98" t="n">
        <x:v>0</x:v>
      </x:c>
    </x:row>
    <x:row r="181" ht="54" hidden="0" customHeight="1">
      <x:c r="A181" s="38" t="str">
        <x:v>Q005::B07BNBHRN3_review_3409773</x:v>
      </x:c>
      <x:c r="B181" s="38" t="str">
        <x:v>Q005</x:v>
      </x:c>
      <x:c r="C181" s="91" t="str">
        <x:v>I need a monitor that is easy to set up and has reliable connectivity with a laptop.</x:v>
      </x:c>
      <x:c r="D181" s="38" t="n">
        <x:v>24</x:v>
      </x:c>
      <x:c r="E181" s="38" t="str">
        <x:v>B07BNBHRN3</x:v>
      </x:c>
      <x:c r="F181" s="38" t="str">
        <x:v>review</x:v>
      </x:c>
      <x:c r="G181" s="38" t="str">
        <x:v>connectivity</x:v>
      </x:c>
      <x:c r="H181" s="38" t="str">
        <x:v>Computers</x:v>
      </x:c>
      <x:c r="I181" s="91" t="str">
        <x:v>[Product: CORSAIR HS70 WIRELESS Gaming Headset, Carbon | ASIN: B07BNBHRN3] That was really important to him. It was easy to set up and held a reliable connection and remarked on the microphone quality as it all just worked well!</x:v>
      </x:c>
      <x:c r="J181" s="101" t="n">
        <x:v>0</x:v>
      </x:c>
      <x:c r="K181" s="92" t="str">
        <x:v>Human_Reviewer_01</x:v>
      </x:c>
      <x:c r="L181" s="92" t="str">
        <x:v>High</x:v>
      </x:c>
      <x:c r="M181" s="93" t="str">
        <x:v>This is a gaming headset, not a monitor.</x:v>
      </x:c>
      <x:c r="N181" s="94"/>
      <x:c r="O181" s="94"/>
      <x:c r="P181" s="94"/>
      <x:c r="Q181" s="95"/>
      <x:c r="R181" s="96"/>
      <x:c r="S181" s="96"/>
      <x:c r="T181" s="97"/>
      <x:c r="U181" s="98" t="str">
        <x:f>IF(OR(J181="",N181=""),"",IF(J181=N181,"No","Yes"))</x:f>
      </x:c>
      <x:c r="V181" s="98" t="n">
        <x:v>0</x:v>
      </x:c>
    </x:row>
    <x:row r="182" ht="54" hidden="0" customHeight="1">
      <x:c r="A182" s="38" t="str">
        <x:v>Q005::B0013AHADQ_review_2517926</x:v>
      </x:c>
      <x:c r="B182" s="38" t="str">
        <x:v>Q005</x:v>
      </x:c>
      <x:c r="C182" s="91" t="str">
        <x:v>I need a monitor that is easy to set up and has reliable connectivity with a laptop.</x:v>
      </x:c>
      <x:c r="D182" s="38" t="n">
        <x:v>25</x:v>
      </x:c>
      <x:c r="E182" s="38" t="str">
        <x:v>B0013AHADQ</x:v>
      </x:c>
      <x:c r="F182" s="38" t="str">
        <x:v>review</x:v>
      </x:c>
      <x:c r="G182" s="38" t="str">
        <x:v>ease of use</x:v>
      </x:c>
      <x:c r="H182" s="38" t="str">
        <x:v>Computers</x:v>
      </x:c>
      <x:c r="I182" s="91" t="str">
        <x:v>[Product: HP W2408H 24-inch Widescreen LCD Monitor | ASIN: B0013AHADQ] It was easy to set up until speaker setup was started. This monitor has wonderful color and is easy to read.</x:v>
      </x:c>
      <x:c r="J182" s="101" t="n">
        <x:v>2</x:v>
      </x:c>
      <x:c r="K182" s="92" t="str">
        <x:v>Human_Reviewer_01</x:v>
      </x:c>
      <x:c r="L182" s="92" t="str">
        <x:v>High</x:v>
      </x:c>
      <x:c r="M182" s="93" t="str">
        <x:v>Monitor setup is mostly easy, with a speaker-setup difficulty; useful mixed evidence.</x:v>
      </x:c>
      <x:c r="N182" s="94"/>
      <x:c r="O182" s="94"/>
      <x:c r="P182" s="94"/>
      <x:c r="Q182" s="95"/>
      <x:c r="R182" s="96"/>
      <x:c r="S182" s="96"/>
      <x:c r="T182" s="97"/>
      <x:c r="U182" s="98" t="str">
        <x:f>IF(OR(J182="",N182=""),"",IF(J182=N182,"No","Yes"))</x:f>
      </x:c>
      <x:c r="V182" s="98" t="n">
        <x:v>2</x:v>
      </x:c>
    </x:row>
    <x:row r="183" ht="54" hidden="0" customHeight="1">
      <x:c r="A183" s="38" t="str">
        <x:v>Q005::B00358XT5W_review_3040368</x:v>
      </x:c>
      <x:c r="B183" s="38" t="str">
        <x:v>Q005</x:v>
      </x:c>
      <x:c r="C183" s="91" t="str">
        <x:v>I need a monitor that is easy to set up and has reliable connectivity with a laptop.</x:v>
      </x:c>
      <x:c r="D183" s="38" t="n">
        <x:v>26</x:v>
      </x:c>
      <x:c r="E183" s="38" t="str">
        <x:v>B00358XT5W</x:v>
      </x:c>
      <x:c r="F183" s="38" t="str">
        <x:v>review</x:v>
      </x:c>
      <x:c r="G183" s="38" t="str">
        <x:v>ease of use</x:v>
      </x:c>
      <x:c r="H183" s="38" t="str">
        <x:v>Computers</x:v>
      </x:c>
      <x:c r="I183" s="91" t="str">
        <x:v>[Product: Acer AS5732Z-4867 15.6-Inch HD Display Laptop (Black) | ASIN: B00358XT5W] I have not found a good use for any of the products yet, and will eventually have to consider uninstalling each item. Wireless was easy to set up and has been reliable with good range.</x:v>
      </x:c>
      <x:c r="J183" s="101" t="n">
        <x:v>0</x:v>
      </x:c>
      <x:c r="K183" s="92" t="str">
        <x:v>Human_Reviewer_01</x:v>
      </x:c>
      <x:c r="L183" s="92" t="str">
        <x:v>High</x:v>
      </x:c>
      <x:c r="M183" s="93" t="str">
        <x:v>This is a laptop, not an external monitor.</x:v>
      </x:c>
      <x:c r="N183" s="94"/>
      <x:c r="O183" s="94"/>
      <x:c r="P183" s="94"/>
      <x:c r="Q183" s="95"/>
      <x:c r="R183" s="96"/>
      <x:c r="S183" s="96"/>
      <x:c r="T183" s="97"/>
      <x:c r="U183" s="98" t="str">
        <x:f>IF(OR(J183="",N183=""),"",IF(J183=N183,"No","Yes"))</x:f>
      </x:c>
      <x:c r="V183" s="98" t="n">
        <x:v>0</x:v>
      </x:c>
    </x:row>
    <x:row r="184" ht="54" hidden="0" customHeight="1">
      <x:c r="A184" s="38" t="str">
        <x:v>Q005::B0BHHM69NF_review_691847</x:v>
      </x:c>
      <x:c r="B184" s="38" t="str">
        <x:v>Q005</x:v>
      </x:c>
      <x:c r="C184" s="91" t="str">
        <x:v>I need a monitor that is easy to set up and has reliable connectivity with a laptop.</x:v>
      </x:c>
      <x:c r="D184" s="38" t="n">
        <x:v>27</x:v>
      </x:c>
      <x:c r="E184" s="38" t="str">
        <x:v>B0BHHM69NF</x:v>
      </x:c>
      <x:c r="F184" s="38" t="str">
        <x:v>review</x:v>
      </x:c>
      <x:c r="G184" s="38" t="str">
        <x:v>general</x:v>
      </x:c>
      <x:c r="H184" s="38" t="str">
        <x:v>Computers</x:v>
      </x:c>
      <x:c r="I184" s="91" t="str">
        <x:v>[Product: Szory Portable Monitor for Laptop 15.6 Inch Frameless Eye Care 1080P IPS HDR USB-C Laptop Monitor HDMI Travel Monitor for PC Laptop Phone Switch PS4/5 Xbox with Speakers and Cover | ASIN: B0BHHM69NF] No set-up needed just plug in to my laptop and I can easily work from anywhere.</x:v>
      </x:c>
      <x:c r="J184" s="101" t="n">
        <x:v>2</x:v>
      </x:c>
      <x:c r="K184" s="92" t="str">
        <x:v>Human_Reviewer_01</x:v>
      </x:c>
      <x:c r="L184" s="92" t="str">
        <x:v>High</x:v>
      </x:c>
      <x:c r="M184" s="93" t="str">
        <x:v>Monitor works by plugging directly into a laptop without setup.</x:v>
      </x:c>
      <x:c r="N184" s="94"/>
      <x:c r="O184" s="94"/>
      <x:c r="P184" s="94"/>
      <x:c r="Q184" s="95"/>
      <x:c r="R184" s="96"/>
      <x:c r="S184" s="96"/>
      <x:c r="T184" s="97"/>
      <x:c r="U184" s="98" t="str">
        <x:f>IF(OR(J184="",N184=""),"",IF(J184=N184,"No","Yes"))</x:f>
      </x:c>
      <x:c r="V184" s="98" t="n">
        <x:v>2</x:v>
      </x:c>
    </x:row>
    <x:row r="185" ht="54" hidden="0" customHeight="1">
      <x:c r="A185" s="38" t="str">
        <x:v>Q005::B0BHHM69NF_review_691835</x:v>
      </x:c>
      <x:c r="B185" s="38" t="str">
        <x:v>Q005</x:v>
      </x:c>
      <x:c r="C185" s="91" t="str">
        <x:v>I need a monitor that is easy to set up and has reliable connectivity with a laptop.</x:v>
      </x:c>
      <x:c r="D185" s="38" t="n">
        <x:v>28</x:v>
      </x:c>
      <x:c r="E185" s="38" t="str">
        <x:v>B0BHHM69NF</x:v>
      </x:c>
      <x:c r="F185" s="38" t="str">
        <x:v>review</x:v>
      </x:c>
      <x:c r="G185" s="38" t="str">
        <x:v>ease of use</x:v>
      </x:c>
      <x:c r="H185" s="38" t="str">
        <x:v>Computers</x:v>
      </x:c>
      <x:c r="I185" s="91" t="str">
        <x:v>[Product: Szory Portable Monitor for Laptop 15.6 Inch Frameless Eye Care 1080P IPS HDR USB-C Laptop Monitor HDMI Travel Monitor for PC Laptop Phone Switch PS4/5 Xbox with Speakers and Cover | ASIN: B0BHHM69NF] So, I set everything up, I found it easy to understand. It is easy to access and is extremely intuitive. My only extremely minor gripe with the whole setup is that the cover and monitor are so thin, it can easily flex if you are rough with it</x:v>
      </x:c>
      <x:c r="J185" s="101" t="n">
        <x:v>2</x:v>
      </x:c>
      <x:c r="K185" s="92" t="str">
        <x:v>Human_Reviewer_01</x:v>
      </x:c>
      <x:c r="L185" s="92" t="str">
        <x:v>High</x:v>
      </x:c>
      <x:c r="M185" s="93" t="str">
        <x:v>Laptop monitor setup is understandable and intuitive; physical flex is also noted.</x:v>
      </x:c>
      <x:c r="N185" s="94"/>
      <x:c r="O185" s="94"/>
      <x:c r="P185" s="94"/>
      <x:c r="Q185" s="95"/>
      <x:c r="R185" s="96"/>
      <x:c r="S185" s="96"/>
      <x:c r="T185" s="97"/>
      <x:c r="U185" s="98" t="str">
        <x:f>IF(OR(J185="",N185=""),"",IF(J185=N185,"No","Yes"))</x:f>
      </x:c>
      <x:c r="V185" s="98" t="n">
        <x:v>2</x:v>
      </x:c>
    </x:row>
    <x:row r="186" ht="54" hidden="0" customHeight="1">
      <x:c r="A186" s="38" t="str">
        <x:v>Q005::B098RP15P4_review_161107</x:v>
      </x:c>
      <x:c r="B186" s="38" t="str">
        <x:v>Q005</x:v>
      </x:c>
      <x:c r="C186" s="91" t="str">
        <x:v>I need a monitor that is easy to set up and has reliable connectivity with a laptop.</x:v>
      </x:c>
      <x:c r="D186" s="38" t="n">
        <x:v>29</x:v>
      </x:c>
      <x:c r="E186" s="38" t="str">
        <x:v>B098RP15P4</x:v>
      </x:c>
      <x:c r="F186" s="38" t="str">
        <x:v>review</x:v>
      </x:c>
      <x:c r="G186" s="38" t="str">
        <x:v>ease of use</x:v>
      </x:c>
      <x:c r="H186" s="38" t="str">
        <x:v>Computers</x:v>
      </x:c>
      <x:c r="I186" s="91" t="str">
        <x:v>[Product: ViewSonic VA951S 19 Inch IPS 1024p LED Monitor with DVI VGA and Enhanced Viewing Comfort, Black | ASIN: B098RP15P4] The monitor was easy to setup and connect with my laptop.</x:v>
      </x:c>
      <x:c r="J186" s="101" t="n">
        <x:v>2</x:v>
      </x:c>
      <x:c r="K186" s="92" t="str">
        <x:v>Human_Reviewer_01</x:v>
      </x:c>
      <x:c r="L186" s="92" t="str">
        <x:v>High</x:v>
      </x:c>
      <x:c r="M186" s="93" t="str">
        <x:v>Monitor is explicitly easy to set up and connect to a laptop.</x:v>
      </x:c>
      <x:c r="N186" s="94"/>
      <x:c r="O186" s="94"/>
      <x:c r="P186" s="94"/>
      <x:c r="Q186" s="95"/>
      <x:c r="R186" s="96"/>
      <x:c r="S186" s="96"/>
      <x:c r="T186" s="97"/>
      <x:c r="U186" s="98" t="str">
        <x:f>IF(OR(J186="",N186=""),"",IF(J186=N186,"No","Yes"))</x:f>
      </x:c>
      <x:c r="V186" s="98" t="n">
        <x:v>2</x:v>
      </x:c>
    </x:row>
    <x:row r="187" ht="54" hidden="0" customHeight="1">
      <x:c r="A187" s="38" t="str">
        <x:v>Q005::B00AYA7NAQ_review_3450301</x:v>
      </x:c>
      <x:c r="B187" s="38" t="str">
        <x:v>Q005</x:v>
      </x:c>
      <x:c r="C187" s="91" t="str">
        <x:v>I need a monitor that is easy to set up and has reliable connectivity with a laptop.</x:v>
      </x:c>
      <x:c r="D187" s="38" t="n">
        <x:v>30</x:v>
      </x:c>
      <x:c r="E187" s="38" t="str">
        <x:v>B00AYA7NAQ</x:v>
      </x:c>
      <x:c r="F187" s="38" t="str">
        <x:v>review</x:v>
      </x:c>
      <x:c r="G187" s="38" t="str">
        <x:v>ease of use</x:v>
      </x:c>
      <x:c r="H187" s="38" t="str">
        <x:v>Computers</x:v>
      </x:c>
      <x:c r="I187" s="91" t="str">
        <x:v>[Product: HP 24WD 23.6-Inch Screen LED-lit Monitor | ASIN: B00AYA7NAQ] Out of the box, easy and simple to set up.</x:v>
      </x:c>
      <x:c r="J187" s="101" t="n">
        <x:v>2</x:v>
      </x:c>
      <x:c r="K187" s="92" t="str">
        <x:v>Human_Reviewer_01</x:v>
      </x:c>
      <x:c r="L187" s="92" t="str">
        <x:v>High</x:v>
      </x:c>
      <x:c r="M187" s="93" t="str">
        <x:v>Computer monitor setup is explicitly easy out of the box.</x:v>
      </x:c>
      <x:c r="N187" s="94"/>
      <x:c r="O187" s="94"/>
      <x:c r="P187" s="94"/>
      <x:c r="Q187" s="95"/>
      <x:c r="R187" s="96"/>
      <x:c r="S187" s="96"/>
      <x:c r="T187" s="97"/>
      <x:c r="U187" s="98" t="str">
        <x:f>IF(OR(J187="",N187=""),"",IF(J187=N187,"No","Yes"))</x:f>
      </x:c>
      <x:c r="V187" s="98" t="n">
        <x:v>2</x:v>
      </x:c>
    </x:row>
    <x:row r="188" ht="54" hidden="0" customHeight="1">
      <x:c r="A188" s="38" t="str">
        <x:v>Q005::B07NTW86G2_review_1377937</x:v>
      </x:c>
      <x:c r="B188" s="38" t="str">
        <x:v>Q005</x:v>
      </x:c>
      <x:c r="C188" s="91" t="str">
        <x:v>I need a monitor that is easy to set up and has reliable connectivity with a laptop.</x:v>
      </x:c>
      <x:c r="D188" s="38" t="n">
        <x:v>31</x:v>
      </x:c>
      <x:c r="E188" s="38" t="str">
        <x:v>B07NTW86G2</x:v>
      </x:c>
      <x:c r="F188" s="38" t="str">
        <x:v>review</x:v>
      </x:c>
      <x:c r="G188" s="38" t="str">
        <x:v>ease of use</x:v>
      </x:c>
      <x:c r="H188" s="38" t="str">
        <x:v>Camera &amp; Photo</x:v>
      </x:c>
      <x:c r="I188" s="91" t="str">
        <x:v>[Product: Panasonic Homehawk Shelf Indoor Smart and Compact Home Monitoring Camera with Wide Angle, 1080P HD Video, No Monthly Fee with Local SD Storage, Night Vision, 2 Way Talk (KX-HNC810G) Gray | ASIN: B07NTW86G2] This Panasonic Homehawk shelf unit has a very easy setup process, works well with iOS, and allows you to monitor your home remotely thanks to a free streaming service provided with the product. It is easy to set up and use and seems much more reliable compared to other internet based security cameras I have used previously.</x:v>
      </x:c>
      <x:c r="J188" s="101" t="n">
        <x:v>0</x:v>
      </x:c>
      <x:c r="K188" s="92" t="str">
        <x:v>Human_Reviewer_01</x:v>
      </x:c>
      <x:c r="L188" s="92" t="str">
        <x:v>High</x:v>
      </x:c>
      <x:c r="M188" s="93" t="str">
        <x:v>This is a home-monitoring camera, not a computer display.</x:v>
      </x:c>
      <x:c r="N188" s="94"/>
      <x:c r="O188" s="94"/>
      <x:c r="P188" s="94"/>
      <x:c r="Q188" s="95"/>
      <x:c r="R188" s="96"/>
      <x:c r="S188" s="96"/>
      <x:c r="T188" s="97"/>
      <x:c r="U188" s="98" t="str">
        <x:f>IF(OR(J188="",N188=""),"",IF(J188=N188,"No","Yes"))</x:f>
      </x:c>
      <x:c r="V188" s="98" t="n">
        <x:v>0</x:v>
      </x:c>
    </x:row>
    <x:row r="189" ht="54" hidden="0" customHeight="1">
      <x:c r="A189" s="38" t="str">
        <x:v>Q005::B000BFW6JM_review_949736</x:v>
      </x:c>
      <x:c r="B189" s="38" t="str">
        <x:v>Q005</x:v>
      </x:c>
      <x:c r="C189" s="91" t="str">
        <x:v>I need a monitor that is easy to set up and has reliable connectivity with a laptop.</x:v>
      </x:c>
      <x:c r="D189" s="38" t="n">
        <x:v>32</x:v>
      </x:c>
      <x:c r="E189" s="38" t="str">
        <x:v>B000BFW6JM</x:v>
      </x:c>
      <x:c r="F189" s="38" t="str">
        <x:v>review</x:v>
      </x:c>
      <x:c r="G189" s="38" t="str">
        <x:v>ease of use</x:v>
      </x:c>
      <x:c r="H189" s="38" t="str">
        <x:v>Computers</x:v>
      </x:c>
      <x:c r="I189" s="91" t="str">
        <x:v>[Product: Samsung SyncMaster 940MW 19" LCD Monitor | ASIN: B000BFW6JM] And a custom setting that is easy to set up and allows you to change the monitor's setting to your liking.</x:v>
      </x:c>
      <x:c r="J189" s="101" t="n">
        <x:v>1</x:v>
      </x:c>
      <x:c r="K189" s="92" t="str">
        <x:v>Human_Reviewer_01</x:v>
      </x:c>
      <x:c r="L189" s="92" t="str">
        <x:v>High</x:v>
      </x:c>
      <x:c r="M189" s="93" t="str">
        <x:v>Monitor settings are easy to customize, but initial setup and laptop connectivity are not addressed.</x:v>
      </x:c>
      <x:c r="N189" s="94"/>
      <x:c r="O189" s="94"/>
      <x:c r="P189" s="94"/>
      <x:c r="Q189" s="95"/>
      <x:c r="R189" s="96"/>
      <x:c r="S189" s="96"/>
      <x:c r="T189" s="97"/>
      <x:c r="U189" s="98" t="str">
        <x:f>IF(OR(J189="",N189=""),"",IF(J189=N189,"No","Yes"))</x:f>
      </x:c>
      <x:c r="V189" s="98" t="n">
        <x:v>1</x:v>
      </x:c>
    </x:row>
    <x:row r="190" ht="54" hidden="0" customHeight="1">
      <x:c r="A190" s="38" t="str">
        <x:v>Q005::B00123WDQ8_review_1544501</x:v>
      </x:c>
      <x:c r="B190" s="38" t="str">
        <x:v>Q005</x:v>
      </x:c>
      <x:c r="C190" s="91" t="str">
        <x:v>I need a monitor that is easy to set up and has reliable connectivity with a laptop.</x:v>
      </x:c>
      <x:c r="D190" s="38" t="n">
        <x:v>33</x:v>
      </x:c>
      <x:c r="E190" s="38" t="str">
        <x:v>B00123WDQ8</x:v>
      </x:c>
      <x:c r="F190" s="38" t="str">
        <x:v>review</x:v>
      </x:c>
      <x:c r="G190" s="38" t="str">
        <x:v>ease of use</x:v>
      </x:c>
      <x:c r="H190" s="38" t="str">
        <x:v>Computers</x:v>
      </x:c>
      <x:c r="I190" s="91" t="str">
        <x:v>[Product: ViewSonic Pro Series VP2250wb 22" Widescreen LCD Monitor | ASIN: B00123WDQ8] Very simple to set up.</x:v>
      </x:c>
      <x:c r="J190" s="101" t="n">
        <x:v>2</x:v>
      </x:c>
      <x:c r="K190" s="92" t="str">
        <x:v>Human_Reviewer_01</x:v>
      </x:c>
      <x:c r="L190" s="92" t="str">
        <x:v>High</x:v>
      </x:c>
      <x:c r="M190" s="93" t="str">
        <x:v>Computer monitor setup is explicitly simple.</x:v>
      </x:c>
      <x:c r="N190" s="94"/>
      <x:c r="O190" s="94"/>
      <x:c r="P190" s="94"/>
      <x:c r="Q190" s="95"/>
      <x:c r="R190" s="96"/>
      <x:c r="S190" s="96"/>
      <x:c r="T190" s="97"/>
      <x:c r="U190" s="98" t="str">
        <x:f>IF(OR(J190="",N190=""),"",IF(J190=N190,"No","Yes"))</x:f>
      </x:c>
      <x:c r="V190" s="98" t="n">
        <x:v>2</x:v>
      </x:c>
    </x:row>
    <x:row r="191" ht="54" hidden="0" customHeight="1">
      <x:c r="A191" s="38" t="str">
        <x:v>Q005::B00J0NFLMA_review_4188880</x:v>
      </x:c>
      <x:c r="B191" s="38" t="str">
        <x:v>Q005</x:v>
      </x:c>
      <x:c r="C191" s="91" t="str">
        <x:v>I need a monitor that is easy to set up and has reliable connectivity with a laptop.</x:v>
      </x:c>
      <x:c r="D191" s="38" t="n">
        <x:v>34</x:v>
      </x:c>
      <x:c r="E191" s="38" t="str">
        <x:v>B00J0NFLMA</x:v>
      </x:c>
      <x:c r="F191" s="38" t="str">
        <x:v>review</x:v>
      </x:c>
      <x:c r="G191" s="38" t="str">
        <x:v>ease of use</x:v>
      </x:c>
      <x:c r="H191" s="38" t="str">
        <x:v>Camera &amp; Photo</x:v>
      </x:c>
      <x:c r="I191" s="91" t="str">
        <x:v>[Product: Amaryllo ACC1308A1WHUS iCam HD World First Skype HD Wireless IP Camera (White) | ASIN: B00J0NFLMA] As an IP security camera, it is very easy to set up and operate (just follow the setup guild that comes with the camera). I simply need an easy and reliable wireless IP camera that I can monitor my home when I am away. If you are like me who need a modern-looking, reliable and easy to setup wireless IP camera.</x:v>
      </x:c>
      <x:c r="J191" s="101" t="n">
        <x:v>0</x:v>
      </x:c>
      <x:c r="K191" s="92" t="str">
        <x:v>Human_Reviewer_01</x:v>
      </x:c>
      <x:c r="L191" s="92" t="str">
        <x:v>High</x:v>
      </x:c>
      <x:c r="M191" s="93" t="str">
        <x:v>This is an IP security camera, not a computer display.</x:v>
      </x:c>
      <x:c r="N191" s="94"/>
      <x:c r="O191" s="94"/>
      <x:c r="P191" s="94"/>
      <x:c r="Q191" s="95"/>
      <x:c r="R191" s="96"/>
      <x:c r="S191" s="96"/>
      <x:c r="T191" s="97"/>
      <x:c r="U191" s="98" t="str">
        <x:f>IF(OR(J191="",N191=""),"",IF(J191=N191,"No","Yes"))</x:f>
      </x:c>
      <x:c r="V191" s="98" t="n">
        <x:v>0</x:v>
      </x:c>
    </x:row>
    <x:row r="192" ht="54" hidden="0" customHeight="1">
      <x:c r="A192" s="38" t="str">
        <x:v>Q005::B091BJ4CKX_review_2269182</x:v>
      </x:c>
      <x:c r="B192" s="38" t="str">
        <x:v>Q005</x:v>
      </x:c>
      <x:c r="C192" s="91" t="str">
        <x:v>I need a monitor that is easy to set up and has reliable connectivity with a laptop.</x:v>
      </x:c>
      <x:c r="D192" s="38" t="n">
        <x:v>35</x:v>
      </x:c>
      <x:c r="E192" s="38" t="str">
        <x:v>B091BJ4CKX</x:v>
      </x:c>
      <x:c r="F192" s="38" t="str">
        <x:v>review</x:v>
      </x:c>
      <x:c r="G192" s="38" t="str">
        <x:v>ease of use</x:v>
      </x:c>
      <x:c r="H192" s="38" t="str">
        <x:v>Computers</x:v>
      </x:c>
      <x:c r="I192" s="91" t="str">
        <x:v>[Product: Dell U4021QW UltraSharp 40-inch Curved WUHD Monitor | ASIN: B091BJ4CKX] It was easy to setup and it looks great.</x:v>
      </x:c>
      <x:c r="J192" s="101" t="n">
        <x:v>2</x:v>
      </x:c>
      <x:c r="K192" s="92" t="str">
        <x:v>Human_Reviewer_01</x:v>
      </x:c>
      <x:c r="L192" s="92" t="str">
        <x:v>High</x:v>
      </x:c>
      <x:c r="M192" s="93" t="str">
        <x:v>Computer monitor setup is explicitly easy.</x:v>
      </x:c>
      <x:c r="N192" s="94"/>
      <x:c r="O192" s="94"/>
      <x:c r="P192" s="94"/>
      <x:c r="Q192" s="95"/>
      <x:c r="R192" s="96"/>
      <x:c r="S192" s="96"/>
      <x:c r="T192" s="97"/>
      <x:c r="U192" s="98" t="str">
        <x:f>IF(OR(J192="",N192=""),"",IF(J192=N192,"No","Yes"))</x:f>
      </x:c>
      <x:c r="V192" s="98" t="n">
        <x:v>2</x:v>
      </x:c>
    </x:row>
    <x:row r="193" ht="54" hidden="0" customHeight="1">
      <x:c r="A193" s="38" t="str">
        <x:v>Q005::B0055PKSCK_review_2543008</x:v>
      </x:c>
      <x:c r="B193" s="38" t="str">
        <x:v>Q005</x:v>
      </x:c>
      <x:c r="C193" s="91" t="str">
        <x:v>I need a monitor that is easy to set up and has reliable connectivity with a laptop.</x:v>
      </x:c>
      <x:c r="D193" s="38" t="n">
        <x:v>36</x:v>
      </x:c>
      <x:c r="E193" s="38" t="str">
        <x:v>B0055PKSCK</x:v>
      </x:c>
      <x:c r="F193" s="38" t="str">
        <x:v>review</x:v>
      </x:c>
      <x:c r="G193" s="38" t="str">
        <x:v>ease of use</x:v>
      </x:c>
      <x:c r="H193" s="38" t="str">
        <x:v>Computers</x:v>
      </x:c>
      <x:c r="I193" s="91" t="str">
        <x:v>[Product: Ubiquiti NanoBridge M5 22dbi 5GHz MIMO Bridging Solution with airMAX TDMA Protocol and InnerFeed Antenna Technology (NB-5G22-US) | ASIN: B0055PKSCK] Was easy to set up and has been very reliable and fast at about 20-30 MBS.</x:v>
      </x:c>
      <x:c r="J193" s="101" t="n">
        <x:v>0</x:v>
      </x:c>
      <x:c r="K193" s="92" t="str">
        <x:v>Human_Reviewer_01</x:v>
      </x:c>
      <x:c r="L193" s="92" t="str">
        <x:v>High</x:v>
      </x:c>
      <x:c r="M193" s="93" t="str">
        <x:v>This is a wireless network bridge, not a monitor.</x:v>
      </x:c>
      <x:c r="N193" s="94"/>
      <x:c r="O193" s="94"/>
      <x:c r="P193" s="94"/>
      <x:c r="Q193" s="95"/>
      <x:c r="R193" s="96"/>
      <x:c r="S193" s="96"/>
      <x:c r="T193" s="97"/>
      <x:c r="U193" s="98" t="str">
        <x:f>IF(OR(J193="",N193=""),"",IF(J193=N193,"No","Yes"))</x:f>
      </x:c>
      <x:c r="V193" s="98" t="n">
        <x:v>0</x:v>
      </x:c>
    </x:row>
    <x:row r="194" ht="54" hidden="0" customHeight="1">
      <x:c r="A194" s="38" t="str">
        <x:v>Q005::B0BHHM69NF_review_691853</x:v>
      </x:c>
      <x:c r="B194" s="38" t="str">
        <x:v>Q005</x:v>
      </x:c>
      <x:c r="C194" s="91" t="str">
        <x:v>I need a monitor that is easy to set up and has reliable connectivity with a laptop.</x:v>
      </x:c>
      <x:c r="D194" s="38" t="n">
        <x:v>37</x:v>
      </x:c>
      <x:c r="E194" s="38" t="str">
        <x:v>B0BHHM69NF</x:v>
      </x:c>
      <x:c r="F194" s="38" t="str">
        <x:v>review</x:v>
      </x:c>
      <x:c r="G194" s="38" t="str">
        <x:v>price/value</x:v>
      </x:c>
      <x:c r="H194" s="38" t="str">
        <x:v>Computers</x:v>
      </x:c>
      <x:c r="I194" s="91" t="str">
        <x:v>[Product: Szory Portable Monitor for Laptop 15.6 Inch Frameless Eye Care 1080P IPS HDR USB-C Laptop Monitor HDMI Travel Monitor for PC Laptop Phone Switch PS4/5 Xbox with Speakers and Cover | ASIN: B0BHHM69NF] Clear resolution, and easy on the eyes.&lt;br /&gt;&lt;br /&gt;Sound can be improved, but overall good portable monitor, affordable and easy to use out of the box.</x:v>
      </x:c>
      <x:c r="J194" s="101" t="n">
        <x:v>2</x:v>
      </x:c>
      <x:c r="K194" s="92" t="str">
        <x:v>Human_Reviewer_01</x:v>
      </x:c>
      <x:c r="L194" s="92" t="str">
        <x:v>Medium</x:v>
      </x:c>
      <x:c r="M194" s="93" t="str">
        <x:v>Laptop monitor is easy to use out of the box; initial connection steps are implicit.</x:v>
      </x:c>
      <x:c r="N194" s="94"/>
      <x:c r="O194" s="94"/>
      <x:c r="P194" s="94"/>
      <x:c r="Q194" s="95"/>
      <x:c r="R194" s="96"/>
      <x:c r="S194" s="96"/>
      <x:c r="T194" s="97"/>
      <x:c r="U194" s="98" t="str">
        <x:f>IF(OR(J194="",N194=""),"",IF(J194=N194,"No","Yes"))</x:f>
      </x:c>
      <x:c r="V194" s="98" t="n">
        <x:v>2</x:v>
      </x:c>
    </x:row>
    <x:row r="195" ht="54" hidden="0" customHeight="1">
      <x:c r="A195" s="38" t="str">
        <x:v>Q005::B0BGBH4RGT_review_3153886</x:v>
      </x:c>
      <x:c r="B195" s="38" t="str">
        <x:v>Q005</x:v>
      </x:c>
      <x:c r="C195" s="91" t="str">
        <x:v>I need a monitor that is easy to set up and has reliable connectivity with a laptop.</x:v>
      </x:c>
      <x:c r="D195" s="38" t="n">
        <x:v>38</x:v>
      </x:c>
      <x:c r="E195" s="38" t="str">
        <x:v>B0BGBH4RGT</x:v>
      </x:c>
      <x:c r="F195" s="38" t="str">
        <x:v>review</x:v>
      </x:c>
      <x:c r="G195" s="38" t="str">
        <x:v>customer service</x:v>
      </x:c>
      <x:c r="H195" s="38" t="str">
        <x:v>Computers</x:v>
      </x:c>
      <x:c r="I195" s="91" t="str">
        <x:v>[Product: BenQ EW2780U 27 inch 4K Monitor | IPS Multimedia with HDMI connectivity | HDR | Eye-Care Sensor | Integrated Speakers and Custom Audio Modes | USB C Connectivity and Charging | ASIN: B0BGBH4RGT] To set this up you have to contact their customer support.</x:v>
      </x:c>
      <x:c r="J195" s="101" t="n">
        <x:v>2</x:v>
      </x:c>
      <x:c r="K195" s="92" t="str">
        <x:v>Human_Reviewer_01</x:v>
      </x:c>
      <x:c r="L195" s="92" t="str">
        <x:v>High</x:v>
      </x:c>
      <x:c r="M195" s="93" t="str">
        <x:v>Monitor setup requires customer support; direct negative evidence on setup difficulty.</x:v>
      </x:c>
      <x:c r="N195" s="94"/>
      <x:c r="O195" s="94"/>
      <x:c r="P195" s="94"/>
      <x:c r="Q195" s="95"/>
      <x:c r="R195" s="96"/>
      <x:c r="S195" s="96"/>
      <x:c r="T195" s="97"/>
      <x:c r="U195" s="98" t="str">
        <x:f>IF(OR(J195="",N195=""),"",IF(J195=N195,"No","Yes"))</x:f>
      </x:c>
      <x:c r="V195" s="98" t="n">
        <x:v>2</x:v>
      </x:c>
    </x:row>
    <x:row r="196" ht="54" hidden="0" customHeight="1">
      <x:c r="A196" s="38" t="str">
        <x:v>Q005::B0035JL41M_review_3006394</x:v>
      </x:c>
      <x:c r="B196" s="38" t="str">
        <x:v>Q005</x:v>
      </x:c>
      <x:c r="C196" s="91" t="str">
        <x:v>I need a monitor that is easy to set up and has reliable connectivity with a laptop.</x:v>
      </x:c>
      <x:c r="D196" s="38" t="n">
        <x:v>39</x:v>
      </x:c>
      <x:c r="E196" s="38" t="str">
        <x:v>B0035JL41M</x:v>
      </x:c>
      <x:c r="F196" s="38" t="str">
        <x:v>review</x:v>
      </x:c>
      <x:c r="G196" s="38" t="str">
        <x:v>connectivity</x:v>
      </x:c>
      <x:c r="H196" s="38" t="str">
        <x:v>Camera &amp; Photo</x:v>
      </x:c>
      <x:c r="I196" s="91" t="str">
        <x:v>[Product: Lorex LW2701AC1 Interference-Free Wireless Accessory Camera Surveillance System (Black) | ASIN: B0035JL41M] The cameras are very easy to set up and the wireless connectivity is flawless! I have them connected to 4 cameras and has been working perfectly for the past 6 months.</x:v>
      </x:c>
      <x:c r="J196" s="101" t="n">
        <x:v>0</x:v>
      </x:c>
      <x:c r="K196" s="92" t="str">
        <x:v>Human_Reviewer_01</x:v>
      </x:c>
      <x:c r="L196" s="92" t="str">
        <x:v>High</x:v>
      </x:c>
      <x:c r="M196" s="93" t="str">
        <x:v>This is a surveillance camera, not a computer display.</x:v>
      </x:c>
      <x:c r="N196" s="94"/>
      <x:c r="O196" s="94"/>
      <x:c r="P196" s="94"/>
      <x:c r="Q196" s="95"/>
      <x:c r="R196" s="96"/>
      <x:c r="S196" s="96"/>
      <x:c r="T196" s="97"/>
      <x:c r="U196" s="98" t="str">
        <x:f>IF(OR(J196="",N196=""),"",IF(J196=N196,"No","Yes"))</x:f>
      </x:c>
      <x:c r="V196" s="98" t="n">
        <x:v>0</x:v>
      </x:c>
    </x:row>
    <x:row r="197" ht="54" hidden="0" customHeight="1">
      <x:c r="A197" s="38" t="str">
        <x:v>Q005::B00SET896Q_review_3975826</x:v>
      </x:c>
      <x:c r="B197" s="38" t="str">
        <x:v>Q005</x:v>
      </x:c>
      <x:c r="C197" s="91" t="str">
        <x:v>I need a monitor that is easy to set up and has reliable connectivity with a laptop.</x:v>
      </x:c>
      <x:c r="D197" s="38" t="n">
        <x:v>40</x:v>
      </x:c>
      <x:c r="E197" s="38" t="str">
        <x:v>B00SET896Q</x:v>
      </x:c>
      <x:c r="F197" s="38" t="str">
        <x:v>review</x:v>
      </x:c>
      <x:c r="G197" s="38" t="str">
        <x:v>ease of use</x:v>
      </x:c>
      <x:c r="H197" s="38" t="str">
        <x:v>Computers</x:v>
      </x:c>
      <x:c r="I197" s="91" t="str">
        <x:v>[Product: HP Pavilion 27c Curved Monitor | ASIN: B00SET896Q] So easy to setup.</x:v>
      </x:c>
      <x:c r="J197" s="101" t="n">
        <x:v>2</x:v>
      </x:c>
      <x:c r="K197" s="92" t="str">
        <x:v>Human_Reviewer_01</x:v>
      </x:c>
      <x:c r="L197" s="92" t="str">
        <x:v>High</x:v>
      </x:c>
      <x:c r="M197" s="93" t="str">
        <x:v>Computer monitor setup is explicitly easy.</x:v>
      </x:c>
      <x:c r="N197" s="94"/>
      <x:c r="O197" s="94"/>
      <x:c r="P197" s="94"/>
      <x:c r="Q197" s="95"/>
      <x:c r="R197" s="96"/>
      <x:c r="S197" s="96"/>
      <x:c r="T197" s="97"/>
      <x:c r="U197" s="98" t="str">
        <x:f>IF(OR(J197="",N197=""),"",IF(J197=N197,"No","Yes"))</x:f>
      </x:c>
      <x:c r="V197" s="98" t="n">
        <x:v>2</x:v>
      </x:c>
    </x:row>
    <x:row r="198" ht="54" hidden="0" customHeight="1">
      <x:c r="A198" s="38" t="str">
        <x:v>Q006::B0044T2ST4_review_3064466</x:v>
      </x:c>
      <x:c r="B198" s="38" t="str">
        <x:v>Q006</x:v>
      </x:c>
      <x:c r="C198" s="91" t="str">
        <x:v>Which lightweight laptop offers good battery life for travel and everyday office work?</x:v>
      </x:c>
      <x:c r="D198" s="38" t="n">
        <x:v>1</x:v>
      </x:c>
      <x:c r="E198" s="38" t="str">
        <x:v>B0044T2ST4</x:v>
      </x:c>
      <x:c r="F198" s="38" t="str">
        <x:v>review</x:v>
      </x:c>
      <x:c r="G198" s="38" t="str">
        <x:v>battery life</x:v>
      </x:c>
      <x:c r="H198" s="38" t="str">
        <x:v>Computers</x:v>
      </x:c>
      <x:c r="I198" s="91" t="str">
        <x:v>[Product: Sony VAIO VPC-Z133GX/B 13.1-Inch Laptop (Black) | ASIN: B0044T2ST4] br /&gt;The laptop is very lightweight and powerful&lt;br /&gt;The CPU and GPU are both very good and sufficient for doing many tasks and for playing a few games.&lt;br /&gt;Battery life is extraordinarily long.&lt;br</x:v>
      </x:c>
      <x:c r="J198" s="101" t="n">
        <x:v>2</x:v>
      </x:c>
      <x:c r="K198" s="92" t="str">
        <x:v>Human_Reviewer_01</x:v>
      </x:c>
      <x:c r="L198" s="92" t="str">
        <x:v>High</x:v>
      </x:c>
      <x:c r="M198" s="93" t="str">
        <x:v>Laptop is explicitly lightweight, capable, and long-lasting on battery.</x:v>
      </x:c>
      <x:c r="N198" s="94"/>
      <x:c r="O198" s="94"/>
      <x:c r="P198" s="94"/>
      <x:c r="Q198" s="95"/>
      <x:c r="R198" s="96"/>
      <x:c r="S198" s="96"/>
      <x:c r="T198" s="97"/>
      <x:c r="U198" s="98" t="str">
        <x:f>IF(OR(J198="",N198=""),"",IF(J198=N198,"No","Yes"))</x:f>
      </x:c>
      <x:c r="V198" s="98" t="n">
        <x:v>2</x:v>
      </x:c>
    </x:row>
    <x:row r="199" ht="54" hidden="0" customHeight="1">
      <x:c r="A199" s="38" t="str">
        <x:v>Q006::B004LUY65U_review_29404</x:v>
      </x:c>
      <x:c r="B199" s="38" t="str">
        <x:v>Q006</x:v>
      </x:c>
      <x:c r="C199" s="91" t="str">
        <x:v>Which lightweight laptop offers good battery life for travel and everyday office work?</x:v>
      </x:c>
      <x:c r="D199" s="38" t="n">
        <x:v>2</x:v>
      </x:c>
      <x:c r="E199" s="38" t="str">
        <x:v>B004LUY65U</x:v>
      </x:c>
      <x:c r="F199" s="38" t="str">
        <x:v>review</x:v>
      </x:c>
      <x:c r="G199" s="38" t="str">
        <x:v>battery life</x:v>
      </x:c>
      <x:c r="H199" s="38" t="str">
        <x:v>Computers</x:v>
      </x:c>
      <x:c r="I199" s="91" t="str">
        <x:v>[Product: ASUS U36JC-B2B Thin and Light 13.3-Inch Laptop (Black) | ASIN: B004LUY65U] If you need exceptional battery life, performance, and lightweight hardware - this is perfect.&lt;br /&gt;&lt;br /&gt;For work, I am on a plane at least once every 2-3 weeks and when I am on-site I am basically visiting different locations, interviewing people, and doing anything but sitting at a desk for more than 15min.&lt;br /&gt;&lt;br /&gt;PROS:&lt;br /&gt;-Battery life - this will last me all-day on-the-run. Honestly, it is amazing giving the computing power it has. I have only seen this type of endurance in weak netbooks in the past - but the technology behind it is power management will change your life (to only needing to charge it at night!)&lt;br /&gt;&lt;br /&gt;-Light &amp; skinny - and I mean REALLY skinny and light. Plain and simple, if your budget was around $700 or less for a laptop - splurge the extra cash to get the Asus U36jc - the smaller form factor and weight plus the awesome battery life will pay off - and you will get significantly better (and pleasant) use out of your laptop.</x:v>
      </x:c>
      <x:c r="J199" s="101" t="n">
        <x:v>2</x:v>
      </x:c>
      <x:c r="K199" s="92" t="str">
        <x:v>Human_Reviewer_01</x:v>
      </x:c>
      <x:c r="L199" s="92" t="str">
        <x:v>High</x:v>
      </x:c>
      <x:c r="M199" s="93" t="str">
        <x:v>Thin lightweight laptop supports all-day mobile work and frequent flights.</x:v>
      </x:c>
      <x:c r="N199" s="94"/>
      <x:c r="O199" s="94"/>
      <x:c r="P199" s="94"/>
      <x:c r="Q199" s="95"/>
      <x:c r="R199" s="96"/>
      <x:c r="S199" s="96"/>
      <x:c r="T199" s="97"/>
      <x:c r="U199" s="98" t="str">
        <x:f>IF(OR(J199="",N199=""),"",IF(J199=N199,"No","Yes"))</x:f>
      </x:c>
      <x:c r="V199" s="98" t="n">
        <x:v>2</x:v>
      </x:c>
    </x:row>
    <x:row r="200" ht="54" hidden="0" customHeight="1">
      <x:c r="A200" s="38" t="str">
        <x:v>Q006::B01LT692RK_review_234881</x:v>
      </x:c>
      <x:c r="B200" s="38" t="str">
        <x:v>Q006</x:v>
      </x:c>
      <x:c r="C200" s="91" t="str">
        <x:v>Which lightweight laptop offers good battery life for travel and everyday office work?</x:v>
      </x:c>
      <x:c r="D200" s="38" t="n">
        <x:v>3</x:v>
      </x:c>
      <x:c r="E200" s="38" t="str">
        <x:v>B01LT692RK</x:v>
      </x:c>
      <x:c r="F200" s="38" t="str">
        <x:v>review</x:v>
      </x:c>
      <x:c r="G200" s="38" t="str">
        <x:v>battery life</x:v>
      </x:c>
      <x:c r="H200" s="38" t="str">
        <x:v>Computers</x:v>
      </x:c>
      <x:c r="I200" s="91" t="str">
        <x:v>[Product: ASUS E200HA Portable Lightweight 11.6-inch Intel Quad-Core Laptop, 4GB RAM, 32GB Storage, Windows 10 with 1 Year Microsoft Office 365 Subscription | ASIN: B01LT692RK] Battery life is fantastic.</x:v>
      </x:c>
      <x:c r="J200" s="101" t="n">
        <x:v>2</x:v>
      </x:c>
      <x:c r="K200" s="92" t="str">
        <x:v>Human_Reviewer_01</x:v>
      </x:c>
      <x:c r="L200" s="92" t="str">
        <x:v>High</x:v>
      </x:c>
      <x:c r="M200" s="93" t="str">
        <x:v>Lightweight laptop has direct excellent-battery testimony.</x:v>
      </x:c>
      <x:c r="N200" s="94"/>
      <x:c r="O200" s="94"/>
      <x:c r="P200" s="94"/>
      <x:c r="Q200" s="95"/>
      <x:c r="R200" s="96"/>
      <x:c r="S200" s="96"/>
      <x:c r="T200" s="97"/>
      <x:c r="U200" s="98" t="str">
        <x:f>IF(OR(J200="",N200=""),"",IF(J200=N200,"No","Yes"))</x:f>
      </x:c>
      <x:c r="V200" s="98" t="n">
        <x:v>2</x:v>
      </x:c>
    </x:row>
    <x:row r="201" ht="54" hidden="0" customHeight="1">
      <x:c r="A201" s="38" t="str">
        <x:v>Q006::B01MYBI5KR_review_3827213</x:v>
      </x:c>
      <x:c r="B201" s="38" t="str">
        <x:v>Q006</x:v>
      </x:c>
      <x:c r="C201" s="91" t="str">
        <x:v>Which lightweight laptop offers good battery life for travel and everyday office work?</x:v>
      </x:c>
      <x:c r="D201" s="38" t="n">
        <x:v>4</x:v>
      </x:c>
      <x:c r="E201" s="38" t="str">
        <x:v>B01MYBI5KR</x:v>
      </x:c>
      <x:c r="F201" s="38" t="str">
        <x:v>review</x:v>
      </x:c>
      <x:c r="G201" s="38" t="str">
        <x:v>battery life</x:v>
      </x:c>
      <x:c r="H201" s="38" t="str">
        <x:v>Computers</x:v>
      </x:c>
      <x:c r="I201" s="91" t="str">
        <x:v>[Product: SAMSUNG NP900X5N-L01US Notebook 9 15", Light Titan | ASIN: B01MYBI5KR] After searching high and low for a cute, durable, lightweight laptop with back-lighted keyboard, good memory and battery life...this was the one! The battery life is unbelievable.</x:v>
      </x:c>
      <x:c r="J201" s="101" t="n">
        <x:v>2</x:v>
      </x:c>
      <x:c r="K201" s="92" t="str">
        <x:v>Human_Reviewer_01</x:v>
      </x:c>
      <x:c r="L201" s="92" t="str">
        <x:v>High</x:v>
      </x:c>
      <x:c r="M201" s="93" t="str">
        <x:v>Laptop is explicitly lightweight with exceptionally good battery life.</x:v>
      </x:c>
      <x:c r="N201" s="94"/>
      <x:c r="O201" s="94"/>
      <x:c r="P201" s="94"/>
      <x:c r="Q201" s="95"/>
      <x:c r="R201" s="96"/>
      <x:c r="S201" s="96"/>
      <x:c r="T201" s="97"/>
      <x:c r="U201" s="98" t="str">
        <x:f>IF(OR(J201="",N201=""),"",IF(J201=N201,"No","Yes"))</x:f>
      </x:c>
      <x:c r="V201" s="98" t="n">
        <x:v>2</x:v>
      </x:c>
    </x:row>
    <x:row r="202" ht="54" hidden="0" customHeight="1">
      <x:c r="A202" s="38" t="str">
        <x:v>Q006::B003WIYMA6_review_1892835</x:v>
      </x:c>
      <x:c r="B202" s="38" t="str">
        <x:v>Q006</x:v>
      </x:c>
      <x:c r="C202" s="91" t="str">
        <x:v>Which lightweight laptop offers good battery life for travel and everyday office work?</x:v>
      </x:c>
      <x:c r="D202" s="38" t="n">
        <x:v>5</x:v>
      </x:c>
      <x:c r="E202" s="38" t="str">
        <x:v>B003WIYMA6</x:v>
      </x:c>
      <x:c r="F202" s="38" t="str">
        <x:v>review</x:v>
      </x:c>
      <x:c r="G202" s="38" t="str">
        <x:v>sound quality</x:v>
      </x:c>
      <x:c r="H202" s="38" t="str">
        <x:v>Computers</x:v>
      </x:c>
      <x:c r="I202" s="91" t="str">
        <x:v>[Product: ASUS U45JC-A1 14-Inch Thin and Light Laptop - Up to 10 Hours of Battery Life | ASIN: B003WIYMA6] FlashGate for Business sounds interesting if I could ever find out from where to download it.&lt;br /&gt;&lt;br</x:v>
      </x:c>
      <x:c r="J202" s="101" t="n">
        <x:v>1</x:v>
      </x:c>
      <x:c r="K202" s="92" t="str">
        <x:v>Human_Reviewer_01</x:v>
      </x:c>
      <x:c r="L202" s="92" t="str">
        <x:v>High</x:v>
      </x:c>
      <x:c r="M202" s="93" t="str">
        <x:v>Title claims a light laptop and ten-hour battery, but review only discusses unavailable software.</x:v>
      </x:c>
      <x:c r="N202" s="94"/>
      <x:c r="O202" s="94"/>
      <x:c r="P202" s="94"/>
      <x:c r="Q202" s="95"/>
      <x:c r="R202" s="96"/>
      <x:c r="S202" s="96"/>
      <x:c r="T202" s="97"/>
      <x:c r="U202" s="98" t="str">
        <x:f>IF(OR(J202="",N202=""),"",IF(J202=N202,"No","Yes"))</x:f>
      </x:c>
      <x:c r="V202" s="98" t="n">
        <x:v>1</x:v>
      </x:c>
    </x:row>
    <x:row r="203" ht="54" hidden="0" customHeight="1">
      <x:c r="A203" s="38" t="str">
        <x:v>Q006::B0039NMF6C_review_3984995</x:v>
      </x:c>
      <x:c r="B203" s="38" t="str">
        <x:v>Q006</x:v>
      </x:c>
      <x:c r="C203" s="91" t="str">
        <x:v>Which lightweight laptop offers good battery life for travel and everyday office work?</x:v>
      </x:c>
      <x:c r="D203" s="38" t="n">
        <x:v>6</x:v>
      </x:c>
      <x:c r="E203" s="38" t="str">
        <x:v>B0039NMF6C</x:v>
      </x:c>
      <x:c r="F203" s="38" t="str">
        <x:v>review</x:v>
      </x:c>
      <x:c r="G203" s="38" t="str">
        <x:v>specifications/performance</x:v>
      </x:c>
      <x:c r="H203" s="38" t="str">
        <x:v>Computers</x:v>
      </x:c>
      <x:c r="I203" s="91" t="str">
        <x:v>[Product: ASUS UL30Vt-A1 Thin and Light 13.3-Inch Silver Laptop (12 Hours of Battery Life) | ASIN: B0039NMF6C] Here are some of the problems I have encountered:&lt;br /&gt;&lt;br /&gt;* Express Gate - this is a nice feature, you can boot up fast and use basic utilities.</x:v>
      </x:c>
      <x:c r="J203" s="101" t="n">
        <x:v>1</x:v>
      </x:c>
      <x:c r="K203" s="92" t="str">
        <x:v>Human_Reviewer_01</x:v>
      </x:c>
      <x:c r="L203" s="92" t="str">
        <x:v>High</x:v>
      </x:c>
      <x:c r="M203" s="93" t="str">
        <x:v>Title claims portability and endurance, but review only describes quick-boot utilities.</x:v>
      </x:c>
      <x:c r="N203" s="94"/>
      <x:c r="O203" s="94"/>
      <x:c r="P203" s="94"/>
      <x:c r="Q203" s="95"/>
      <x:c r="R203" s="96"/>
      <x:c r="S203" s="96"/>
      <x:c r="T203" s="97"/>
      <x:c r="U203" s="98" t="str">
        <x:f>IF(OR(J203="",N203=""),"",IF(J203=N203,"No","Yes"))</x:f>
      </x:c>
      <x:c r="V203" s="98" t="n">
        <x:v>1</x:v>
      </x:c>
    </x:row>
    <x:row r="204" ht="54" hidden="0" customHeight="1">
      <x:c r="A204" s="38" t="str">
        <x:v>Q006::B006LX2NWI_review_3565149</x:v>
      </x:c>
      <x:c r="B204" s="38" t="str">
        <x:v>Q006</x:v>
      </x:c>
      <x:c r="C204" s="91" t="str">
        <x:v>Which lightweight laptop offers good battery life for travel and everyday office work?</x:v>
      </x:c>
      <x:c r="D204" s="38" t="n">
        <x:v>7</x:v>
      </x:c>
      <x:c r="E204" s="38" t="str">
        <x:v>B006LX2NWI</x:v>
      </x:c>
      <x:c r="F204" s="38" t="str">
        <x:v>review</x:v>
      </x:c>
      <x:c r="G204" s="38" t="str">
        <x:v>battery life</x:v>
      </x:c>
      <x:c r="H204" s="38" t="str">
        <x:v>Computers</x:v>
      </x:c>
      <x:c r="I204" s="91" t="str">
        <x:v>[Product: Dell XPS X14Z-6923SLV 14-Inch Laptop (Elemental Silver) [Discontinued By Manufacturer] | ASIN: B006LX2NWI] It is fast and lightweight with good battery life and a beautiful backlit keyboard. All that aside, I would definately purchase this laptop again and recommend it to anyone looking for a laptop with a little bigger screen that is lightweight and powerful.</x:v>
      </x:c>
      <x:c r="J204" s="101" t="n">
        <x:v>2</x:v>
      </x:c>
      <x:c r="K204" s="92" t="str">
        <x:v>Human_Reviewer_01</x:v>
      </x:c>
      <x:c r="L204" s="92" t="str">
        <x:v>High</x:v>
      </x:c>
      <x:c r="M204" s="93" t="str">
        <x:v>Laptop is explicitly fast and lightweight with good battery life.</x:v>
      </x:c>
      <x:c r="N204" s="94"/>
      <x:c r="O204" s="94"/>
      <x:c r="P204" s="94"/>
      <x:c r="Q204" s="95"/>
      <x:c r="R204" s="96"/>
      <x:c r="S204" s="96"/>
      <x:c r="T204" s="97"/>
      <x:c r="U204" s="98" t="str">
        <x:f>IF(OR(J204="",N204=""),"",IF(J204=N204,"No","Yes"))</x:f>
      </x:c>
      <x:c r="V204" s="98" t="n">
        <x:v>2</x:v>
      </x:c>
    </x:row>
    <x:row r="205" ht="54" hidden="0" customHeight="1">
      <x:c r="A205" s="38" t="str">
        <x:v>Q006::B002BDUAU4_review_2419450</x:v>
      </x:c>
      <x:c r="B205" s="38" t="str">
        <x:v>Q006</x:v>
      </x:c>
      <x:c r="C205" s="91" t="str">
        <x:v>Which lightweight laptop offers good battery life for travel and everyday office work?</x:v>
      </x:c>
      <x:c r="D205" s="38" t="n">
        <x:v>8</x:v>
      </x:c>
      <x:c r="E205" s="38" t="str">
        <x:v>B002BDUAU4</x:v>
      </x:c>
      <x:c r="F205" s="38" t="str">
        <x:v>review</x:v>
      </x:c>
      <x:c r="G205" s="38" t="str">
        <x:v>sound quality</x:v>
      </x:c>
      <x:c r="H205" s="38" t="str">
        <x:v>Computers</x:v>
      </x:c>
      <x:c r="I205" s="91" t="str">
        <x:v>[Product: Toshiba Mini NB205-N310/BN 10.1-Inch Sable Brown Netbook - 9 Hour Battery Life | ASIN: B002BDUAU4] It is a stripped down laptop that offers decent performance for simple tasks like surfing on the internet, working with Microsoft office documents and a few other computer non-intensive tasks.</x:v>
      </x:c>
      <x:c r="J205" s="101" t="n">
        <x:v>2</x:v>
      </x:c>
      <x:c r="K205" s="92" t="str">
        <x:v>Human_Reviewer_01</x:v>
      </x:c>
      <x:c r="L205" s="92" t="str">
        <x:v>Medium</x:v>
      </x:c>
      <x:c r="M205" s="93" t="str">
        <x:v>Netbook supports Office and light tasks with a nine-hour battery claim; weight is unstated.</x:v>
      </x:c>
      <x:c r="N205" s="94"/>
      <x:c r="O205" s="94"/>
      <x:c r="P205" s="94"/>
      <x:c r="Q205" s="95"/>
      <x:c r="R205" s="96"/>
      <x:c r="S205" s="96"/>
      <x:c r="T205" s="97"/>
      <x:c r="U205" s="98" t="str">
        <x:f>IF(OR(J205="",N205=""),"",IF(J205=N205,"No","Yes"))</x:f>
      </x:c>
      <x:c r="V205" s="98" t="n">
        <x:v>2</x:v>
      </x:c>
    </x:row>
    <x:row r="206" ht="54" hidden="0" customHeight="1">
      <x:c r="A206" s="38" t="str">
        <x:v>Q006::B01LT692RK_review_234905</x:v>
      </x:c>
      <x:c r="B206" s="38" t="str">
        <x:v>Q006</x:v>
      </x:c>
      <x:c r="C206" s="91" t="str">
        <x:v>Which lightweight laptop offers good battery life for travel and everyday office work?</x:v>
      </x:c>
      <x:c r="D206" s="38" t="n">
        <x:v>9</x:v>
      </x:c>
      <x:c r="E206" s="38" t="str">
        <x:v>B01LT692RK</x:v>
      </x:c>
      <x:c r="F206" s="38" t="str">
        <x:v>review</x:v>
      </x:c>
      <x:c r="G206" s="38" t="str">
        <x:v>battery life</x:v>
      </x:c>
      <x:c r="H206" s="38" t="str">
        <x:v>Computers</x:v>
      </x:c>
      <x:c r="I206" s="91" t="str">
        <x:v>[Product: ASUS E200HA Portable Lightweight 11.6-inch Intel Quad-Core Laptop, 4GB RAM, 32GB Storage, Windows 10 with 1 Year Microsoft Office 365 Subscription | ASIN: B01LT692RK] I carry that thing everywhere and battery life is great. The power supply looks a bit like a USB or Thunderbolt, but it is not-- it is a proprietary plug. The charger itself is very light, like a cell phone charger.</x:v>
      </x:c>
      <x:c r="J206" s="101" t="n">
        <x:v>2</x:v>
      </x:c>
      <x:c r="K206" s="92" t="str">
        <x:v>Human_Reviewer_01</x:v>
      </x:c>
      <x:c r="L206" s="92" t="str">
        <x:v>High</x:v>
      </x:c>
      <x:c r="M206" s="93" t="str">
        <x:v>Lightweight laptop is carried everywhere and has great battery life.</x:v>
      </x:c>
      <x:c r="N206" s="94"/>
      <x:c r="O206" s="94"/>
      <x:c r="P206" s="94"/>
      <x:c r="Q206" s="95"/>
      <x:c r="R206" s="96"/>
      <x:c r="S206" s="96"/>
      <x:c r="T206" s="97"/>
      <x:c r="U206" s="98" t="str">
        <x:f>IF(OR(J206="",N206=""),"",IF(J206=N206,"No","Yes"))</x:f>
      </x:c>
      <x:c r="V206" s="98" t="n">
        <x:v>2</x:v>
      </x:c>
    </x:row>
    <x:row r="207" ht="54" hidden="0" customHeight="1">
      <x:c r="A207" s="38" t="str">
        <x:v>Q006::B002SJ38M8_review_1624089</x:v>
      </x:c>
      <x:c r="B207" s="38" t="str">
        <x:v>Q006</x:v>
      </x:c>
      <x:c r="C207" s="91" t="str">
        <x:v>Which lightweight laptop offers good battery life for travel and everyday office work?</x:v>
      </x:c>
      <x:c r="D207" s="38" t="n">
        <x:v>10</x:v>
      </x:c>
      <x:c r="E207" s="38" t="str">
        <x:v>B002SJ38M8</x:v>
      </x:c>
      <x:c r="F207" s="38" t="str">
        <x:v>review</x:v>
      </x:c>
      <x:c r="G207" s="38" t="str">
        <x:v>battery life</x:v>
      </x:c>
      <x:c r="H207" s="38" t="str">
        <x:v>Computers</x:v>
      </x:c>
      <x:c r="I207" s="91" t="str">
        <x:v>[Product: Acer Aspire AS1410-2497 11.6-Inch Blue Laptop - Up to 6 Hours of Battery Life (Windows 7 Home Premium) | ASIN: B002SJ38M8] Small, light, nice keyboard, very nice screen, good battery life, and powerful enough for most everyday uses.</x:v>
      </x:c>
      <x:c r="J207" s="101" t="n">
        <x:v>2</x:v>
      </x:c>
      <x:c r="K207" s="92" t="str">
        <x:v>Human_Reviewer_01</x:v>
      </x:c>
      <x:c r="L207" s="92" t="str">
        <x:v>High</x:v>
      </x:c>
      <x:c r="M207" s="93" t="str">
        <x:v>Laptop is light with good battery life and enough power for everyday work.</x:v>
      </x:c>
      <x:c r="N207" s="94"/>
      <x:c r="O207" s="94"/>
      <x:c r="P207" s="94"/>
      <x:c r="Q207" s="95"/>
      <x:c r="R207" s="96"/>
      <x:c r="S207" s="96"/>
      <x:c r="T207" s="97"/>
      <x:c r="U207" s="98" t="str">
        <x:f>IF(OR(J207="",N207=""),"",IF(J207=N207,"No","Yes"))</x:f>
      </x:c>
      <x:c r="V207" s="98" t="n">
        <x:v>2</x:v>
      </x:c>
    </x:row>
    <x:row r="208" ht="54" hidden="0" customHeight="1">
      <x:c r="A208" s="38" t="str">
        <x:v>Q006::B0BHSWS8NV_review_3286892</x:v>
      </x:c>
      <x:c r="B208" s="38" t="str">
        <x:v>Q006</x:v>
      </x:c>
      <x:c r="C208" s="91" t="str">
        <x:v>Which lightweight laptop offers good battery life for travel and everyday office work?</x:v>
      </x:c>
      <x:c r="D208" s="38" t="n">
        <x:v>11</x:v>
      </x:c>
      <x:c r="E208" s="38" t="str">
        <x:v>B0BHSWS8NV</x:v>
      </x:c>
      <x:c r="F208" s="38" t="str">
        <x:v>review</x:v>
      </x:c>
      <x:c r="G208" s="38" t="str">
        <x:v>battery life</x:v>
      </x:c>
      <x:c r="H208" s="38" t="str">
        <x:v>Computers</x:v>
      </x:c>
      <x:c r="I208" s="91" t="str">
        <x:v>[Product: Keyboard for Samsung Tablet,Universal Slim Portable Bluetooth Keyboard for Android,Compatible with Samsung Galaxy Tab Tablets and More Bluetooth Enable Android Devices,White | ASIN: B0BHSWS8NV] Great tablet for everyday use , light good battery life and very user friendly</x:v>
      </x:c>
      <x:c r="J208" s="101" t="n">
        <x:v>0</x:v>
      </x:c>
      <x:c r="K208" s="92" t="str">
        <x:v>Human_Reviewer_01</x:v>
      </x:c>
      <x:c r="L208" s="92" t="str">
        <x:v>High</x:v>
      </x:c>
      <x:c r="M208" s="93" t="str">
        <x:v>Prefix describes a tablet keyboard and review describes a tablet; neither is a laptop.</x:v>
      </x:c>
      <x:c r="N208" s="94"/>
      <x:c r="O208" s="94"/>
      <x:c r="P208" s="94"/>
      <x:c r="Q208" s="95"/>
      <x:c r="R208" s="96"/>
      <x:c r="S208" s="96"/>
      <x:c r="T208" s="97"/>
      <x:c r="U208" s="98" t="str">
        <x:f>IF(OR(J208="",N208=""),"",IF(J208=N208,"No","Yes"))</x:f>
      </x:c>
      <x:c r="V208" s="98" t="n">
        <x:v>0</x:v>
      </x:c>
    </x:row>
    <x:row r="209" ht="54" hidden="0" customHeight="1">
      <x:c r="A209" s="38" t="str">
        <x:v>Q006::B07RGJRVH7_review_601024</x:v>
      </x:c>
      <x:c r="B209" s="38" t="str">
        <x:v>Q006</x:v>
      </x:c>
      <x:c r="C209" s="91" t="str">
        <x:v>Which lightweight laptop offers good battery life for travel and everyday office work?</x:v>
      </x:c>
      <x:c r="D209" s="38" t="n">
        <x:v>12</x:v>
      </x:c>
      <x:c r="E209" s="38" t="str">
        <x:v>B07RGJRVH7</x:v>
      </x:c>
      <x:c r="F209" s="38" t="str">
        <x:v>review</x:v>
      </x:c>
      <x:c r="G209" s="38" t="str">
        <x:v>battery life</x:v>
      </x:c>
      <x:c r="H209" s="38" t="str">
        <x:v>Computers</x:v>
      </x:c>
      <x:c r="I209" s="91" t="str">
        <x:v>[Product: Hanging Necklace Fan Neck Portable Electric Fan,1800mah Rechargeable Small Camera Fan with Aromatherapy for Home Outdoor Desk and Office (Black) | ASIN: B07RGJRVH7] Works really good battery lasts a while even on the highest setting and offers good air flow</x:v>
      </x:c>
      <x:c r="J209" s="101" t="n">
        <x:v>0</x:v>
      </x:c>
      <x:c r="K209" s="92" t="str">
        <x:v>Human_Reviewer_01</x:v>
      </x:c>
      <x:c r="L209" s="92" t="str">
        <x:v>High</x:v>
      </x:c>
      <x:c r="M209" s="93" t="str">
        <x:v>This is a wearable electric fan, not a laptop.</x:v>
      </x:c>
      <x:c r="N209" s="94"/>
      <x:c r="O209" s="94"/>
      <x:c r="P209" s="94"/>
      <x:c r="Q209" s="95"/>
      <x:c r="R209" s="96"/>
      <x:c r="S209" s="96"/>
      <x:c r="T209" s="97"/>
      <x:c r="U209" s="98" t="str">
        <x:f>IF(OR(J209="",N209=""),"",IF(J209=N209,"No","Yes"))</x:f>
      </x:c>
      <x:c r="V209" s="98" t="n">
        <x:v>0</x:v>
      </x:c>
    </x:row>
    <x:row r="210" ht="54" hidden="0" customHeight="1">
      <x:c r="A210" s="38" t="str">
        <x:v>Q006::B0C6KBMYM5_review_88775</x:v>
      </x:c>
      <x:c r="B210" s="38" t="str">
        <x:v>Q006</x:v>
      </x:c>
      <x:c r="C210" s="91" t="str">
        <x:v>Which lightweight laptop offers good battery life for travel and everyday office work?</x:v>
      </x:c>
      <x:c r="D210" s="38" t="n">
        <x:v>13</x:v>
      </x:c>
      <x:c r="E210" s="38" t="str">
        <x:v>B0C6KBMYM5</x:v>
      </x:c>
      <x:c r="F210" s="38" t="str">
        <x:v>review</x:v>
      </x:c>
      <x:c r="G210" s="38" t="str">
        <x:v>design/appearance</x:v>
      </x:c>
      <x:c r="H210" s="38" t="str">
        <x:v>Computers</x:v>
      </x:c>
      <x:c r="I210" s="91" t="str">
        <x:v>[Product: FALANKO Laptop Backpack for Women,Large Backpack Fits 17 Inch Laptop with USB Charging Port RFID Water Resistant Travel Daypack purse Casual Green Bookbag for Teacher/work/College/nurse/Doctor/Woman | ASIN: B0C6KBMYM5] The material and stitching is nice and it looks good with most everyday outfits I wear.</x:v>
      </x:c>
      <x:c r="J210" s="101" t="n">
        <x:v>0</x:v>
      </x:c>
      <x:c r="K210" s="92" t="str">
        <x:v>Human_Reviewer_01</x:v>
      </x:c>
      <x:c r="L210" s="92" t="str">
        <x:v>High</x:v>
      </x:c>
      <x:c r="M210" s="93" t="str">
        <x:v>This is a laptop backpack, not a laptop.</x:v>
      </x:c>
      <x:c r="N210" s="94"/>
      <x:c r="O210" s="94"/>
      <x:c r="P210" s="94"/>
      <x:c r="Q210" s="95"/>
      <x:c r="R210" s="96"/>
      <x:c r="S210" s="96"/>
      <x:c r="T210" s="97"/>
      <x:c r="U210" s="98" t="str">
        <x:f>IF(OR(J210="",N210=""),"",IF(J210=N210,"No","Yes"))</x:f>
      </x:c>
      <x:c r="V210" s="98" t="n">
        <x:v>0</x:v>
      </x:c>
    </x:row>
    <x:row r="211" ht="54" hidden="0" customHeight="1">
      <x:c r="A211" s="38" t="str">
        <x:v>Q006::B01EOQZE9W_review_3279261</x:v>
      </x:c>
      <x:c r="B211" s="38" t="str">
        <x:v>Q006</x:v>
      </x:c>
      <x:c r="C211" s="91" t="str">
        <x:v>Which lightweight laptop offers good battery life for travel and everyday office work?</x:v>
      </x:c>
      <x:c r="D211" s="38" t="n">
        <x:v>14</x:v>
      </x:c>
      <x:c r="E211" s="38" t="str">
        <x:v>B01EOQZE9W</x:v>
      </x:c>
      <x:c r="F211" s="38" t="str">
        <x:v>review</x:v>
      </x:c>
      <x:c r="G211" s="38" t="str">
        <x:v>design/appearance</x:v>
      </x:c>
      <x:c r="H211" s="38" t="str">
        <x:v>Computers</x:v>
      </x:c>
      <x:c r="I211" s="91" t="str">
        <x:v>[Product: Targus Mobile-VIP Travel and TSA Checkpoint-Friendly Backpack for Business Professional Travel with Durable Weather-Resistant, Trolley Strap, Protective Sling for 15.6-Inch Laptop, Black (PSB862) | ASIN: B01EOQZE9W] Looks sharp, Offers good protection for my small laptop with room for accessories and an iPad.</x:v>
      </x:c>
      <x:c r="J211" s="101" t="n">
        <x:v>0</x:v>
      </x:c>
      <x:c r="K211" s="92" t="str">
        <x:v>Human_Reviewer_01</x:v>
      </x:c>
      <x:c r="L211" s="92" t="str">
        <x:v>High</x:v>
      </x:c>
      <x:c r="M211" s="93" t="str">
        <x:v>This is a laptop backpack, not a laptop.</x:v>
      </x:c>
      <x:c r="N211" s="94"/>
      <x:c r="O211" s="94"/>
      <x:c r="P211" s="94"/>
      <x:c r="Q211" s="95"/>
      <x:c r="R211" s="96"/>
      <x:c r="S211" s="96"/>
      <x:c r="T211" s="97"/>
      <x:c r="U211" s="98" t="str">
        <x:f>IF(OR(J211="",N211=""),"",IF(J211=N211,"No","Yes"))</x:f>
      </x:c>
      <x:c r="V211" s="98" t="n">
        <x:v>0</x:v>
      </x:c>
    </x:row>
    <x:row r="212" ht="54" hidden="0" customHeight="1">
      <x:c r="A212" s="38" t="str">
        <x:v>Q006::B002PK154S_review_106266</x:v>
      </x:c>
      <x:c r="B212" s="38" t="str">
        <x:v>Q006</x:v>
      </x:c>
      <x:c r="C212" s="91" t="str">
        <x:v>Which lightweight laptop offers good battery life for travel and everyday office work?</x:v>
      </x:c>
      <x:c r="D212" s="38" t="n">
        <x:v>15</x:v>
      </x:c>
      <x:c r="E212" s="38" t="str">
        <x:v>B002PK154S</x:v>
      </x:c>
      <x:c r="F212" s="38" t="str">
        <x:v>review</x:v>
      </x:c>
      <x:c r="G212" s="38" t="str">
        <x:v>screen/display</x:v>
      </x:c>
      <x:c r="H212" s="38" t="str">
        <x:v>Computers</x:v>
      </x:c>
      <x:c r="I212" s="91" t="str">
        <x:v>[Product: Lenovo Ideapad U-350 (2963-47U) 13.3-Inch Black Laptop - Up to 5 Hours of Battery Life (Windows 7 Home Premium) | ASIN: B002PK154S] Nice bright screen with good viewing angles. The one major shortcoming is the ultra wide screen makes the screen too short for everyday office use. Macbooks more rectangular wide screen and software is much better in a 13".</x:v>
      </x:c>
      <x:c r="J212" s="101" t="n">
        <x:v>2</x:v>
      </x:c>
      <x:c r="K212" s="92" t="str">
        <x:v>Human_Reviewer_01</x:v>
      </x:c>
      <x:c r="L212" s="92" t="str">
        <x:v>Medium</x:v>
      </x:c>
      <x:c r="M212" s="93" t="str">
        <x:v>Laptop screen proportions are explicitly unsuitable for everyday office use; direct task-related negative evidence.</x:v>
      </x:c>
      <x:c r="N212" s="94"/>
      <x:c r="O212" s="94"/>
      <x:c r="P212" s="94"/>
      <x:c r="Q212" s="95"/>
      <x:c r="R212" s="96"/>
      <x:c r="S212" s="96"/>
      <x:c r="T212" s="97"/>
      <x:c r="U212" s="98" t="str">
        <x:f>IF(OR(J212="",N212=""),"",IF(J212=N212,"No","Yes"))</x:f>
      </x:c>
      <x:c r="V212" s="98" t="n">
        <x:v>2</x:v>
      </x:c>
    </x:row>
    <x:row r="213" ht="54" hidden="0" customHeight="1">
      <x:c r="A213" s="38" t="str">
        <x:v>Q006::B0029PQFT4_review_3457886</x:v>
      </x:c>
      <x:c r="B213" s="38" t="str">
        <x:v>Q006</x:v>
      </x:c>
      <x:c r="C213" s="91" t="str">
        <x:v>Which lightweight laptop offers good battery life for travel and everyday office work?</x:v>
      </x:c>
      <x:c r="D213" s="38" t="n">
        <x:v>16</x:v>
      </x:c>
      <x:c r="E213" s="38" t="str">
        <x:v>B0029PQFT4</x:v>
      </x:c>
      <x:c r="F213" s="38" t="str">
        <x:v>review</x:v>
      </x:c>
      <x:c r="G213" s="38" t="str">
        <x:v>battery life</x:v>
      </x:c>
      <x:c r="H213" s="38" t="str">
        <x:v>Computers</x:v>
      </x:c>
      <x:c r="I213" s="91" t="str">
        <x:v>[Product: ASUS Eee PC 1008HA Seashell 10.1-Inch Pearl White Netbook - 6 Hour Battery Life | ASIN: B0029PQFT4] The bottom line is, this unit offers 802.11N, Bluetooth, larger hard drive and good battery life for a few $s more.</x:v>
      </x:c>
      <x:c r="J213" s="101" t="n">
        <x:v>2</x:v>
      </x:c>
      <x:c r="K213" s="92" t="str">
        <x:v>Human_Reviewer_01</x:v>
      </x:c>
      <x:c r="L213" s="92" t="str">
        <x:v>Medium</x:v>
      </x:c>
      <x:c r="M213" s="93" t="str">
        <x:v>Netbook directly has good battery life; lightweight travel suitability is not established.</x:v>
      </x:c>
      <x:c r="N213" s="94"/>
      <x:c r="O213" s="94"/>
      <x:c r="P213" s="94"/>
      <x:c r="Q213" s="95"/>
      <x:c r="R213" s="96"/>
      <x:c r="S213" s="96"/>
      <x:c r="T213" s="97"/>
      <x:c r="U213" s="98" t="str">
        <x:f>IF(OR(J213="",N213=""),"",IF(J213=N213,"No","Yes"))</x:f>
      </x:c>
      <x:c r="V213" s="98" t="n">
        <x:v>2</x:v>
      </x:c>
    </x:row>
    <x:row r="214" ht="54" hidden="0" customHeight="1">
      <x:c r="A214" s="38" t="str">
        <x:v>Q006::B08HWCGDL8_review_1823664</x:v>
      </x:c>
      <x:c r="B214" s="38" t="str">
        <x:v>Q006</x:v>
      </x:c>
      <x:c r="C214" s="91" t="str">
        <x:v>Which lightweight laptop offers good battery life for travel and everyday office work?</x:v>
      </x:c>
      <x:c r="D214" s="38" t="n">
        <x:v>17</x:v>
      </x:c>
      <x:c r="E214" s="38" t="str">
        <x:v>B08HWCGDL8</x:v>
      </x:c>
      <x:c r="F214" s="38" t="str">
        <x:v>review</x:v>
      </x:c>
      <x:c r="G214" s="38" t="str">
        <x:v>battery life</x:v>
      </x:c>
      <x:c r="H214" s="38" t="str">
        <x:v>Computers</x:v>
      </x:c>
      <x:c r="I214" s="91" t="str">
        <x:v>[Product: YEKBEE Keyboard case with touchpad for ipad | ASIN: B08HWCGDL8] Kwy travel for typing is very good and the battery life is decent.</x:v>
      </x:c>
      <x:c r="J214" s="101" t="n">
        <x:v>0</x:v>
      </x:c>
      <x:c r="K214" s="92" t="str">
        <x:v>Human_Reviewer_01</x:v>
      </x:c>
      <x:c r="L214" s="92" t="str">
        <x:v>High</x:v>
      </x:c>
      <x:c r="M214" s="93" t="str">
        <x:v>This is an iPad keyboard case, not a laptop.</x:v>
      </x:c>
      <x:c r="N214" s="94"/>
      <x:c r="O214" s="94"/>
      <x:c r="P214" s="94"/>
      <x:c r="Q214" s="95"/>
      <x:c r="R214" s="96"/>
      <x:c r="S214" s="96"/>
      <x:c r="T214" s="97"/>
      <x:c r="U214" s="98" t="str">
        <x:f>IF(OR(J214="",N214=""),"",IF(J214=N214,"No","Yes"))</x:f>
      </x:c>
      <x:c r="V214" s="98" t="n">
        <x:v>0</x:v>
      </x:c>
    </x:row>
    <x:row r="215" ht="54" hidden="0" customHeight="1">
      <x:c r="A215" s="38" t="str">
        <x:v>Q006::B09VSQ1148_review_3659601</x:v>
      </x:c>
      <x:c r="B215" s="38" t="str">
        <x:v>Q006</x:v>
      </x:c>
      <x:c r="C215" s="91" t="str">
        <x:v>Which lightweight laptop offers good battery life for travel and everyday office work?</x:v>
      </x:c>
      <x:c r="D215" s="38" t="n">
        <x:v>18</x:v>
      </x:c>
      <x:c r="E215" s="38" t="str">
        <x:v>B09VSQ1148</x:v>
      </x:c>
      <x:c r="F215" s="38" t="str">
        <x:v>review</x:v>
      </x:c>
      <x:c r="G215" s="38" t="str">
        <x:v>battery life</x:v>
      </x:c>
      <x:c r="H215" s="38" t="str">
        <x:v>Computers</x:v>
      </x:c>
      <x:c r="I215" s="91" t="str">
        <x:v>[Product: 15 Inch Retro Buffalo Hunter Leather Laptop Messenger Bag Office Briefcase Crossbody Travel Bag For Men And Women College Bag Office Laptop Bag | ASIN: B09VSQ1148] It holds my laptop and associated charging cords for my laptop,phone, and tablet.</x:v>
      </x:c>
      <x:c r="J215" s="101" t="n">
        <x:v>0</x:v>
      </x:c>
      <x:c r="K215" s="92" t="str">
        <x:v>Human_Reviewer_01</x:v>
      </x:c>
      <x:c r="L215" s="92" t="str">
        <x:v>High</x:v>
      </x:c>
      <x:c r="M215" s="93" t="str">
        <x:v>This is a laptop messenger bag, not a laptop.</x:v>
      </x:c>
      <x:c r="N215" s="94"/>
      <x:c r="O215" s="94"/>
      <x:c r="P215" s="94"/>
      <x:c r="Q215" s="95"/>
      <x:c r="R215" s="96"/>
      <x:c r="S215" s="96"/>
      <x:c r="T215" s="97"/>
      <x:c r="U215" s="98" t="str">
        <x:f>IF(OR(J215="",N215=""),"",IF(J215=N215,"No","Yes"))</x:f>
      </x:c>
      <x:c r="V215" s="98" t="n">
        <x:v>0</x:v>
      </x:c>
    </x:row>
    <x:row r="216" ht="54" hidden="0" customHeight="1">
      <x:c r="A216" s="38" t="str">
        <x:v>Q006::B003WIYMA6_review_1892850</x:v>
      </x:c>
      <x:c r="B216" s="38" t="str">
        <x:v>Q006</x:v>
      </x:c>
      <x:c r="C216" s="91" t="str">
        <x:v>Which lightweight laptop offers good battery life for travel and everyday office work?</x:v>
      </x:c>
      <x:c r="D216" s="38" t="n">
        <x:v>19</x:v>
      </x:c>
      <x:c r="E216" s="38" t="str">
        <x:v>B003WIYMA6</x:v>
      </x:c>
      <x:c r="F216" s="38" t="str">
        <x:v>review</x:v>
      </x:c>
      <x:c r="G216" s="38" t="str">
        <x:v>connectivity</x:v>
      </x:c>
      <x:c r="H216" s="38" t="str">
        <x:v>Computers</x:v>
      </x:c>
      <x:c r="I216" s="91" t="str">
        <x:v>[Product: ASUS U45JC-A1 14-Inch Thin and Light Laptop - Up to 10 Hours of Battery Life | ASIN: B003WIYMA6] I would recommend getting a Lenovo Thinkpad Edge, Toshiba Portege, or a HP dm4.</x:v>
      </x:c>
      <x:c r="J216" s="101" t="n">
        <x:v>1</x:v>
      </x:c>
      <x:c r="K216" s="92" t="str">
        <x:v>Human_Reviewer_01</x:v>
      </x:c>
      <x:c r="L216" s="92" t="str">
        <x:v>High</x:v>
      </x:c>
      <x:c r="M216" s="93" t="str">
        <x:v>Alternative laptop recommendations lack reasons about weight, endurance, or office performance.</x:v>
      </x:c>
      <x:c r="N216" s="94"/>
      <x:c r="O216" s="94"/>
      <x:c r="P216" s="94"/>
      <x:c r="Q216" s="95"/>
      <x:c r="R216" s="96"/>
      <x:c r="S216" s="96"/>
      <x:c r="T216" s="97"/>
      <x:c r="U216" s="98" t="str">
        <x:f>IF(OR(J216="",N216=""),"",IF(J216=N216,"No","Yes"))</x:f>
      </x:c>
      <x:c r="V216" s="98" t="n">
        <x:v>1</x:v>
      </x:c>
    </x:row>
    <x:row r="217" ht="54" hidden="0" customHeight="1">
      <x:c r="A217" s="38" t="str">
        <x:v>Q006::B0039NMF6C_review_3985025</x:v>
      </x:c>
      <x:c r="B217" s="38" t="str">
        <x:v>Q006</x:v>
      </x:c>
      <x:c r="C217" s="91" t="str">
        <x:v>Which lightweight laptop offers good battery life for travel and everyday office work?</x:v>
      </x:c>
      <x:c r="D217" s="38" t="n">
        <x:v>20</x:v>
      </x:c>
      <x:c r="E217" s="38" t="str">
        <x:v>B0039NMF6C</x:v>
      </x:c>
      <x:c r="F217" s="38" t="str">
        <x:v>review</x:v>
      </x:c>
      <x:c r="G217" s="38" t="str">
        <x:v>connectivity</x:v>
      </x:c>
      <x:c r="H217" s="38" t="str">
        <x:v>Computers</x:v>
      </x:c>
      <x:c r="I217" s="91" t="str">
        <x:v>[Product: ASUS UL30Vt-A1 Thin and Light 13.3-Inch Silver Laptop (12 Hours of Battery Life) | ASIN: B0039NMF6C] This and light&lt;br /&gt;- Smart Logon is cool, works pretty well.&lt;br /&gt;- Quick-boot OS is handy, even if it cannot connect to a WPA2-Enterprise network.&lt;br /&gt;-</x:v>
      </x:c>
      <x:c r="J217" s="101" t="n">
        <x:v>2</x:v>
      </x:c>
      <x:c r="K217" s="92" t="str">
        <x:v>Human_Reviewer_01</x:v>
      </x:c>
      <x:c r="L217" s="92" t="str">
        <x:v>Medium</x:v>
      </x:c>
      <x:c r="M217" s="93" t="str">
        <x:v>Thin-and-light laptop and quick-boot operation are described; endurance is only a title claim.</x:v>
      </x:c>
      <x:c r="N217" s="94"/>
      <x:c r="O217" s="94"/>
      <x:c r="P217" s="94"/>
      <x:c r="Q217" s="95"/>
      <x:c r="R217" s="96"/>
      <x:c r="S217" s="96"/>
      <x:c r="T217" s="97"/>
      <x:c r="U217" s="98" t="str">
        <x:f>IF(OR(J217="",N217=""),"",IF(J217=N217,"No","Yes"))</x:f>
      </x:c>
      <x:c r="V217" s="98" t="n">
        <x:v>2</x:v>
      </x:c>
    </x:row>
    <x:row r="218" ht="54" hidden="0" customHeight="1">
      <x:c r="A218" s="38" t="str">
        <x:v>Q006::B0034H2YNM_review_736310</x:v>
      </x:c>
      <x:c r="B218" s="38" t="str">
        <x:v>Q006</x:v>
      </x:c>
      <x:c r="C218" s="91" t="str">
        <x:v>Which lightweight laptop offers good battery life for travel and everyday office work?</x:v>
      </x:c>
      <x:c r="D218" s="38" t="n">
        <x:v>21</x:v>
      </x:c>
      <x:c r="E218" s="38" t="str">
        <x:v>B0034H2YNM</x:v>
      </x:c>
      <x:c r="F218" s="38" t="str">
        <x:v>review</x:v>
      </x:c>
      <x:c r="G218" s="38" t="str">
        <x:v>battery life</x:v>
      </x:c>
      <x:c r="H218" s="38" t="str">
        <x:v>Computers</x:v>
      </x:c>
      <x:c r="I218" s="91" t="str">
        <x:v>[Product: ASUS UL80Vt- A2 14-Inch Thin and Light Laptop (Silver) | ASIN: B0034H2YNM] but i need it a lot of time to be without a power source and this one just fits the bill. Well it can easily last upto 8 hours without charging if we all normal function like not playing any games. Very lightweight and a very long battery life is short. You do not need to charge it much and it runs for a long time and you can keep it on your lap without any problem.</x:v>
      </x:c>
      <x:c r="J218" s="101" t="n">
        <x:v>2</x:v>
      </x:c>
      <x:c r="K218" s="92" t="str">
        <x:v>Human_Reviewer_01</x:v>
      </x:c>
      <x:c r="L218" s="92" t="str">
        <x:v>High</x:v>
      </x:c>
      <x:c r="M218" s="93" t="str">
        <x:v>Lightweight laptop lasts about eight hours in ordinary nongaming use.</x:v>
      </x:c>
      <x:c r="N218" s="94"/>
      <x:c r="O218" s="94"/>
      <x:c r="P218" s="94"/>
      <x:c r="Q218" s="95"/>
      <x:c r="R218" s="96"/>
      <x:c r="S218" s="96"/>
      <x:c r="T218" s="97"/>
      <x:c r="U218" s="98" t="str">
        <x:f>IF(OR(J218="",N218=""),"",IF(J218=N218,"No","Yes"))</x:f>
      </x:c>
      <x:c r="V218" s="98" t="n">
        <x:v>2</x:v>
      </x:c>
    </x:row>
    <x:row r="219" ht="54" hidden="0" customHeight="1">
      <x:c r="A219" s="38" t="str">
        <x:v>Q006::B071QY55YZ_review_2669274</x:v>
      </x:c>
      <x:c r="B219" s="38" t="str">
        <x:v>Q006</x:v>
      </x:c>
      <x:c r="C219" s="91" t="str">
        <x:v>Which lightweight laptop offers good battery life for travel and everyday office work?</x:v>
      </x:c>
      <x:c r="D219" s="38" t="n">
        <x:v>22</x:v>
      </x:c>
      <x:c r="E219" s="38" t="str">
        <x:v>B071QY55YZ</x:v>
      </x:c>
      <x:c r="F219" s="38" t="str">
        <x:v>review</x:v>
      </x:c>
      <x:c r="G219" s="38" t="str">
        <x:v>price/value</x:v>
      </x:c>
      <x:c r="H219" s="38" t="str">
        <x:v>Computers</x:v>
      </x:c>
      <x:c r="I219" s="91" t="str">
        <x:v>[Product: 18 Inch Vintage Handmade Leather Travel Messenger Office Crossbody Bag Laptop Briefcase Computer College Satchel Bag For Men And Women | ASIN: B071QY55YZ] And it is a good price for a leather bag.</x:v>
      </x:c>
      <x:c r="J219" s="101" t="n">
        <x:v>0</x:v>
      </x:c>
      <x:c r="K219" s="92" t="str">
        <x:v>Human_Reviewer_01</x:v>
      </x:c>
      <x:c r="L219" s="92" t="str">
        <x:v>High</x:v>
      </x:c>
      <x:c r="M219" s="93" t="str">
        <x:v>This is a laptop bag, not a laptop.</x:v>
      </x:c>
      <x:c r="N219" s="94"/>
      <x:c r="O219" s="94"/>
      <x:c r="P219" s="94"/>
      <x:c r="Q219" s="95"/>
      <x:c r="R219" s="96"/>
      <x:c r="S219" s="96"/>
      <x:c r="T219" s="97"/>
      <x:c r="U219" s="98" t="str">
        <x:f>IF(OR(J219="",N219=""),"",IF(J219=N219,"No","Yes"))</x:f>
      </x:c>
      <x:c r="V219" s="98" t="n">
        <x:v>0</x:v>
      </x:c>
    </x:row>
    <x:row r="220" ht="54" hidden="0" customHeight="1">
      <x:c r="A220" s="38" t="str">
        <x:v>Q006::B00BM1PWTU_review_1850179</x:v>
      </x:c>
      <x:c r="B220" s="38" t="str">
        <x:v>Q006</x:v>
      </x:c>
      <x:c r="C220" s="91" t="str">
        <x:v>Which lightweight laptop offers good battery life for travel and everyday office work?</x:v>
      </x:c>
      <x:c r="D220" s="38" t="n">
        <x:v>23</x:v>
      </x:c>
      <x:c r="E220" s="38" t="str">
        <x:v>B00BM1PWTU</x:v>
      </x:c>
      <x:c r="F220" s="38" t="str">
        <x:v>review</x:v>
      </x:c>
      <x:c r="G220" s="38" t="str">
        <x:v>battery life</x:v>
      </x:c>
      <x:c r="H220" s="38" t="str">
        <x:v>Computers</x:v>
      </x:c>
      <x:c r="I220" s="91" t="str">
        <x:v>[Product: Toshiba KIRAbook 13 i5 Laptop | ASIN: B00BM1PWTU] Needed something light but powerful, since I travel 30 per cent of my work time.</x:v>
      </x:c>
      <x:c r="J220" s="101" t="n">
        <x:v>1</x:v>
      </x:c>
      <x:c r="K220" s="92" t="str">
        <x:v>Human_Reviewer_01</x:v>
      </x:c>
      <x:c r="L220" s="92" t="str">
        <x:v>High</x:v>
      </x:c>
      <x:c r="M220" s="93" t="str">
        <x:v>Travel-related purchase needs are stated without achieved weight or battery performance.</x:v>
      </x:c>
      <x:c r="N220" s="94"/>
      <x:c r="O220" s="94"/>
      <x:c r="P220" s="94"/>
      <x:c r="Q220" s="95"/>
      <x:c r="R220" s="96"/>
      <x:c r="S220" s="96"/>
      <x:c r="T220" s="97"/>
      <x:c r="U220" s="98" t="str">
        <x:f>IF(OR(J220="",N220=""),"",IF(J220=N220,"No","Yes"))</x:f>
      </x:c>
      <x:c r="V220" s="98" t="n">
        <x:v>1</x:v>
      </x:c>
    </x:row>
    <x:row r="221" ht="54" hidden="0" customHeight="1">
      <x:c r="A221" s="38" t="str">
        <x:v>Q006::B0039NMF6C_review_3985015</x:v>
      </x:c>
      <x:c r="B221" s="38" t="str">
        <x:v>Q006</x:v>
      </x:c>
      <x:c r="C221" s="91" t="str">
        <x:v>Which lightweight laptop offers good battery life for travel and everyday office work?</x:v>
      </x:c>
      <x:c r="D221" s="38" t="n">
        <x:v>24</x:v>
      </x:c>
      <x:c r="E221" s="38" t="str">
        <x:v>B0039NMF6C</x:v>
      </x:c>
      <x:c r="F221" s="38" t="str">
        <x:v>review</x:v>
      </x:c>
      <x:c r="G221" s="38" t="str">
        <x:v>price/value</x:v>
      </x:c>
      <x:c r="H221" s="38" t="str">
        <x:v>Computers</x:v>
      </x:c>
      <x:c r="I221" s="91" t="str">
        <x:v>[Product: ASUS UL30Vt-A1 Thin and Light 13.3-Inch Silver Laptop (12 Hours of Battery Life) | ASIN: B0039NMF6C] It is really a great value.</x:v>
      </x:c>
      <x:c r="J221" s="101" t="n">
        <x:v>1</x:v>
      </x:c>
      <x:c r="K221" s="92" t="str">
        <x:v>Human_Reviewer_01</x:v>
      </x:c>
      <x:c r="L221" s="92" t="str">
        <x:v>High</x:v>
      </x:c>
      <x:c r="M221" s="93" t="str">
        <x:v>Correct laptop with relevant title claims, but review only gives generic value praise.</x:v>
      </x:c>
      <x:c r="N221" s="94"/>
      <x:c r="O221" s="94"/>
      <x:c r="P221" s="94"/>
      <x:c r="Q221" s="95"/>
      <x:c r="R221" s="96"/>
      <x:c r="S221" s="96"/>
      <x:c r="T221" s="97"/>
      <x:c r="U221" s="98" t="str">
        <x:f>IF(OR(J221="",N221=""),"",IF(J221=N221,"No","Yes"))</x:f>
      </x:c>
      <x:c r="V221" s="98" t="n">
        <x:v>1</x:v>
      </x:c>
    </x:row>
    <x:row r="222" ht="54" hidden="0" customHeight="1">
      <x:c r="A222" s="38" t="str">
        <x:v>Q006::B003WIYMA6_review_1892834</x:v>
      </x:c>
      <x:c r="B222" s="38" t="str">
        <x:v>Q006</x:v>
      </x:c>
      <x:c r="C222" s="91" t="str">
        <x:v>Which lightweight laptop offers good battery life for travel and everyday office work?</x:v>
      </x:c>
      <x:c r="D222" s="38" t="n">
        <x:v>25</x:v>
      </x:c>
      <x:c r="E222" s="38" t="str">
        <x:v>B003WIYMA6</x:v>
      </x:c>
      <x:c r="F222" s="38" t="str">
        <x:v>review</x:v>
      </x:c>
      <x:c r="G222" s="38" t="str">
        <x:v>battery life</x:v>
      </x:c>
      <x:c r="H222" s="38" t="str">
        <x:v>Computers</x:v>
      </x:c>
      <x:c r="I222" s="91" t="str">
        <x:v>[Product: ASUS U45JC-A1 14-Inch Thin and Light Laptop - Up to 10 Hours of Battery Life | ASIN: B003WIYMA6] ExpressGate is just a curiosity at this point (the 2nd power button boots the laptop within seconds to a limited, Linux based OS and a handful of basic programs). The front indicator lights are a bit too bright when watching movies (easily fixed with a folded Post-It note).&lt;br /&gt;&lt;br /&gt;Battery FireFox, wi-fi, Excel and Outlook are running from 7am - 3pm and at the end of the day, I usually have 20-25% power remaining.&lt;br /&gt;&lt;br /&gt;-</x:v>
      </x:c>
      <x:c r="J222" s="101" t="n">
        <x:v>2</x:v>
      </x:c>
      <x:c r="K222" s="92" t="str">
        <x:v>Human_Reviewer_01</x:v>
      </x:c>
      <x:c r="L222" s="92" t="str">
        <x:v>High</x:v>
      </x:c>
      <x:c r="M222" s="93" t="str">
        <x:v>Thin-and-light laptop runs office applications for eight hours with battery remaining.</x:v>
      </x:c>
      <x:c r="N222" s="94"/>
      <x:c r="O222" s="94"/>
      <x:c r="P222" s="94"/>
      <x:c r="Q222" s="95"/>
      <x:c r="R222" s="96"/>
      <x:c r="S222" s="96"/>
      <x:c r="T222" s="97"/>
      <x:c r="U222" s="98" t="str">
        <x:f>IF(OR(J222="",N222=""),"",IF(J222=N222,"No","Yes"))</x:f>
      </x:c>
      <x:c r="V222" s="98" t="n">
        <x:v>2</x:v>
      </x:c>
    </x:row>
    <x:row r="223" ht="54" hidden="0" customHeight="1">
      <x:c r="A223" s="38" t="str">
        <x:v>Q006::B07QR73VNB_review_3710992</x:v>
      </x:c>
      <x:c r="B223" s="38" t="str">
        <x:v>Q006</x:v>
      </x:c>
      <x:c r="C223" s="91" t="str">
        <x:v>Which lightweight laptop offers good battery life for travel and everyday office work?</x:v>
      </x:c>
      <x:c r="D223" s="38" t="n">
        <x:v>26</x:v>
      </x:c>
      <x:c r="E223" s="38" t="str">
        <x:v>B07QR73VNB</x:v>
      </x:c>
      <x:c r="F223" s="38" t="str">
        <x:v>review</x:v>
      </x:c>
      <x:c r="G223" s="38" t="str">
        <x:v>battery life</x:v>
      </x:c>
      <x:c r="H223" s="38" t="str">
        <x:v>Computers</x:v>
      </x:c>
      <x:c r="I223" s="91" t="str">
        <x:v>[Product: Lenovo 2019 New 300e Flagship 2-in-1 Business Laptop/Tablet, 11.6" HD IPS Touchscreen, Intel Celeron Quad-Core N3450 up to 2.2GHz, 4GB DDR4, 64GB eMMC, Windows 10 S/Pro, Choose Flash Drive | ASIN: B07QR73VNB] Battery life is pretty good, depending on how many tabs or programs you have running depends on battery life, but I have had an average of 8 to 9 hours daily use. It charges up in approximately 1.5 hours.</x:v>
      </x:c>
      <x:c r="J223" s="101" t="n">
        <x:v>2</x:v>
      </x:c>
      <x:c r="K223" s="92" t="str">
        <x:v>Human_Reviewer_01</x:v>
      </x:c>
      <x:c r="L223" s="92" t="str">
        <x:v>High</x:v>
      </x:c>
      <x:c r="M223" s="93" t="str">
        <x:v>Laptop supports eight to nine hours of daily battery use with charging-time evidence.</x:v>
      </x:c>
      <x:c r="N223" s="94"/>
      <x:c r="O223" s="94"/>
      <x:c r="P223" s="94"/>
      <x:c r="Q223" s="95"/>
      <x:c r="R223" s="96"/>
      <x:c r="S223" s="96"/>
      <x:c r="T223" s="97"/>
      <x:c r="U223" s="98" t="str">
        <x:f>IF(OR(J223="",N223=""),"",IF(J223=N223,"No","Yes"))</x:f>
      </x:c>
      <x:c r="V223" s="98" t="n">
        <x:v>2</x:v>
      </x:c>
    </x:row>
    <x:row r="224" ht="54" hidden="0" customHeight="1">
      <x:c r="A224" s="38" t="str">
        <x:v>Q006::B01LT692RK_review_234900</x:v>
      </x:c>
      <x:c r="B224" s="38" t="str">
        <x:v>Q006</x:v>
      </x:c>
      <x:c r="C224" s="91" t="str">
        <x:v>Which lightweight laptop offers good battery life for travel and everyday office work?</x:v>
      </x:c>
      <x:c r="D224" s="38" t="n">
        <x:v>27</x:v>
      </x:c>
      <x:c r="E224" s="38" t="str">
        <x:v>B01LT692RK</x:v>
      </x:c>
      <x:c r="F224" s="38" t="str">
        <x:v>review</x:v>
      </x:c>
      <x:c r="G224" s="38" t="str">
        <x:v>battery life</x:v>
      </x:c>
      <x:c r="H224" s="38" t="str">
        <x:v>Computers</x:v>
      </x:c>
      <x:c r="I224" s="91" t="str">
        <x:v>[Product: ASUS E200HA Portable Lightweight 11.6-inch Intel Quad-Core Laptop, 4GB RAM, 32GB Storage, Windows 10 with 1 Year Microsoft Office 365 Subscription | ASIN: B01LT692RK] /&gt;I am saving the best for last: it has 10+ hours of battery life even with moderate-to-heavy use. It has lasted entire flights across the country on half a charge.</x:v>
      </x:c>
      <x:c r="J224" s="101" t="n">
        <x:v>2</x:v>
      </x:c>
      <x:c r="K224" s="92" t="str">
        <x:v>Human_Reviewer_01</x:v>
      </x:c>
      <x:c r="L224" s="92" t="str">
        <x:v>High</x:v>
      </x:c>
      <x:c r="M224" s="93" t="str">
        <x:v>Lightweight laptop lasts over ten hours and entire flights on half a charge.</x:v>
      </x:c>
      <x:c r="N224" s="94"/>
      <x:c r="O224" s="94"/>
      <x:c r="P224" s="94"/>
      <x:c r="Q224" s="95"/>
      <x:c r="R224" s="96"/>
      <x:c r="S224" s="96"/>
      <x:c r="T224" s="97"/>
      <x:c r="U224" s="98" t="str">
        <x:f>IF(OR(J224="",N224=""),"",IF(J224=N224,"No","Yes"))</x:f>
      </x:c>
      <x:c r="V224" s="98" t="n">
        <x:v>2</x:v>
      </x:c>
    </x:row>
    <x:row r="225" ht="54" hidden="0" customHeight="1">
      <x:c r="A225" s="38" t="str">
        <x:v>Q006::B00RBDBNQ4_review_1446336</x:v>
      </x:c>
      <x:c r="B225" s="38" t="str">
        <x:v>Q006</x:v>
      </x:c>
      <x:c r="C225" s="91" t="str">
        <x:v>Which lightweight laptop offers good battery life for travel and everyday office work?</x:v>
      </x:c>
      <x:c r="D225" s="38" t="n">
        <x:v>28</x:v>
      </x:c>
      <x:c r="E225" s="38" t="str">
        <x:v>B00RBDBNQ4</x:v>
      </x:c>
      <x:c r="F225" s="38" t="str">
        <x:v>review</x:v>
      </x:c>
      <x:c r="G225" s="38" t="str">
        <x:v>battery life</x:v>
      </x:c>
      <x:c r="H225" s="38" t="str">
        <x:v>Computers</x:v>
      </x:c>
      <x:c r="I225" s="91" t="str">
        <x:v>[Product: GIGABYTE P34WV3-CF2 14-Inch Laptop | ASIN: B00RBDBNQ4] I travel for work and wanted something that I could carry easily, could open in a professional meeting without it screaming for attention, with enough ports to plug in projectors and such, and enough power to play current titles when I am bored sitting in a hotel.</x:v>
      </x:c>
      <x:c r="J225" s="101" t="n">
        <x:v>1</x:v>
      </x:c>
      <x:c r="K225" s="92" t="str">
        <x:v>Human_Reviewer_01</x:v>
      </x:c>
      <x:c r="L225" s="92" t="str">
        <x:v>High</x:v>
      </x:c>
      <x:c r="M225" s="93" t="str">
        <x:v>Travel and meeting requirements are stated without evidence the laptop fulfills them.</x:v>
      </x:c>
      <x:c r="N225" s="94"/>
      <x:c r="O225" s="94"/>
      <x:c r="P225" s="94"/>
      <x:c r="Q225" s="95"/>
      <x:c r="R225" s="96"/>
      <x:c r="S225" s="96"/>
      <x:c r="T225" s="97"/>
      <x:c r="U225" s="98" t="str">
        <x:f>IF(OR(J225="",N225=""),"",IF(J225=N225,"No","Yes"))</x:f>
      </x:c>
      <x:c r="V225" s="98" t="n">
        <x:v>1</x:v>
      </x:c>
    </x:row>
    <x:row r="226" ht="54" hidden="0" customHeight="1">
      <x:c r="A226" s="38" t="str">
        <x:v>Q006::B09TY8SF5J_review_4118310</x:v>
      </x:c>
      <x:c r="B226" s="38" t="str">
        <x:v>Q006</x:v>
      </x:c>
      <x:c r="C226" s="91" t="str">
        <x:v>Which lightweight laptop offers good battery life for travel and everyday office work?</x:v>
      </x:c>
      <x:c r="D226" s="38" t="n">
        <x:v>29</x:v>
      </x:c>
      <x:c r="E226" s="38" t="str">
        <x:v>B09TY8SF5J</x:v>
      </x:c>
      <x:c r="F226" s="38" t="str">
        <x:v>review</x:v>
      </x:c>
      <x:c r="G226" s="38" t="str">
        <x:v>battery life</x:v>
      </x:c>
      <x:c r="H226" s="38" t="str">
        <x:v>Computers</x:v>
      </x:c>
      <x:c r="I226" s="91" t="str">
        <x:v>[Product: ASUS Laptop L410 Ultra Thin Laptop, 14” FHD Display, Intel Celeron N4020 Processor, 4GB RAM, 128GB Storage, NumberPad, Windows 11 Home in S Mode, 1 Year Microsoft 365, Star Black, L410MA-DS04 | ASIN: B09TY8SF5J] The computer + power adapter together weigh less than 3 pounds. Battery life is quite good. Granted, this is mostly due to the limited RAM and low-power processor, so it is certainly a trade-off, but you really can run this machine for 10+ hours on a single charge if all you are doing is writing or coding.&lt;br /&gt;&lt;br /&gt;The could-be-better:&lt;br /&gt;- This yields great battery life, but the chip definitely hits it is limit when multitasking, particularly on Windows.</x:v>
      </x:c>
      <x:c r="J226" s="101" t="n">
        <x:v>2</x:v>
      </x:c>
      <x:c r="K226" s="92" t="str">
        <x:v>Human_Reviewer_01</x:v>
      </x:c>
      <x:c r="L226" s="92" t="str">
        <x:v>High</x:v>
      </x:c>
      <x:c r="M226" s="93" t="str">
        <x:v>Laptop and adapter weigh under three pounds and sustain ten-hour writing use, with multitasking limits.</x:v>
      </x:c>
      <x:c r="N226" s="94"/>
      <x:c r="O226" s="94"/>
      <x:c r="P226" s="94"/>
      <x:c r="Q226" s="95"/>
      <x:c r="R226" s="96"/>
      <x:c r="S226" s="96"/>
      <x:c r="T226" s="97"/>
      <x:c r="U226" s="98" t="str">
        <x:f>IF(OR(J226="",N226=""),"",IF(J226=N226,"No","Yes"))</x:f>
      </x:c>
      <x:c r="V226" s="98" t="n">
        <x:v>2</x:v>
      </x:c>
    </x:row>
    <x:row r="227" ht="54" hidden="0" customHeight="1">
      <x:c r="A227" s="38" t="str">
        <x:v>Q006::B07QWWWN8N_review_3254713</x:v>
      </x:c>
      <x:c r="B227" s="38" t="str">
        <x:v>Q006</x:v>
      </x:c>
      <x:c r="C227" s="91" t="str">
        <x:v>Which lightweight laptop offers good battery life for travel and everyday office work?</x:v>
      </x:c>
      <x:c r="D227" s="38" t="n">
        <x:v>30</x:v>
      </x:c>
      <x:c r="E227" s="38" t="str">
        <x:v>B07QWWWN8N</x:v>
      </x:c>
      <x:c r="F227" s="38" t="str">
        <x:v>review</x:v>
      </x:c>
      <x:c r="G227" s="38" t="str">
        <x:v>battery life</x:v>
      </x:c>
      <x:c r="H227" s="38" t="str">
        <x:v>Cell Phones &amp; Accessories</x:v>
      </x:c>
      <x:c r="I227" s="91" t="str">
        <x:v>[Product: Asiane Microphone Professional for iPhone | ASIN: B07QWWWN8N] Bought it as a backup to charge watch with my laptop and travel battery and for travel. It actually drains the battery life from the watch.</x:v>
      </x:c>
      <x:c r="J227" s="101" t="n">
        <x:v>0</x:v>
      </x:c>
      <x:c r="K227" s="92" t="str">
        <x:v>Human_Reviewer_01</x:v>
      </x:c>
      <x:c r="L227" s="92" t="str">
        <x:v>High</x:v>
      </x:c>
      <x:c r="M227" s="93" t="str">
        <x:v>Prefix describes a microphone and review a watch accessory, not a laptop.</x:v>
      </x:c>
      <x:c r="N227" s="94"/>
      <x:c r="O227" s="94"/>
      <x:c r="P227" s="94"/>
      <x:c r="Q227" s="95"/>
      <x:c r="R227" s="96"/>
      <x:c r="S227" s="96"/>
      <x:c r="T227" s="97"/>
      <x:c r="U227" s="98" t="str">
        <x:f>IF(OR(J227="",N227=""),"",IF(J227=N227,"No","Yes"))</x:f>
      </x:c>
      <x:c r="V227" s="98" t="n">
        <x:v>0</x:v>
      </x:c>
    </x:row>
    <x:row r="228" ht="54" hidden="0" customHeight="1">
      <x:c r="A228" s="38" t="str">
        <x:v>Q006::B002OEBIMO_review_2513011</x:v>
      </x:c>
      <x:c r="B228" s="38" t="str">
        <x:v>Q006</x:v>
      </x:c>
      <x:c r="C228" s="91" t="str">
        <x:v>Which lightweight laptop offers good battery life for travel and everyday office work?</x:v>
      </x:c>
      <x:c r="D228" s="38" t="n">
        <x:v>31</x:v>
      </x:c>
      <x:c r="E228" s="38" t="str">
        <x:v>B002OEBIMO</x:v>
      </x:c>
      <x:c r="F228" s="38" t="str">
        <x:v>review</x:v>
      </x:c>
      <x:c r="G228" s="38" t="str">
        <x:v>connectivity</x:v>
      </x:c>
      <x:c r="H228" s="38" t="str">
        <x:v>Computers</x:v>
      </x:c>
      <x:c r="I228" s="91" t="str">
        <x:v>[Product: ASUS UL30A-X3 Thin and Light 13.3-Inch Silver Laptop - Over 11 Hours of Battery Life | ASIN: B002OEBIMO] Pros&lt;br /&gt;- Thin and light, hence the portability&lt;</x:v>
      </x:c>
      <x:c r="J228" s="101" t="n">
        <x:v>2</x:v>
      </x:c>
      <x:c r="K228" s="92" t="str">
        <x:v>Human_Reviewer_01</x:v>
      </x:c>
      <x:c r="L228" s="92" t="str">
        <x:v>High</x:v>
      </x:c>
      <x:c r="M228" s="93" t="str">
        <x:v>Laptop portability is explicitly established by thinness and low weight; endurance remains a title claim.</x:v>
      </x:c>
      <x:c r="N228" s="94"/>
      <x:c r="O228" s="94"/>
      <x:c r="P228" s="94"/>
      <x:c r="Q228" s="95"/>
      <x:c r="R228" s="96"/>
      <x:c r="S228" s="96"/>
      <x:c r="T228" s="97"/>
      <x:c r="U228" s="98" t="str">
        <x:f>IF(OR(J228="",N228=""),"",IF(J228=N228,"No","Yes"))</x:f>
      </x:c>
      <x:c r="V228" s="98" t="n">
        <x:v>2</x:v>
      </x:c>
    </x:row>
    <x:row r="229" ht="54" hidden="0" customHeight="1">
      <x:c r="A229" s="38" t="str">
        <x:v>Q006::B01LT692RK_review_234865</x:v>
      </x:c>
      <x:c r="B229" s="38" t="str">
        <x:v>Q006</x:v>
      </x:c>
      <x:c r="C229" s="91" t="str">
        <x:v>Which lightweight laptop offers good battery life for travel and everyday office work?</x:v>
      </x:c>
      <x:c r="D229" s="38" t="n">
        <x:v>32</x:v>
      </x:c>
      <x:c r="E229" s="38" t="str">
        <x:v>B01LT692RK</x:v>
      </x:c>
      <x:c r="F229" s="38" t="str">
        <x:v>review</x:v>
      </x:c>
      <x:c r="G229" s="38" t="str">
        <x:v>battery life</x:v>
      </x:c>
      <x:c r="H229" s="38" t="str">
        <x:v>Computers</x:v>
      </x:c>
      <x:c r="I229" s="91" t="str">
        <x:v>[Product: ASUS E200HA Portable Lightweight 11.6-inch Intel Quad-Core Laptop, 4GB RAM, 32GB Storage, Windows 10 with 1 Year Microsoft Office 365 Subscription | ASIN: B01LT692RK] (for me) :&lt;br /&gt;- lightweight&lt;br /&gt;- good battery life&lt;br /&gt;- good speakers&lt;br /&gt;- good travel size&lt;br /&gt;- good for watching movies and web browsing&lt;br /&gt;-</x:v>
      </x:c>
      <x:c r="J229" s="101" t="n">
        <x:v>2</x:v>
      </x:c>
      <x:c r="K229" s="92" t="str">
        <x:v>Human_Reviewer_01</x:v>
      </x:c>
      <x:c r="L229" s="92" t="str">
        <x:v>High</x:v>
      </x:c>
      <x:c r="M229" s="93" t="str">
        <x:v>Laptop explicitly combines low weight, good battery life, travel size, and basic web use.</x:v>
      </x:c>
      <x:c r="N229" s="94"/>
      <x:c r="O229" s="94"/>
      <x:c r="P229" s="94"/>
      <x:c r="Q229" s="95"/>
      <x:c r="R229" s="96"/>
      <x:c r="S229" s="96"/>
      <x:c r="T229" s="97"/>
      <x:c r="U229" s="98" t="str">
        <x:f>IF(OR(J229="",N229=""),"",IF(J229=N229,"No","Yes"))</x:f>
      </x:c>
      <x:c r="V229" s="98" t="n">
        <x:v>2</x:v>
      </x:c>
    </x:row>
    <x:row r="230" ht="54" hidden="0" customHeight="1">
      <x:c r="A230" s="38" t="str">
        <x:v>Q006::B01LT692RK_review_234942</x:v>
      </x:c>
      <x:c r="B230" s="38" t="str">
        <x:v>Q006</x:v>
      </x:c>
      <x:c r="C230" s="91" t="str">
        <x:v>Which lightweight laptop offers good battery life for travel and everyday office work?</x:v>
      </x:c>
      <x:c r="D230" s="38" t="n">
        <x:v>33</x:v>
      </x:c>
      <x:c r="E230" s="38" t="str">
        <x:v>B01LT692RK</x:v>
      </x:c>
      <x:c r="F230" s="38" t="str">
        <x:v>review</x:v>
      </x:c>
      <x:c r="G230" s="38" t="str">
        <x:v>battery life</x:v>
      </x:c>
      <x:c r="H230" s="38" t="str">
        <x:v>Computers</x:v>
      </x:c>
      <x:c r="I230" s="91" t="str">
        <x:v>[Product: ASUS E200HA Portable Lightweight 11.6-inch Intel Quad-Core Laptop, 4GB RAM, 32GB Storage, Windows 10 with 1 Year Microsoft Office 365 Subscription | ASIN: B01LT692RK] Battery life is exceptional.</x:v>
      </x:c>
      <x:c r="J230" s="101" t="n">
        <x:v>2</x:v>
      </x:c>
      <x:c r="K230" s="92" t="str">
        <x:v>Human_Reviewer_01</x:v>
      </x:c>
      <x:c r="L230" s="92" t="str">
        <x:v>High</x:v>
      </x:c>
      <x:c r="M230" s="93" t="str">
        <x:v>Lightweight laptop has direct exceptional-battery testimony.</x:v>
      </x:c>
      <x:c r="N230" s="94"/>
      <x:c r="O230" s="94"/>
      <x:c r="P230" s="94"/>
      <x:c r="Q230" s="95"/>
      <x:c r="R230" s="96"/>
      <x:c r="S230" s="96"/>
      <x:c r="T230" s="97"/>
      <x:c r="U230" s="98" t="str">
        <x:f>IF(OR(J230="",N230=""),"",IF(J230=N230,"No","Yes"))</x:f>
      </x:c>
      <x:c r="V230" s="98" t="n">
        <x:v>2</x:v>
      </x:c>
    </x:row>
    <x:row r="231" ht="54" hidden="0" customHeight="1">
      <x:c r="A231" s="38" t="str">
        <x:v>Q006::B001QTXLDM_review_1000633</x:v>
      </x:c>
      <x:c r="B231" s="38" t="str">
        <x:v>Q006</x:v>
      </x:c>
      <x:c r="C231" s="91" t="str">
        <x:v>Which lightweight laptop offers good battery life for travel and everyday office work?</x:v>
      </x:c>
      <x:c r="D231" s="38" t="n">
        <x:v>34</x:v>
      </x:c>
      <x:c r="E231" s="38" t="str">
        <x:v>B001QTXLDM</x:v>
      </x:c>
      <x:c r="F231" s="38" t="str">
        <x:v>review</x:v>
      </x:c>
      <x:c r="G231" s="38" t="str">
        <x:v>connectivity</x:v>
      </x:c>
      <x:c r="H231" s="38" t="str">
        <x:v>Computers</x:v>
      </x:c>
      <x:c r="I231" s="91" t="str">
        <x:v>[Product: ASUS Eee PC 1000HE 10.1-Inch Blue Netbook - 9.5 Hour Battery Life | ASIN: B001QTXLDM] But I am always on the go and needed something light and portable.</x:v>
      </x:c>
      <x:c r="J231" s="101" t="n">
        <x:v>1</x:v>
      </x:c>
      <x:c r="K231" s="92" t="str">
        <x:v>Human_Reviewer_01</x:v>
      </x:c>
      <x:c r="L231" s="92" t="str">
        <x:v>High</x:v>
      </x:c>
      <x:c r="M231" s="93" t="str">
        <x:v>Portability is a stated need rather than an observation; endurance is only a title claim.</x:v>
      </x:c>
      <x:c r="N231" s="94"/>
      <x:c r="O231" s="94"/>
      <x:c r="P231" s="94"/>
      <x:c r="Q231" s="95"/>
      <x:c r="R231" s="96"/>
      <x:c r="S231" s="96"/>
      <x:c r="T231" s="97"/>
      <x:c r="U231" s="98" t="str">
        <x:f>IF(OR(J231="",N231=""),"",IF(J231=N231,"No","Yes"))</x:f>
      </x:c>
      <x:c r="V231" s="98" t="n">
        <x:v>1</x:v>
      </x:c>
    </x:row>
    <x:row r="232" ht="54" hidden="0" customHeight="1">
      <x:c r="A232" s="38" t="str">
        <x:v>Q006::B0010TVLP8_review_4068476</x:v>
      </x:c>
      <x:c r="B232" s="38" t="str">
        <x:v>Q006</x:v>
      </x:c>
      <x:c r="C232" s="91" t="str">
        <x:v>Which lightweight laptop offers good battery life for travel and everyday office work?</x:v>
      </x:c>
      <x:c r="D232" s="38" t="n">
        <x:v>35</x:v>
      </x:c>
      <x:c r="E232" s="38" t="str">
        <x:v>B0010TVLP8</x:v>
      </x:c>
      <x:c r="F232" s="38" t="str">
        <x:v>review</x:v>
      </x:c>
      <x:c r="G232" s="38" t="str">
        <x:v>price/value</x:v>
      </x:c>
      <x:c r="H232" s="38" t="str">
        <x:v>Computers</x:v>
      </x:c>
      <x:c r="I232" s="91" t="str">
        <x:v>[Product: Toshiba Satellite A205-S5804 15.4-inch Laptop (Intel Pentium Dual Core T2330 Processor, 1 GB RAM, 120 GB Hard Drive, Vista Premium) | ASIN: B0010TVLP8] Great lightweight laptop for the price!&lt;br /&gt;This is a sturdy low priced laptop that is good enough for everyday use.&lt;br /&gt;Beware The keyboard is firm and tactile, the screen is excellent compared to higher priced laptops, and processor is more than adequate for everyday use!</x:v>
      </x:c>
      <x:c r="J232" s="101" t="n">
        <x:v>2</x:v>
      </x:c>
      <x:c r="K232" s="92" t="str">
        <x:v>Human_Reviewer_01</x:v>
      </x:c>
      <x:c r="L232" s="92" t="str">
        <x:v>High</x:v>
      </x:c>
      <x:c r="M232" s="93" t="str">
        <x:v>Laptop is explicitly lightweight and sufficiently capable for everyday use.</x:v>
      </x:c>
      <x:c r="N232" s="94"/>
      <x:c r="O232" s="94"/>
      <x:c r="P232" s="94"/>
      <x:c r="Q232" s="95"/>
      <x:c r="R232" s="96"/>
      <x:c r="S232" s="96"/>
      <x:c r="T232" s="97"/>
      <x:c r="U232" s="98" t="str">
        <x:f>IF(OR(J232="",N232=""),"",IF(J232=N232,"No","Yes"))</x:f>
      </x:c>
      <x:c r="V232" s="98" t="n">
        <x:v>2</x:v>
      </x:c>
    </x:row>
    <x:row r="233" ht="54" hidden="0" customHeight="1">
      <x:c r="A233" s="38" t="str">
        <x:v>Q006::B000YGIPES_review_685247</x:v>
      </x:c>
      <x:c r="B233" s="38" t="str">
        <x:v>Q006</x:v>
      </x:c>
      <x:c r="C233" s="91" t="str">
        <x:v>Which lightweight laptop offers good battery life for travel and everyday office work?</x:v>
      </x:c>
      <x:c r="D233" s="38" t="n">
        <x:v>36</x:v>
      </x:c>
      <x:c r="E233" s="38" t="str">
        <x:v>B000YGIPES</x:v>
      </x:c>
      <x:c r="F233" s="38" t="str">
        <x:v>review</x:v>
      </x:c>
      <x:c r="G233" s="38" t="str">
        <x:v>specifications/performance</x:v>
      </x:c>
      <x:c r="H233" s="38" t="str">
        <x:v>Cell Phones &amp; Accessories</x:v>
      </x:c>
      <x:c r="I233" s="91" t="str">
        <x:v>[Product: myvu Premium Travel Case for myvu Personal Media Viewers (Black) | ASIN: B000YGIPES] This is a nice rigged lightweight zippered case that offers good protection and a web pocket for pendant storage..gets a little tight if you are storing all cables(iPod and standard AV cables).</x:v>
      </x:c>
      <x:c r="J233" s="101" t="n">
        <x:v>0</x:v>
      </x:c>
      <x:c r="K233" s="92" t="str">
        <x:v>Human_Reviewer_01</x:v>
      </x:c>
      <x:c r="L233" s="92" t="str">
        <x:v>High</x:v>
      </x:c>
      <x:c r="M233" s="93" t="str">
        <x:v>This is a media-viewer travel case, not a laptop.</x:v>
      </x:c>
      <x:c r="N233" s="94"/>
      <x:c r="O233" s="94"/>
      <x:c r="P233" s="94"/>
      <x:c r="Q233" s="95"/>
      <x:c r="R233" s="96"/>
      <x:c r="S233" s="96"/>
      <x:c r="T233" s="97"/>
      <x:c r="U233" s="98" t="str">
        <x:f>IF(OR(J233="",N233=""),"",IF(J233=N233,"No","Yes"))</x:f>
      </x:c>
      <x:c r="V233" s="98" t="n">
        <x:v>0</x:v>
      </x:c>
    </x:row>
    <x:row r="234" ht="54" hidden="0" customHeight="1">
      <x:c r="A234" s="38" t="str">
        <x:v>Q006::B006LX2Q6G_review_1532693</x:v>
      </x:c>
      <x:c r="B234" s="38" t="str">
        <x:v>Q006</x:v>
      </x:c>
      <x:c r="C234" s="91" t="str">
        <x:v>Which lightweight laptop offers good battery life for travel and everyday office work?</x:v>
      </x:c>
      <x:c r="D234" s="38" t="n">
        <x:v>37</x:v>
      </x:c>
      <x:c r="E234" s="38" t="str">
        <x:v>B006LX2Q6G</x:v>
      </x:c>
      <x:c r="F234" s="38" t="str">
        <x:v>review</x:v>
      </x:c>
      <x:c r="G234" s="38" t="str">
        <x:v>battery life</x:v>
      </x:c>
      <x:c r="H234" s="38" t="str">
        <x:v>Computers</x:v>
      </x:c>
      <x:c r="I234" s="91" t="str">
        <x:v>[Product: Alienware AM17XR3-6842BK 17-Inch Laptop (Stealth Black) [Discontinued By Manufacturer] | ASIN: B006LX2Q6G] The machine is quick and powerful and battery life is surprisingly good for a gaming laptop (got about 3 1/2 hours battery life without gaming, which would probably get better once the battery was broken in). It allows you to convert to integrated graphics instead of dedicated which also increases battery life.</x:v>
      </x:c>
      <x:c r="J234" s="101" t="n">
        <x:v>2</x:v>
      </x:c>
      <x:c r="K234" s="92" t="str">
        <x:v>Human_Reviewer_01</x:v>
      </x:c>
      <x:c r="L234" s="92" t="str">
        <x:v>High</x:v>
      </x:c>
      <x:c r="M234" s="93" t="str">
        <x:v>Laptop provides a measured three-and-a-half-hour runtime and a battery-saving graphics option; weight is unknown.</x:v>
      </x:c>
      <x:c r="N234" s="94"/>
      <x:c r="O234" s="94"/>
      <x:c r="P234" s="94"/>
      <x:c r="Q234" s="95"/>
      <x:c r="R234" s="96"/>
      <x:c r="S234" s="96"/>
      <x:c r="T234" s="97"/>
      <x:c r="U234" s="98" t="str">
        <x:f>IF(OR(J234="",N234=""),"",IF(J234=N234,"No","Yes"))</x:f>
      </x:c>
      <x:c r="V234" s="98" t="n">
        <x:v>2</x:v>
      </x:c>
    </x:row>
    <x:row r="235" ht="54" hidden="0" customHeight="1">
      <x:c r="A235" s="38" t="str">
        <x:v>Q006::B0083S3N3W_review_3080739</x:v>
      </x:c>
      <x:c r="B235" s="38" t="str">
        <x:v>Q006</x:v>
      </x:c>
      <x:c r="C235" s="91" t="str">
        <x:v>Which lightweight laptop offers good battery life for travel and everyday office work?</x:v>
      </x:c>
      <x:c r="D235" s="38" t="n">
        <x:v>38</x:v>
      </x:c>
      <x:c r="E235" s="38" t="str">
        <x:v>B0083S3N3W</x:v>
      </x:c>
      <x:c r="F235" s="38" t="str">
        <x:v>review</x:v>
      </x:c>
      <x:c r="G235" s="38" t="str">
        <x:v>price/value</x:v>
      </x:c>
      <x:c r="H235" s="38" t="str">
        <x:v>Computers</x:v>
      </x:c>
      <x:c r="I235" s="91" t="str">
        <x:v>[Product: Samsung Series 5 NP535U4C-A01US 14-Inch Laptop (2.0GHz AMD Quad-Core A10-4655M Accelerated Processor, 4 GB DDR3 RAM, 750 GB HDD, Windows 7 Home Premium) Silver | ASIN: B0083S3N3W] /&gt;If you are looking for a reasonably priced and lightweight system, which has decent battery life and good performance, I think you need to seriously consider this one.</x:v>
      </x:c>
      <x:c r="J235" s="101" t="n">
        <x:v>2</x:v>
      </x:c>
      <x:c r="K235" s="92" t="str">
        <x:v>Human_Reviewer_01</x:v>
      </x:c>
      <x:c r="L235" s="92" t="str">
        <x:v>High</x:v>
      </x:c>
      <x:c r="M235" s="93" t="str">
        <x:v>Laptop is explicitly lightweight with decent endurance and good performance.</x:v>
      </x:c>
      <x:c r="N235" s="94"/>
      <x:c r="O235" s="94"/>
      <x:c r="P235" s="94"/>
      <x:c r="Q235" s="95"/>
      <x:c r="R235" s="96"/>
      <x:c r="S235" s="96"/>
      <x:c r="T235" s="97"/>
      <x:c r="U235" s="98" t="str">
        <x:f>IF(OR(J235="",N235=""),"",IF(J235=N235,"No","Yes"))</x:f>
      </x:c>
      <x:c r="V235" s="98" t="n">
        <x:v>2</x:v>
      </x:c>
    </x:row>
    <x:row r="236" ht="54" hidden="0" customHeight="1">
      <x:c r="A236" s="38" t="str">
        <x:v>Q006::B0039NMF6C_review_3985007</x:v>
      </x:c>
      <x:c r="B236" s="38" t="str">
        <x:v>Q006</x:v>
      </x:c>
      <x:c r="C236" s="91" t="str">
        <x:v>Which lightweight laptop offers good battery life for travel and everyday office work?</x:v>
      </x:c>
      <x:c r="D236" s="38" t="n">
        <x:v>39</x:v>
      </x:c>
      <x:c r="E236" s="38" t="str">
        <x:v>B0039NMF6C</x:v>
      </x:c>
      <x:c r="F236" s="38" t="str">
        <x:v>review</x:v>
      </x:c>
      <x:c r="G236" s="38" t="str">
        <x:v>price/value</x:v>
      </x:c>
      <x:c r="H236" s="38" t="str">
        <x:v>Computers</x:v>
      </x:c>
      <x:c r="I236" s="91" t="str">
        <x:v>[Product: ASUS UL30Vt-A1 Thin and Light 13.3-Inch Silver Laptop (12 Hours of Battery Life) | ASIN: B0039NMF6C] It has good performance and amazing battery life for a great price.</x:v>
      </x:c>
      <x:c r="J236" s="101" t="n">
        <x:v>2</x:v>
      </x:c>
      <x:c r="K236" s="92" t="str">
        <x:v>Human_Reviewer_01</x:v>
      </x:c>
      <x:c r="L236" s="92" t="str">
        <x:v>High</x:v>
      </x:c>
      <x:c r="M236" s="93" t="str">
        <x:v>Thin-and-light laptop explicitly has good performance and excellent battery life.</x:v>
      </x:c>
      <x:c r="N236" s="94"/>
      <x:c r="O236" s="94"/>
      <x:c r="P236" s="94"/>
      <x:c r="Q236" s="95"/>
      <x:c r="R236" s="96"/>
      <x:c r="S236" s="96"/>
      <x:c r="T236" s="97"/>
      <x:c r="U236" s="98" t="str">
        <x:f>IF(OR(J236="",N236=""),"",IF(J236=N236,"No","Yes"))</x:f>
      </x:c>
      <x:c r="V236" s="98" t="n">
        <x:v>2</x:v>
      </x:c>
    </x:row>
    <x:row r="237" ht="54" hidden="0" customHeight="1">
      <x:c r="A237" s="38" t="str">
        <x:v>Q007::B00YR6BMS2_review_3715383</x:v>
      </x:c>
      <x:c r="B237" s="38" t="str">
        <x:v>Q007</x:v>
      </x:c>
      <x:c r="C237" s="91" t="str">
        <x:v>Find a laptop with strong performance for video editing and multitasking.</x:v>
      </x:c>
      <x:c r="D237" s="38" t="n">
        <x:v>1</x:v>
      </x:c>
      <x:c r="E237" s="38" t="str">
        <x:v>B00YR6BMS2</x:v>
      </x:c>
      <x:c r="F237" s="38" t="str">
        <x:v>review</x:v>
      </x:c>
      <x:c r="G237" s="38" t="str">
        <x:v>specifications/performance</x:v>
      </x:c>
      <x:c r="H237" s="38" t="str">
        <x:v>Computers</x:v>
      </x:c>
      <x:c r="I237" s="91" t="str">
        <x:v>[Product: ASUS K501LX 15.6 Inch Laptop (Intel Core i7, 8 GB, 256GB SSD) NVIDIA GeForce GTX 950M | ASIN: B00YR6BMS2] I use this laptop mainly for video editing on the go and its performance is quite impressive. I usually work with 1080p video in Premiere Pro CC 2015 and After Effects CC 2015 and aside from the occasional stutter and very minor lag spikes it runs quite nicely and not once did it impede my ability to do my editing work. Now granted I did upgrade the ram from 8 GB to 12GB since I have gone over 8GBs of usage before, and I have also upgraded to Windows 10 which may be a little more memory efficient and snappier than Windows 8. It does struggle, but not to the point where it is unbearably slow. The included Geforce GTX 950m is very impressive and also helps with keeping performance fairly high when I edit video. Premiere Pro CC 2015 for example will leverage your GPU for an extra performance boost.</x:v>
      </x:c>
      <x:c r="J237" s="101" t="n">
        <x:v>2</x:v>
      </x:c>
      <x:c r="K237" s="92" t="str">
        <x:v>Human_Reviewer_01</x:v>
      </x:c>
      <x:c r="L237" s="92" t="str">
        <x:v>High</x:v>
      </x:c>
      <x:c r="M237" s="93" t="str">
        <x:v>Laptop handles Premiere and After Effects editing with concrete stutter and RAM-upgrade caveats.</x:v>
      </x:c>
      <x:c r="N237" s="94"/>
      <x:c r="O237" s="94"/>
      <x:c r="P237" s="94"/>
      <x:c r="Q237" s="95"/>
      <x:c r="R237" s="96"/>
      <x:c r="S237" s="96"/>
      <x:c r="T237" s="97"/>
      <x:c r="U237" s="98" t="str">
        <x:f>IF(OR(J237="",N237=""),"",IF(J237=N237,"No","Yes"))</x:f>
      </x:c>
      <x:c r="V237" s="98" t="n">
        <x:v>2</x:v>
      </x:c>
    </x:row>
    <x:row r="238" ht="54" hidden="0" customHeight="1">
      <x:c r="A238" s="38" t="str">
        <x:v>Q007::B072FBN83F_review_2938287</x:v>
      </x:c>
      <x:c r="B238" s="38" t="str">
        <x:v>Q007</x:v>
      </x:c>
      <x:c r="C238" s="91" t="str">
        <x:v>Find a laptop with strong performance for video editing and multitasking.</x:v>
      </x:c>
      <x:c r="D238" s="38" t="n">
        <x:v>2</x:v>
      </x:c>
      <x:c r="E238" s="38" t="str">
        <x:v>B072FBN83F</x:v>
      </x:c>
      <x:c r="F238" s="38" t="str">
        <x:v>review</x:v>
      </x:c>
      <x:c r="G238" s="38" t="str">
        <x:v>specifications/performance</x:v>
      </x:c>
      <x:c r="H238" s="38" t="str">
        <x:v>Computers</x:v>
      </x:c>
      <x:c r="I238" s="91" t="str">
        <x:v>[Product: AMD Ryzen 5 1600 Processor with Wraith Spire Cooler (YD1600BBAEBOX) | ASIN: B072FBN83F] This processor is the greatest thing ever. Unless you are a full time content creator, this processor is perfect for video editing and gaming. Editing is also super fast and smooth. 100% the best price to performance processor on the market.</x:v>
      </x:c>
      <x:c r="J238" s="101" t="n">
        <x:v>0</x:v>
      </x:c>
      <x:c r="K238" s="92" t="str">
        <x:v>Human_Reviewer_01</x:v>
      </x:c>
      <x:c r="L238" s="92" t="str">
        <x:v>High</x:v>
      </x:c>
      <x:c r="M238" s="93" t="str">
        <x:v>This is a desktop processor, not a laptop.</x:v>
      </x:c>
      <x:c r="N238" s="94"/>
      <x:c r="O238" s="94"/>
      <x:c r="P238" s="94"/>
      <x:c r="Q238" s="95"/>
      <x:c r="R238" s="96"/>
      <x:c r="S238" s="96"/>
      <x:c r="T238" s="97"/>
      <x:c r="U238" s="98" t="str">
        <x:f>IF(OR(J238="",N238=""),"",IF(J238=N238,"No","Yes"))</x:f>
      </x:c>
      <x:c r="V238" s="98" t="n">
        <x:v>0</x:v>
      </x:c>
    </x:row>
    <x:row r="239" ht="54" hidden="0" customHeight="1">
      <x:c r="A239" s="38" t="str">
        <x:v>Q007::B009QG7YPS_review_2754009</x:v>
      </x:c>
      <x:c r="B239" s="38" t="str">
        <x:v>Q007</x:v>
      </x:c>
      <x:c r="C239" s="91" t="str">
        <x:v>Find a laptop with strong performance for video editing and multitasking.</x:v>
      </x:c>
      <x:c r="D239" s="38" t="n">
        <x:v>3</x:v>
      </x:c>
      <x:c r="E239" s="38" t="str">
        <x:v>B009QG7YPS</x:v>
      </x:c>
      <x:c r="F239" s="38" t="str">
        <x:v>review</x:v>
      </x:c>
      <x:c r="G239" s="38" t="str">
        <x:v>price/value</x:v>
      </x:c>
      <x:c r="H239" s="38" t="str">
        <x:v>Computers</x:v>
      </x:c>
      <x:c r="I239" s="91" t="str">
        <x:v>[Product: ZOTAC NVIDIA GeForce GT 640 2GB GDDR3 DVI/HDMI/VGA PCI-Express Video Card ZT-60203-10L | ASIN: B009QG7YPS] At this price, performance is good for video editing and beats the pants off the NV280 that I had in the computer.</x:v>
      </x:c>
      <x:c r="J239" s="101" t="n">
        <x:v>0</x:v>
      </x:c>
      <x:c r="K239" s="92" t="str">
        <x:v>Human_Reviewer_01</x:v>
      </x:c>
      <x:c r="L239" s="92" t="str">
        <x:v>High</x:v>
      </x:c>
      <x:c r="M239" s="93" t="str">
        <x:v>This is a graphics card, not a laptop.</x:v>
      </x:c>
      <x:c r="N239" s="94"/>
      <x:c r="O239" s="94"/>
      <x:c r="P239" s="94"/>
      <x:c r="Q239" s="95"/>
      <x:c r="R239" s="96"/>
      <x:c r="S239" s="96"/>
      <x:c r="T239" s="97"/>
      <x:c r="U239" s="98" t="str">
        <x:f>IF(OR(J239="",N239=""),"",IF(J239=N239,"No","Yes"))</x:f>
      </x:c>
      <x:c r="V239" s="98" t="n">
        <x:v>0</x:v>
      </x:c>
    </x:row>
    <x:row r="240" ht="54" hidden="0" customHeight="1">
      <x:c r="A240" s="38" t="str">
        <x:v>Q007::B07QRC1Z94_review_4022292</x:v>
      </x:c>
      <x:c r="B240" s="38" t="str">
        <x:v>Q007</x:v>
      </x:c>
      <x:c r="C240" s="91" t="str">
        <x:v>Find a laptop with strong performance for video editing and multitasking.</x:v>
      </x:c>
      <x:c r="D240" s="38" t="n">
        <x:v>4</x:v>
      </x:c>
      <x:c r="E240" s="38" t="str">
        <x:v>B07QRC1Z94</x:v>
      </x:c>
      <x:c r="F240" s="38" t="str">
        <x:v>review</x:v>
      </x:c>
      <x:c r="G240" s="38" t="str">
        <x:v>general</x:v>
      </x:c>
      <x:c r="H240" s="38" t="str">
        <x:v>Computers</x:v>
      </x:c>
      <x:c r="I240" s="91" t="str">
        <x:v>[Product: Seagate FireCuda 510 1TB Performance Internal Solid State Drive SSD PCIe Gen3 x4 NVMe 1.3 for Gaming PC Gaming Laptop Desktop (ZP1000GM30011) | ASIN: B07QRC1Z94] I game and use my pc for video editing as well and this drive helps me do it better.</x:v>
      </x:c>
      <x:c r="J240" s="101" t="n">
        <x:v>0</x:v>
      </x:c>
      <x:c r="K240" s="92" t="str">
        <x:v>Human_Reviewer_01</x:v>
      </x:c>
      <x:c r="L240" s="92" t="str">
        <x:v>High</x:v>
      </x:c>
      <x:c r="M240" s="93" t="str">
        <x:v>This is a solid-state drive, not a laptop.</x:v>
      </x:c>
      <x:c r="N240" s="94"/>
      <x:c r="O240" s="94"/>
      <x:c r="P240" s="94"/>
      <x:c r="Q240" s="95"/>
      <x:c r="R240" s="96"/>
      <x:c r="S240" s="96"/>
      <x:c r="T240" s="97"/>
      <x:c r="U240" s="98" t="str">
        <x:f>IF(OR(J240="",N240=""),"",IF(J240=N240,"No","Yes"))</x:f>
      </x:c>
      <x:c r="V240" s="98" t="n">
        <x:v>0</x:v>
      </x:c>
    </x:row>
    <x:row r="241" ht="54" hidden="0" customHeight="1">
      <x:c r="A241" s="38" t="str">
        <x:v>Q007::B008R7EWF2_review_3250834</x:v>
      </x:c>
      <x:c r="B241" s="38" t="str">
        <x:v>Q007</x:v>
      </x:c>
      <x:c r="C241" s="91" t="str">
        <x:v>Find a laptop with strong performance for video editing and multitasking.</x:v>
      </x:c>
      <x:c r="D241" s="38" t="n">
        <x:v>5</x:v>
      </x:c>
      <x:c r="E241" s="38" t="str">
        <x:v>B008R7EWF2</x:v>
      </x:c>
      <x:c r="F241" s="38" t="str">
        <x:v>review</x:v>
      </x:c>
      <x:c r="G241" s="38" t="str">
        <x:v>specifications/performance</x:v>
      </x:c>
      <x:c r="H241" s="38" t="str">
        <x:v>Computers</x:v>
      </x:c>
      <x:c r="I241" s="91" t="str">
        <x:v>[Product: WD My Book VelociRaptor Duo 2TB External Dual Hard Drive Storage RAID Thunderbolt | ASIN: B008R7EWF2] If you are looking for pure speed and performance in your HD video editing and processing, then this may be for you.</x:v>
      </x:c>
      <x:c r="J241" s="101" t="n">
        <x:v>0</x:v>
      </x:c>
      <x:c r="K241" s="92" t="str">
        <x:v>Human_Reviewer_01</x:v>
      </x:c>
      <x:c r="L241" s="92" t="str">
        <x:v>High</x:v>
      </x:c>
      <x:c r="M241" s="93" t="str">
        <x:v>This is external storage, not a laptop.</x:v>
      </x:c>
      <x:c r="N241" s="94"/>
      <x:c r="O241" s="94"/>
      <x:c r="P241" s="94"/>
      <x:c r="Q241" s="95"/>
      <x:c r="R241" s="96"/>
      <x:c r="S241" s="96"/>
      <x:c r="T241" s="97"/>
      <x:c r="U241" s="98" t="str">
        <x:f>IF(OR(J241="",N241=""),"",IF(J241=N241,"No","Yes"))</x:f>
      </x:c>
      <x:c r="V241" s="98" t="n">
        <x:v>0</x:v>
      </x:c>
    </x:row>
    <x:row r="242" ht="54" hidden="0" customHeight="1">
      <x:c r="A242" s="38" t="str">
        <x:v>Q007::B0041RRVOG_review_167925</x:v>
      </x:c>
      <x:c r="B242" s="38" t="str">
        <x:v>Q007</x:v>
      </x:c>
      <x:c r="C242" s="91" t="str">
        <x:v>Find a laptop with strong performance for video editing and multitasking.</x:v>
      </x:c>
      <x:c r="D242" s="38" t="n">
        <x:v>6</x:v>
      </x:c>
      <x:c r="E242" s="38" t="str">
        <x:v>B0041RRVOG</x:v>
      </x:c>
      <x:c r="F242" s="38" t="str">
        <x:v>review</x:v>
      </x:c>
      <x:c r="G242" s="38" t="str">
        <x:v>specifications/performance</x:v>
      </x:c>
      <x:c r="H242" s="38" t="str">
        <x:v>Computers</x:v>
      </x:c>
      <x:c r="I242" s="91" t="str">
        <x:v>[Product: ASUS N61JQ-XV1 16-Inch Versatile Entertainment Laptop (Dark Brown) | ASIN: B0041RRVOG] /&gt;If you need to run many programs simultaneously this machine can do it; I would recommend adding a couple gb of memory for that. That computer was notably slower than this one. Right now, with its speedy performance, USB 3 slot, multi-touch pad, higher-resolution webcam, hotrod processor and slick controls, this computer gets five stars all day long.&lt;br</x:v>
      </x:c>
      <x:c r="J242" s="101" t="n">
        <x:v>2</x:v>
      </x:c>
      <x:c r="K242" s="92" t="str">
        <x:v>Human_Reviewer_01</x:v>
      </x:c>
      <x:c r="L242" s="92" t="str">
        <x:v>High</x:v>
      </x:c>
      <x:c r="M242" s="93" t="str">
        <x:v>Laptop explicitly runs many programs simultaneously, with an additional-memory recommendation.</x:v>
      </x:c>
      <x:c r="N242" s="94"/>
      <x:c r="O242" s="94"/>
      <x:c r="P242" s="94"/>
      <x:c r="Q242" s="95"/>
      <x:c r="R242" s="96"/>
      <x:c r="S242" s="96"/>
      <x:c r="T242" s="97"/>
      <x:c r="U242" s="98" t="str">
        <x:f>IF(OR(J242="",N242=""),"",IF(J242=N242,"No","Yes"))</x:f>
      </x:c>
      <x:c r="V242" s="98" t="n">
        <x:v>2</x:v>
      </x:c>
    </x:row>
    <x:row r="243" ht="54" hidden="0" customHeight="1">
      <x:c r="A243" s="38" t="str">
        <x:v>Q007::B014E9543U_review_3577642</x:v>
      </x:c>
      <x:c r="B243" s="38" t="str">
        <x:v>Q007</x:v>
      </x:c>
      <x:c r="C243" s="91" t="str">
        <x:v>Find a laptop with strong performance for video editing and multitasking.</x:v>
      </x:c>
      <x:c r="D243" s="38" t="n">
        <x:v>7</x:v>
      </x:c>
      <x:c r="E243" s="38" t="str">
        <x:v>B014E9543U</x:v>
      </x:c>
      <x:c r="F243" s="38" t="str">
        <x:v>review</x:v>
      </x:c>
      <x:c r="G243" s="38" t="str">
        <x:v>screen/display</x:v>
      </x:c>
      <x:c r="H243" s="38" t="str">
        <x:v>Camera &amp; Photo</x:v>
      </x:c>
      <x:c r="I243" s="91" t="str">
        <x:v>[Product: Palette Expert Kit Customizable Controller for Photo Editing and Video Editing with Adobe Lightroom Classic CC, Adobe Lightroom 6, Adobe Photoshop CC, Adobe Premiere Pro CC, Capture One and many more! | ASIN: B014E9543U] also the blocks connect with very strong magnets which is not good to be around computers, drives and some displays...</x:v>
      </x:c>
      <x:c r="J243" s="101" t="n">
        <x:v>0</x:v>
      </x:c>
      <x:c r="K243" s="92" t="str">
        <x:v>Human_Reviewer_01</x:v>
      </x:c>
      <x:c r="L243" s="92" t="str">
        <x:v>High</x:v>
      </x:c>
      <x:c r="M243" s="93" t="str">
        <x:v>This is an editing controller, not a laptop.</x:v>
      </x:c>
      <x:c r="N243" s="94"/>
      <x:c r="O243" s="94"/>
      <x:c r="P243" s="94"/>
      <x:c r="Q243" s="95"/>
      <x:c r="R243" s="96"/>
      <x:c r="S243" s="96"/>
      <x:c r="T243" s="97"/>
      <x:c r="U243" s="98" t="str">
        <x:f>IF(OR(J243="",N243=""),"",IF(J243=N243,"No","Yes"))</x:f>
      </x:c>
      <x:c r="V243" s="98" t="n">
        <x:v>0</x:v>
      </x:c>
    </x:row>
    <x:row r="244" ht="54" hidden="0" customHeight="1">
      <x:c r="A244" s="38" t="str">
        <x:v>Q007::B0C6QLPQQB_review_3059391</x:v>
      </x:c>
      <x:c r="B244" s="38" t="str">
        <x:v>Q007</x:v>
      </x:c>
      <x:c r="C244" s="91" t="str">
        <x:v>Find a laptop with strong performance for video editing and multitasking.</x:v>
      </x:c>
      <x:c r="D244" s="38" t="n">
        <x:v>8</x:v>
      </x:c>
      <x:c r="E244" s="38" t="str">
        <x:v>B0C6QLPQQB</x:v>
      </x:c>
      <x:c r="F244" s="38" t="str">
        <x:v>review</x:v>
      </x:c>
      <x:c r="G244" s="38" t="str">
        <x:v>general</x:v>
      </x:c>
      <x:c r="H244" s="38" t="str">
        <x:v>Computers</x:v>
      </x:c>
      <x:c r="I244" s="91" t="str">
        <x:v>[Product: MSI GP65 Leopard 10SFK-047 15.6" 144Hz 3ms Gaming Laptop Intel Core i7-10750H RTX 2070 16GB 512GB NVMe SSD Win10 VR Ready | ASIN: B0C6QLPQQB] I wanted a laptop to edit video in Premiere Pro on the road to accompany my strong desktop at home. I added a T7 external and I run all the source files right from the external so I can just pull it out and resume editing on my desktop when I am home without transferring everything all the time. I am sure its great for games but I could not tell ya.</x:v>
      </x:c>
      <x:c r="J244" s="101" t="n">
        <x:v>2</x:v>
      </x:c>
      <x:c r="K244" s="92" t="str">
        <x:v>Human_Reviewer_01</x:v>
      </x:c>
      <x:c r="L244" s="92" t="str">
        <x:v>Medium</x:v>
      </x:c>
      <x:c r="M244" s="93" t="str">
        <x:v>Laptop is actively used for mobile Premiere editing from external source storage; speed detail is limited.</x:v>
      </x:c>
      <x:c r="N244" s="94"/>
      <x:c r="O244" s="94"/>
      <x:c r="P244" s="94"/>
      <x:c r="Q244" s="95"/>
      <x:c r="R244" s="96"/>
      <x:c r="S244" s="96"/>
      <x:c r="T244" s="97"/>
      <x:c r="U244" s="98" t="str">
        <x:f>IF(OR(J244="",N244=""),"",IF(J244=N244,"No","Yes"))</x:f>
      </x:c>
      <x:c r="V244" s="98" t="n">
        <x:v>2</x:v>
      </x:c>
    </x:row>
    <x:row r="245" ht="54" hidden="0" customHeight="1">
      <x:c r="A245" s="38" t="str">
        <x:v>Q007::B09B542W7Z_review_1207268</x:v>
      </x:c>
      <x:c r="B245" s="38" t="str">
        <x:v>Q007</x:v>
      </x:c>
      <x:c r="C245" s="91" t="str">
        <x:v>Find a laptop with strong performance for video editing and multitasking.</x:v>
      </x:c>
      <x:c r="D245" s="38" t="n">
        <x:v>9</x:v>
      </x:c>
      <x:c r="E245" s="38" t="str">
        <x:v>B09B542W7Z</x:v>
      </x:c>
      <x:c r="F245" s="38" t="str">
        <x:v>review</x:v>
      </x:c>
      <x:c r="G245" s="38" t="str">
        <x:v>specifications/performance</x:v>
      </x:c>
      <x:c r="H245" s="38" t="str">
        <x:v>Computers</x:v>
      </x:c>
      <x:c r="I245" s="91" t="str">
        <x:v>[Product: CoolerCube Cleaning Wipes for Thermal Grease, 40 Packs Thermal Paste Cleaner | ASIN: B09B542W7Z] I have an 11 year old PC with specs that are not too far off current mid-grade laptop specs, and I noticed in recent months diminished performance and higher fan RPMs, even when doing simple tasks like audio editing and browsing the web. I can edit 4k video and keep temps around 67-68 C now, and performance is all around better and quieter.</x:v>
      </x:c>
      <x:c r="J245" s="101" t="n">
        <x:v>0</x:v>
      </x:c>
      <x:c r="K245" s="92" t="str">
        <x:v>Human_Reviewer_01</x:v>
      </x:c>
      <x:c r="L245" s="92" t="str">
        <x:v>High</x:v>
      </x:c>
      <x:c r="M245" s="93" t="str">
        <x:v>The product is thermal-paste cleaning wipes, not a laptop.</x:v>
      </x:c>
      <x:c r="N245" s="94"/>
      <x:c r="O245" s="94"/>
      <x:c r="P245" s="94"/>
      <x:c r="Q245" s="95"/>
      <x:c r="R245" s="96"/>
      <x:c r="S245" s="96"/>
      <x:c r="T245" s="97"/>
      <x:c r="U245" s="98" t="str">
        <x:f>IF(OR(J245="",N245=""),"",IF(J245=N245,"No","Yes"))</x:f>
      </x:c>
      <x:c r="V245" s="98" t="n">
        <x:v>0</x:v>
      </x:c>
    </x:row>
    <x:row r="246" ht="54" hidden="0" customHeight="1">
      <x:c r="A246" s="38" t="str">
        <x:v>Q007::B01MDTUZ84_review_3305892</x:v>
      </x:c>
      <x:c r="B246" s="38" t="str">
        <x:v>Q007</x:v>
      </x:c>
      <x:c r="C246" s="91" t="str">
        <x:v>Find a laptop with strong performance for video editing and multitasking.</x:v>
      </x:c>
      <x:c r="D246" s="38" t="n">
        <x:v>10</x:v>
      </x:c>
      <x:c r="E246" s="38" t="str">
        <x:v>B01MDTUZ84</x:v>
      </x:c>
      <x:c r="F246" s="38" t="str">
        <x:v>review</x:v>
      </x:c>
      <x:c r="G246" s="38" t="str">
        <x:v>general</x:v>
      </x:c>
      <x:c r="H246" s="38" t="str">
        <x:v>Computers</x:v>
      </x:c>
      <x:c r="I246" s="91" t="str">
        <x:v>[Product: ASUS 15.6? High Performance HD Laptop (Intel Quad Core Pentium N3700 Processor up to 2.4 GHz, 4GB RAM, 500GB HDD, SuperMulti DVD, Wifi, HDMI, VGA, Webcam, Windows 10-silver) | ASIN: B01MDTUZ84] Lots of space and light weight. What more can your ask for for $250</x:v>
      </x:c>
      <x:c r="J246" s="101" t="n">
        <x:v>1</x:v>
      </x:c>
      <x:c r="K246" s="92" t="str">
        <x:v>Human_Reviewer_01</x:v>
      </x:c>
      <x:c r="L246" s="92" t="str">
        <x:v>High</x:v>
      </x:c>
      <x:c r="M246" s="93" t="str">
        <x:v>Laptop storage and weight are discussed, but editing and multitasking performance are absent.</x:v>
      </x:c>
      <x:c r="N246" s="94"/>
      <x:c r="O246" s="94"/>
      <x:c r="P246" s="94"/>
      <x:c r="Q246" s="95"/>
      <x:c r="R246" s="96"/>
      <x:c r="S246" s="96"/>
      <x:c r="T246" s="97"/>
      <x:c r="U246" s="98" t="str">
        <x:f>IF(OR(J246="",N246=""),"",IF(J246=N246,"No","Yes"))</x:f>
      </x:c>
      <x:c r="V246" s="98" t="n">
        <x:v>1</x:v>
      </x:c>
    </x:row>
    <x:row r="247" ht="54" hidden="0" customHeight="1">
      <x:c r="A247" s="38" t="str">
        <x:v>Q007::B07VGB9D9F_review_3309526</x:v>
      </x:c>
      <x:c r="B247" s="38" t="str">
        <x:v>Q007</x:v>
      </x:c>
      <x:c r="C247" s="91" t="str">
        <x:v>Find a laptop with strong performance for video editing and multitasking.</x:v>
      </x:c>
      <x:c r="D247" s="38" t="n">
        <x:v>11</x:v>
      </x:c>
      <x:c r="E247" s="38" t="str">
        <x:v>B07VGB9D9F</x:v>
      </x:c>
      <x:c r="F247" s="38" t="str">
        <x:v>review</x:v>
      </x:c>
      <x:c r="G247" s="38" t="str">
        <x:v>specifications/performance</x:v>
      </x:c>
      <x:c r="H247" s="38" t="str">
        <x:v>Computers</x:v>
      </x:c>
      <x:c r="I247" s="91" t="str">
        <x:v>[Product: Seagate FireCuda 2TB Solid State Hybrid Drive Performance SSHD – 3.5 Inch SATA 6Gb/s Flash Accelerated for Gaming PC Desktop Frustration Free Packaging (ST2000DX002) | ASIN: B07VGB9D9F] I use my PC for 4K video editing and rendering and for that type of work this drive is considerably faster.</x:v>
      </x:c>
      <x:c r="J247" s="101" t="n">
        <x:v>0</x:v>
      </x:c>
      <x:c r="K247" s="92" t="str">
        <x:v>Human_Reviewer_01</x:v>
      </x:c>
      <x:c r="L247" s="92" t="str">
        <x:v>High</x:v>
      </x:c>
      <x:c r="M247" s="93" t="str">
        <x:v>This is an internal storage drive, not a laptop.</x:v>
      </x:c>
      <x:c r="N247" s="94"/>
      <x:c r="O247" s="94"/>
      <x:c r="P247" s="94"/>
      <x:c r="Q247" s="95"/>
      <x:c r="R247" s="96"/>
      <x:c r="S247" s="96"/>
      <x:c r="T247" s="97"/>
      <x:c r="U247" s="98" t="str">
        <x:f>IF(OR(J247="",N247=""),"",IF(J247=N247,"No","Yes"))</x:f>
      </x:c>
      <x:c r="V247" s="98" t="n">
        <x:v>0</x:v>
      </x:c>
    </x:row>
    <x:row r="248" ht="54" hidden="0" customHeight="1">
      <x:c r="A248" s="38" t="str">
        <x:v>Q007::B0942XJWB4_review_307229</x:v>
      </x:c>
      <x:c r="B248" s="38" t="str">
        <x:v>Q007</x:v>
      </x:c>
      <x:c r="C248" s="91" t="str">
        <x:v>Find a laptop with strong performance for video editing and multitasking.</x:v>
      </x:c>
      <x:c r="D248" s="38" t="n">
        <x:v>12</x:v>
      </x:c>
      <x:c r="E248" s="38" t="str">
        <x:v>B0942XJWB4</x:v>
      </x:c>
      <x:c r="F248" s="38" t="str">
        <x:v>review</x:v>
      </x:c>
      <x:c r="G248" s="38" t="str">
        <x:v>specifications/performance</x:v>
      </x:c>
      <x:c r="H248" s="38" t="str">
        <x:v>Computers</x:v>
      </x:c>
      <x:c r="I248" s="91" t="str">
        <x:v>[Product: OWC ThunderBay 4 Mini 4-Bay Thunderbolt 3 External Drive Enclosure | ASIN: B0942XJWB4] Ran speed test and performance is amazing. Overall great choice for external video editing storage.</x:v>
      </x:c>
      <x:c r="J248" s="101" t="n">
        <x:v>0</x:v>
      </x:c>
      <x:c r="K248" s="92" t="str">
        <x:v>Human_Reviewer_01</x:v>
      </x:c>
      <x:c r="L248" s="92" t="str">
        <x:v>High</x:v>
      </x:c>
      <x:c r="M248" s="93" t="str">
        <x:v>This is an external drive enclosure, not a laptop.</x:v>
      </x:c>
      <x:c r="N248" s="94"/>
      <x:c r="O248" s="94"/>
      <x:c r="P248" s="94"/>
      <x:c r="Q248" s="95"/>
      <x:c r="R248" s="96"/>
      <x:c r="S248" s="96"/>
      <x:c r="T248" s="97"/>
      <x:c r="U248" s="98" t="str">
        <x:f>IF(OR(J248="",N248=""),"",IF(J248=N248,"No","Yes"))</x:f>
      </x:c>
      <x:c r="V248" s="98" t="n">
        <x:v>0</x:v>
      </x:c>
    </x:row>
    <x:row r="249" ht="54" hidden="0" customHeight="1">
      <x:c r="A249" s="38" t="str">
        <x:v>Q007::B015ZD6ZX2_review_2463866</x:v>
      </x:c>
      <x:c r="B249" s="38" t="str">
        <x:v>Q007</x:v>
      </x:c>
      <x:c r="C249" s="91" t="str">
        <x:v>Find a laptop with strong performance for video editing and multitasking.</x:v>
      </x:c>
      <x:c r="D249" s="38" t="n">
        <x:v>13</x:v>
      </x:c>
      <x:c r="E249" s="38" t="str">
        <x:v>B015ZD6ZX2</x:v>
      </x:c>
      <x:c r="F249" s="38" t="str">
        <x:v>review</x:v>
      </x:c>
      <x:c r="G249" s="38" t="str">
        <x:v>design/appearance</x:v>
      </x:c>
      <x:c r="H249" s="38" t="str">
        <x:v>Computers</x:v>
      </x:c>
      <x:c r="I249" s="91" t="str">
        <x:v>[Product: ASUS E402MA 14 Inch, Intel Dual Core, 2GB, 32GB Laptop, Windows 10 (64bit), Dark Blue | ASIN: B015ZD6ZX2] If you plan on using anything for photo or music editing I would look elsewhere. If you are just looking to browse the internet and Facebook this will get the job done.</x:v>
      </x:c>
      <x:c r="J249" s="101" t="n">
        <x:v>1</x:v>
      </x:c>
      <x:c r="K249" s="92" t="str">
        <x:v>Human_Reviewer_01</x:v>
      </x:c>
      <x:c r="L249" s="92" t="str">
        <x:v>High</x:v>
      </x:c>
      <x:c r="M249" s="93" t="str">
        <x:v>Laptop cannot handle photo or music editing; video editing and multitasking are not tested.</x:v>
      </x:c>
      <x:c r="N249" s="94"/>
      <x:c r="O249" s="94"/>
      <x:c r="P249" s="94"/>
      <x:c r="Q249" s="95"/>
      <x:c r="R249" s="96"/>
      <x:c r="S249" s="96"/>
      <x:c r="T249" s="97"/>
      <x:c r="U249" s="98" t="str">
        <x:f>IF(OR(J249="",N249=""),"",IF(J249=N249,"No","Yes"))</x:f>
      </x:c>
      <x:c r="V249" s="98" t="n">
        <x:v>1</x:v>
      </x:c>
    </x:row>
    <x:row r="250" ht="54" hidden="0" customHeight="1">
      <x:c r="A250" s="38" t="str">
        <x:v>Q007::B01N1UQU99_review_1427715</x:v>
      </x:c>
      <x:c r="B250" s="38" t="str">
        <x:v>Q007</x:v>
      </x:c>
      <x:c r="C250" s="91" t="str">
        <x:v>Find a laptop with strong performance for video editing and multitasking.</x:v>
      </x:c>
      <x:c r="D250" s="38" t="n">
        <x:v>14</x:v>
      </x:c>
      <x:c r="E250" s="38" t="str">
        <x:v>B01N1UQU99</x:v>
      </x:c>
      <x:c r="F250" s="38" t="str">
        <x:v>review</x:v>
      </x:c>
      <x:c r="G250" s="38" t="str">
        <x:v>general</x:v>
      </x:c>
      <x:c r="H250" s="38" t="str">
        <x:v>Computers</x:v>
      </x:c>
      <x:c r="I250" s="91" t="str">
        <x:v>[Product: 2016 Lenovo 110 15.6" 1366x768 HD LED Laptop, Dual Core intel i3-6100U 2.3 GHz, 4GB RAM, 1TB HDD, DVD-RW, Wireless-AC, Bluetooth, HDMI, Windows 10 | ASIN: B01N1UQU99] Even for surfing the web. When it comes to multitasking while a YT video is running, it gets a bit choppy. Gaming with the integrated graphics is a possible for some older games on the low end, but not recommended. Photoshop is possible, lightly. Video editing with Windows Movie Maker works fine. Premiere is near impossible.&lt;br /&gt;&lt;br For 2 years straight I had no issues. No hardware failure, signs of wear, nor did it even overheat. /&gt;Who is it for? Working professionals on the field or in the office. Or teachers. Maybe okay for students. I would not recommend it for gaming or multimedia.</x:v>
      </x:c>
      <x:c r="J250" s="101" t="n">
        <x:v>2</x:v>
      </x:c>
      <x:c r="K250" s="92" t="str">
        <x:v>Human_Reviewer_01</x:v>
      </x:c>
      <x:c r="L250" s="92" t="str">
        <x:v>High</x:v>
      </x:c>
      <x:c r="M250" s="93" t="str">
        <x:v>Laptop multitasking is choppy and Premiere is nearly impossible; Movie Maker is usable.</x:v>
      </x:c>
      <x:c r="N250" s="94"/>
      <x:c r="O250" s="94"/>
      <x:c r="P250" s="94"/>
      <x:c r="Q250" s="95"/>
      <x:c r="R250" s="96"/>
      <x:c r="S250" s="96"/>
      <x:c r="T250" s="97"/>
      <x:c r="U250" s="98" t="str">
        <x:f>IF(OR(J250="",N250=""),"",IF(J250=N250,"No","Yes"))</x:f>
      </x:c>
      <x:c r="V250" s="98" t="n">
        <x:v>2</x:v>
      </x:c>
    </x:row>
    <x:row r="251" ht="54" hidden="0" customHeight="1">
      <x:c r="A251" s="38" t="str">
        <x:v>Q007::B07NJJ6KM3_review_62920</x:v>
      </x:c>
      <x:c r="B251" s="38" t="str">
        <x:v>Q007</x:v>
      </x:c>
      <x:c r="C251" s="91" t="str">
        <x:v>Find a laptop with strong performance for video editing and multitasking.</x:v>
      </x:c>
      <x:c r="D251" s="38" t="n">
        <x:v>15</x:v>
      </x:c>
      <x:c r="E251" s="38" t="str">
        <x:v>B07NJJ6KM3</x:v>
      </x:c>
      <x:c r="F251" s="38" t="str">
        <x:v>review</x:v>
      </x:c>
      <x:c r="G251" s="38" t="str">
        <x:v>general</x:v>
      </x:c>
      <x:c r="H251" s="38" t="str">
        <x:v>Computers</x:v>
      </x:c>
      <x:c r="I251" s="91" t="str">
        <x:v>[Product: MSI GL63 8SE-209 15.6" Performance Gaming Laptop, NVIDIA GeForce RTX 2060 6G, 120Hz 3ms, Intel i5-8300H (4 cores), 16GB, 256GB NVMe SSD, Red Backlit KB, Win 10, Black | ASIN: B07NJJ6KM3] Bought this laptop for gaming and video editing and it runs both like a champ.</x:v>
      </x:c>
      <x:c r="J251" s="101" t="n">
        <x:v>2</x:v>
      </x:c>
      <x:c r="K251" s="92" t="str">
        <x:v>Human_Reviewer_01</x:v>
      </x:c>
      <x:c r="L251" s="92" t="str">
        <x:v>High</x:v>
      </x:c>
      <x:c r="M251" s="93" t="str">
        <x:v>Laptop explicitly runs video editing well.</x:v>
      </x:c>
      <x:c r="N251" s="94"/>
      <x:c r="O251" s="94"/>
      <x:c r="P251" s="94"/>
      <x:c r="Q251" s="95"/>
      <x:c r="R251" s="96"/>
      <x:c r="S251" s="96"/>
      <x:c r="T251" s="97"/>
      <x:c r="U251" s="98" t="str">
        <x:f>IF(OR(J251="",N251=""),"",IF(J251=N251,"No","Yes"))</x:f>
      </x:c>
      <x:c r="V251" s="98" t="n">
        <x:v>2</x:v>
      </x:c>
    </x:row>
    <x:row r="252" ht="54" hidden="0" customHeight="1">
      <x:c r="A252" s="38" t="str">
        <x:v>Q007::B07WLVXPYP_review_2083173</x:v>
      </x:c>
      <x:c r="B252" s="38" t="str">
        <x:v>Q007</x:v>
      </x:c>
      <x:c r="C252" s="91" t="str">
        <x:v>Find a laptop with strong performance for video editing and multitasking.</x:v>
      </x:c>
      <x:c r="D252" s="38" t="n">
        <x:v>16</x:v>
      </x:c>
      <x:c r="E252" s="38" t="str">
        <x:v>B07WLVXPYP</x:v>
      </x:c>
      <x:c r="F252" s="38" t="str">
        <x:v>review</x:v>
      </x:c>
      <x:c r="G252" s="38" t="str">
        <x:v>general</x:v>
      </x:c>
      <x:c r="H252" s="38" t="str">
        <x:v>Computers</x:v>
      </x:c>
      <x:c r="I252" s="91" t="str">
        <x:v>[Product: MSI PS63 Modern-096 15.6" Ultra Thin and Light Professional Laptop Intel Core i7-8565U GTX1050Ti 8GB DDR4 512GB SSD Win10 | ASIN: B07WLVXPYP] I bought this computer for video editing, as well as for just general use. This is a great computer for the job. The only negatives are when I am building the videos, it is a bit hard to use for anything else as it has 8GB RAM, though not impossible. There is another slot available to expand the RAM so that is not much of an issue. The other thing is the 500GB SSD, I will probably fill up in about a year, HD video and all, but I am going to get an external hard drive as most of the footage, I will probably never need again, but I do not want to get rid of it so that will work great.</x:v>
      </x:c>
      <x:c r="J252" s="101" t="n">
        <x:v>2</x:v>
      </x:c>
      <x:c r="K252" s="92" t="str">
        <x:v>Human_Reviewer_01</x:v>
      </x:c>
      <x:c r="L252" s="92" t="str">
        <x:v>High</x:v>
      </x:c>
      <x:c r="M252" s="93" t="str">
        <x:v>Laptop handles video editing but struggles with concurrent use because of limited RAM.</x:v>
      </x:c>
      <x:c r="N252" s="94"/>
      <x:c r="O252" s="94"/>
      <x:c r="P252" s="94"/>
      <x:c r="Q252" s="95"/>
      <x:c r="R252" s="96"/>
      <x:c r="S252" s="96"/>
      <x:c r="T252" s="97"/>
      <x:c r="U252" s="98" t="str">
        <x:f>IF(OR(J252="",N252=""),"",IF(J252=N252,"No","Yes"))</x:f>
      </x:c>
      <x:c r="V252" s="98" t="n">
        <x:v>2</x:v>
      </x:c>
    </x:row>
    <x:row r="253" ht="54" hidden="0" customHeight="1">
      <x:c r="A253" s="38" t="str">
        <x:v>Q007::B01578ZM6Q_review_200871</x:v>
      </x:c>
      <x:c r="B253" s="38" t="str">
        <x:v>Q007</x:v>
      </x:c>
      <x:c r="C253" s="91" t="str">
        <x:v>Find a laptop with strong performance for video editing and multitasking.</x:v>
      </x:c>
      <x:c r="D253" s="38" t="n">
        <x:v>17</x:v>
      </x:c>
      <x:c r="E253" s="38" t="str">
        <x:v>B01578ZM6Q</x:v>
      </x:c>
      <x:c r="F253" s="38" t="str">
        <x:v>review</x:v>
      </x:c>
      <x:c r="G253" s="38" t="str">
        <x:v>sound quality</x:v>
      </x:c>
      <x:c r="H253" s="38" t="str">
        <x:v>Computers</x:v>
      </x:c>
      <x:c r="I253" s="91" t="str">
        <x:v>[Product: ASUS ROG G752VY-DH72 17-Inch Gaming Laptop, Nvidia GeForce GTX 980M 4 GB VRAM, 32 GB DDR4, 1 TB, 256 GB NVMe SSD | ASIN: B01578ZM6Q] /&gt;When editing photos and videos, it handles the large volumes of image data like a champ.&lt;br /&gt;It crunches through large computational Excel spreadsheets in a fraction of the time as my 8 year old Dell Vostro 1700.&lt;br /&gt;&lt;br /&gt;There</x:v>
      </x:c>
      <x:c r="J253" s="101" t="n">
        <x:v>2</x:v>
      </x:c>
      <x:c r="K253" s="92" t="str">
        <x:v>Human_Reviewer_01</x:v>
      </x:c>
      <x:c r="L253" s="92" t="str">
        <x:v>High</x:v>
      </x:c>
      <x:c r="M253" s="93" t="str">
        <x:v>Laptop handles large photo and video workloads well.</x:v>
      </x:c>
      <x:c r="N253" s="94"/>
      <x:c r="O253" s="94"/>
      <x:c r="P253" s="94"/>
      <x:c r="Q253" s="95"/>
      <x:c r="R253" s="96"/>
      <x:c r="S253" s="96"/>
      <x:c r="T253" s="97"/>
      <x:c r="U253" s="98" t="str">
        <x:f>IF(OR(J253="",N253=""),"",IF(J253=N253,"No","Yes"))</x:f>
      </x:c>
      <x:c r="V253" s="98" t="n">
        <x:v>2</x:v>
      </x:c>
    </x:row>
    <x:row r="254" ht="54" hidden="0" customHeight="1">
      <x:c r="A254" s="38" t="str">
        <x:v>Q007::B00O0W450A_review_2181772</x:v>
      </x:c>
      <x:c r="B254" s="38" t="str">
        <x:v>Q007</x:v>
      </x:c>
      <x:c r="C254" s="91" t="str">
        <x:v>Find a laptop with strong performance for video editing and multitasking.</x:v>
      </x:c>
      <x:c r="D254" s="38" t="n">
        <x:v>18</x:v>
      </x:c>
      <x:c r="E254" s="38" t="str">
        <x:v>B00O0W450A</x:v>
      </x:c>
      <x:c r="F254" s="38" t="str">
        <x:v>review</x:v>
      </x:c>
      <x:c r="G254" s="38" t="str">
        <x:v>general</x:v>
      </x:c>
      <x:c r="H254" s="38" t="str">
        <x:v>Computers</x:v>
      </x:c>
      <x:c r="I254" s="91" t="str">
        <x:v>[Product: Asus TP500LA 16-Inch Transformer Convertible Touchscreen Laptop (Intel Core i3-4030U, 4GB memory, 500GB 5400 RPM HDD, Windows 8.1, 64-bit) | ASIN: B00O0W450A] This is my first 2 in one. To everyone who says it is not the best for HD Video Editing (being that it is i3) It flows really good on this laptop. As well as making music. You will figure out the angles you need it at. Reminder: it has no optical drive Huge? Yeah, but who does not want a giant tablet? It is super fun. The shape, it feels very similar to a MacBook Pro. BUY THIS LAPTOP!</x:v>
      </x:c>
      <x:c r="J254" s="101" t="n">
        <x:v>2</x:v>
      </x:c>
      <x:c r="K254" s="92" t="str">
        <x:v>Human_Reviewer_01</x:v>
      </x:c>
      <x:c r="L254" s="92" t="str">
        <x:v>High</x:v>
      </x:c>
      <x:c r="M254" s="93" t="str">
        <x:v>Laptop explicitly handles HD video editing well.</x:v>
      </x:c>
      <x:c r="N254" s="94"/>
      <x:c r="O254" s="94"/>
      <x:c r="P254" s="94"/>
      <x:c r="Q254" s="95"/>
      <x:c r="R254" s="96"/>
      <x:c r="S254" s="96"/>
      <x:c r="T254" s="97"/>
      <x:c r="U254" s="98" t="str">
        <x:f>IF(OR(J254="",N254=""),"",IF(J254=N254,"No","Yes"))</x:f>
      </x:c>
      <x:c r="V254" s="98" t="n">
        <x:v>2</x:v>
      </x:c>
    </x:row>
    <x:row r="255" ht="54" hidden="0" customHeight="1">
      <x:c r="A255" s="38" t="str">
        <x:v>Q007::B01MTEDYKC_review_230688</x:v>
      </x:c>
      <x:c r="B255" s="38" t="str">
        <x:v>Q007</x:v>
      </x:c>
      <x:c r="C255" s="91" t="str">
        <x:v>Find a laptop with strong performance for video editing and multitasking.</x:v>
      </x:c>
      <x:c r="D255" s="38" t="n">
        <x:v>19</x:v>
      </x:c>
      <x:c r="E255" s="38" t="str">
        <x:v>B01MTEDYKC</x:v>
      </x:c>
      <x:c r="F255" s="38" t="str">
        <x:v>review</x:v>
      </x:c>
      <x:c r="G255" s="38" t="str">
        <x:v>screen/display</x:v>
      </x:c>
      <x:c r="H255" s="38" t="str">
        <x:v>Computers</x:v>
      </x:c>
      <x:c r="I255" s="91" t="str">
        <x:v>[Product: Asus Transformer Book Flip Tp200sa-uhbf Signature Edition 2 in 1 Pc | ASIN: B01MTEDYKC] I wanted a small, light touch screen display for presenting my portfolio of photography and video not for high performance editing or gaming.</x:v>
      </x:c>
      <x:c r="J255" s="101" t="n">
        <x:v>1</x:v>
      </x:c>
      <x:c r="K255" s="92" t="str">
        <x:v>Human_Reviewer_01</x:v>
      </x:c>
      <x:c r="L255" s="92" t="str">
        <x:v>High</x:v>
      </x:c>
      <x:c r="M255" s="93" t="str">
        <x:v>Laptop is purchased for displaying a portfolio, explicitly not for high-performance editing.</x:v>
      </x:c>
      <x:c r="N255" s="94"/>
      <x:c r="O255" s="94"/>
      <x:c r="P255" s="94"/>
      <x:c r="Q255" s="95"/>
      <x:c r="R255" s="96"/>
      <x:c r="S255" s="96"/>
      <x:c r="T255" s="97"/>
      <x:c r="U255" s="98" t="str">
        <x:f>IF(OR(J255="",N255=""),"",IF(J255=N255,"No","Yes"))</x:f>
      </x:c>
      <x:c r="V255" s="98" t="n">
        <x:v>1</x:v>
      </x:c>
    </x:row>
    <x:row r="256" ht="54" hidden="0" customHeight="1">
      <x:c r="A256" s="38" t="str">
        <x:v>Q007::B07439FYQX_review_1873044</x:v>
      </x:c>
      <x:c r="B256" s="38" t="str">
        <x:v>Q007</x:v>
      </x:c>
      <x:c r="C256" s="91" t="str">
        <x:v>Find a laptop with strong performance for video editing and multitasking.</x:v>
      </x:c>
      <x:c r="D256" s="38" t="n">
        <x:v>20</x:v>
      </x:c>
      <x:c r="E256" s="38" t="str">
        <x:v>B07439FYQX</x:v>
      </x:c>
      <x:c r="F256" s="38" t="str">
        <x:v>review</x:v>
      </x:c>
      <x:c r="G256" s="38" t="str">
        <x:v>specifications/performance</x:v>
      </x:c>
      <x:c r="H256" s="38" t="str">
        <x:v>Computers</x:v>
      </x:c>
      <x:c r="I256" s="91" t="str">
        <x:v>[Product: Lenovo IdeaPad 15.6" HD Flagship High Performance Laptop PC | A6-7310 Quad-Core | 4GB RAM | 500GB HDD | DVD+/-RW | HDMI | Windows 10 | ASIN: B07439FYQX] Processor (Eats all daily tasks and asks for more)&lt;br /&gt;Good</x:v>
      </x:c>
      <x:c r="J256" s="101" t="n">
        <x:v>1</x:v>
      </x:c>
      <x:c r="K256" s="92" t="str">
        <x:v>Human_Reviewer_01</x:v>
      </x:c>
      <x:c r="L256" s="92" t="str">
        <x:v>High</x:v>
      </x:c>
      <x:c r="M256" s="93" t="str">
        <x:v>Strong everyday-task performance does not establish editing or multitasking capability.</x:v>
      </x:c>
      <x:c r="N256" s="94"/>
      <x:c r="O256" s="94"/>
      <x:c r="P256" s="94"/>
      <x:c r="Q256" s="95"/>
      <x:c r="R256" s="96"/>
      <x:c r="S256" s="96"/>
      <x:c r="T256" s="97"/>
      <x:c r="U256" s="98" t="str">
        <x:f>IF(OR(J256="",N256=""),"",IF(J256=N256,"No","Yes"))</x:f>
      </x:c>
      <x:c r="V256" s="98" t="n">
        <x:v>1</x:v>
      </x:c>
    </x:row>
    <x:row r="257" ht="54" hidden="0" customHeight="1">
      <x:c r="A257" s="38" t="str">
        <x:v>Q007::B0765Z4D5Z_review_812545</x:v>
      </x:c>
      <x:c r="B257" s="38" t="str">
        <x:v>Q007</x:v>
      </x:c>
      <x:c r="C257" s="91" t="str">
        <x:v>Find a laptop with strong performance for video editing and multitasking.</x:v>
      </x:c>
      <x:c r="D257" s="38" t="n">
        <x:v>21</x:v>
      </x:c>
      <x:c r="E257" s="38" t="str">
        <x:v>B0765Z4D5Z</x:v>
      </x:c>
      <x:c r="F257" s="38" t="str">
        <x:v>review</x:v>
      </x:c>
      <x:c r="G257" s="38" t="str">
        <x:v>general</x:v>
      </x:c>
      <x:c r="H257" s="38" t="str">
        <x:v>Computers</x:v>
      </x:c>
      <x:c r="I257" s="91" t="str">
        <x:v>[Product: Lenovo IdeaPad 720S 14" Laptop Computer - Silver; Intel Core i7 Processor; NVIDIA GeForce MX150; 16GB DDR4; 512GB Solid State Drive | ASIN: B0765Z4D5Z] I got it to do video editing on the go (Adobe Premiere CC) and it works quite well. There is, however, no way to prioritize use of the GPU. It is all controlled by the computer. My fan noise is now quite low. But you should not have to make changes to get acceptable noise. Hopefully they will fix that with a software update. 8th gen i7 is significantly better than previous generations and the discrete gpu definitely helps.</x:v>
      </x:c>
      <x:c r="J257" s="101" t="n">
        <x:v>2</x:v>
      </x:c>
      <x:c r="K257" s="92" t="str">
        <x:v>Human_Reviewer_01</x:v>
      </x:c>
      <x:c r="L257" s="92" t="str">
        <x:v>High</x:v>
      </x:c>
      <x:c r="M257" s="93" t="str">
        <x:v>Laptop runs Premiere editing well, with GPU-control and fan-noise caveats.</x:v>
      </x:c>
      <x:c r="N257" s="94"/>
      <x:c r="O257" s="94"/>
      <x:c r="P257" s="94"/>
      <x:c r="Q257" s="95"/>
      <x:c r="R257" s="96"/>
      <x:c r="S257" s="96"/>
      <x:c r="T257" s="97"/>
      <x:c r="U257" s="98" t="str">
        <x:f>IF(OR(J257="",N257=""),"",IF(J257=N257,"No","Yes"))</x:f>
      </x:c>
      <x:c r="V257" s="98" t="n">
        <x:v>2</x:v>
      </x:c>
    </x:row>
    <x:row r="258" ht="54" hidden="0" customHeight="1">
      <x:c r="A258" s="38" t="str">
        <x:v>Q007::B01F1A7S6W_review_3200218</x:v>
      </x:c>
      <x:c r="B258" s="38" t="str">
        <x:v>Q007</x:v>
      </x:c>
      <x:c r="C258" s="91" t="str">
        <x:v>Find a laptop with strong performance for video editing and multitasking.</x:v>
      </x:c>
      <x:c r="D258" s="38" t="n">
        <x:v>22</x:v>
      </x:c>
      <x:c r="E258" s="38" t="str">
        <x:v>B01F1A7S6W</x:v>
      </x:c>
      <x:c r="F258" s="38" t="str">
        <x:v>review</x:v>
      </x:c>
      <x:c r="G258" s="38" t="str">
        <x:v>battery life</x:v>
      </x:c>
      <x:c r="H258" s="38" t="str">
        <x:v>Computers</x:v>
      </x:c>
      <x:c r="I258" s="91" t="str">
        <x:v>[Product: ASUS 15.6" Full HD High Performance Laptop 2016 Flagship Edition, Intel Core i7-5500U 3GHz, 8GB Ram, 1TB HDD, DVD Burner, HDMI, VGA, Webcam, Windows 10 | ASIN: B01F1A7S6W] This is a very powerful machine, gorgeous 1080 screen, loud speakers and you can almost play some games on this.&lt;br /&gt;&lt;br /&gt;This machine based on the Broadwell architecture, it has enough power for more demanding tasks and multitask, for example can see video (YOUTUBE), do office work, use photoshop, all at once without much or any slowness.&lt;br /&gt;&lt;br</x:v>
      </x:c>
      <x:c r="J258" s="101" t="n">
        <x:v>2</x:v>
      </x:c>
      <x:c r="K258" s="92" t="str">
        <x:v>Human_Reviewer_01</x:v>
      </x:c>
      <x:c r="L258" s="92" t="str">
        <x:v>High</x:v>
      </x:c>
      <x:c r="M258" s="93" t="str">
        <x:v>Laptop runs video playback, Office, and Photoshop simultaneously without substantial slowdown.</x:v>
      </x:c>
      <x:c r="N258" s="94"/>
      <x:c r="O258" s="94"/>
      <x:c r="P258" s="94"/>
      <x:c r="Q258" s="95"/>
      <x:c r="R258" s="96"/>
      <x:c r="S258" s="96"/>
      <x:c r="T258" s="97"/>
      <x:c r="U258" s="98" t="str">
        <x:f>IF(OR(J258="",N258=""),"",IF(J258=N258,"No","Yes"))</x:f>
      </x:c>
      <x:c r="V258" s="98" t="n">
        <x:v>2</x:v>
      </x:c>
    </x:row>
    <x:row r="259" ht="54" hidden="0" customHeight="1">
      <x:c r="A259" s="38" t="str">
        <x:v>Q007::B0C4M669GQ_review_112946</x:v>
      </x:c>
      <x:c r="B259" s="38" t="str">
        <x:v>Q007</x:v>
      </x:c>
      <x:c r="C259" s="91" t="str">
        <x:v>Find a laptop with strong performance for video editing and multitasking.</x:v>
      </x:c>
      <x:c r="D259" s="38" t="n">
        <x:v>23</x:v>
      </x:c>
      <x:c r="E259" s="38" t="str">
        <x:v>B0C4M669GQ</x:v>
      </x:c>
      <x:c r="F259" s="38" t="str">
        <x:v>review</x:v>
      </x:c>
      <x:c r="G259" s="38" t="str">
        <x:v>specifications/performance</x:v>
      </x:c>
      <x:c r="H259" s="38" t="str">
        <x:v>Computers</x:v>
      </x:c>
      <x:c r="I259" s="91" t="str">
        <x:v>[Product: ASUS ProArt StudioBook 17 Mobile Workstation Laptop, 17” 16:10 NanoEdge Bezel, Intel Core i7-9750H, 32GB DDR4, 512GB+512GB RAID-0 SSD, NVIDIA GeForce RTX 2060, Windows 10 Pro, H700GV-XS76, Star Gray | ASIN: B0C4M669GQ] Amazing laptop with high performance I recommend it</x:v>
      </x:c>
      <x:c r="J259" s="101" t="n">
        <x:v>1</x:v>
      </x:c>
      <x:c r="K259" s="92" t="str">
        <x:v>Human_Reviewer_01</x:v>
      </x:c>
      <x:c r="L259" s="92" t="str">
        <x:v>High</x:v>
      </x:c>
      <x:c r="M259" s="93" t="str">
        <x:v>Generic high-performance praise lacks an editing or multitasking observation.</x:v>
      </x:c>
      <x:c r="N259" s="94"/>
      <x:c r="O259" s="94"/>
      <x:c r="P259" s="94"/>
      <x:c r="Q259" s="95"/>
      <x:c r="R259" s="96"/>
      <x:c r="S259" s="96"/>
      <x:c r="T259" s="97"/>
      <x:c r="U259" s="98" t="str">
        <x:f>IF(OR(J259="",N259=""),"",IF(J259=N259,"No","Yes"))</x:f>
      </x:c>
      <x:c r="V259" s="98" t="n">
        <x:v>1</x:v>
      </x:c>
    </x:row>
    <x:row r="260" ht="54" hidden="0" customHeight="1">
      <x:c r="A260" s="38" t="str">
        <x:v>Q007::B01J4XXACI_review_3509853</x:v>
      </x:c>
      <x:c r="B260" s="38" t="str">
        <x:v>Q007</x:v>
      </x:c>
      <x:c r="C260" s="91" t="str">
        <x:v>Find a laptop with strong performance for video editing and multitasking.</x:v>
      </x:c>
      <x:c r="D260" s="38" t="n">
        <x:v>24</x:v>
      </x:c>
      <x:c r="E260" s="38" t="str">
        <x:v>B01J4XXACI</x:v>
      </x:c>
      <x:c r="F260" s="38" t="str">
        <x:v>review</x:v>
      </x:c>
      <x:c r="G260" s="38" t="str">
        <x:v>specifications/performance</x:v>
      </x:c>
      <x:c r="H260" s="38" t="str">
        <x:v>Computers</x:v>
      </x:c>
      <x:c r="I260" s="91" t="str">
        <x:v>[Product: 2016 HP Pavilion 17.3" HD+ Premium High Performance Laptop, Intel Core i5-5200u Processor, 8GB RAM, 1TB HDD, Intel HD Graphics 5500, DVD+/-RW, HDMI, Webcam, WiFi, Windows 10, Silver | ASIN: B01J4XXACI] Machine speed good for multi-tasking</x:v>
      </x:c>
      <x:c r="J260" s="101" t="n">
        <x:v>2</x:v>
      </x:c>
      <x:c r="K260" s="92" t="str">
        <x:v>Human_Reviewer_01</x:v>
      </x:c>
      <x:c r="L260" s="92" t="str">
        <x:v>High</x:v>
      </x:c>
      <x:c r="M260" s="93" t="str">
        <x:v>Laptop speed is explicitly good for multitasking.</x:v>
      </x:c>
      <x:c r="N260" s="94"/>
      <x:c r="O260" s="94"/>
      <x:c r="P260" s="94"/>
      <x:c r="Q260" s="95"/>
      <x:c r="R260" s="96"/>
      <x:c r="S260" s="96"/>
      <x:c r="T260" s="97"/>
      <x:c r="U260" s="98" t="str">
        <x:f>IF(OR(J260="",N260=""),"",IF(J260=N260,"No","Yes"))</x:f>
      </x:c>
      <x:c r="V260" s="98" t="n">
        <x:v>2</x:v>
      </x:c>
    </x:row>
    <x:row r="261" ht="54" hidden="0" customHeight="1">
      <x:c r="A261" s="38" t="str">
        <x:v>Q007::B071JBX9GN_review_1844813</x:v>
      </x:c>
      <x:c r="B261" s="38" t="str">
        <x:v>Q007</x:v>
      </x:c>
      <x:c r="C261" s="91" t="str">
        <x:v>Find a laptop with strong performance for video editing and multitasking.</x:v>
      </x:c>
      <x:c r="D261" s="38" t="n">
        <x:v>25</x:v>
      </x:c>
      <x:c r="E261" s="38" t="str">
        <x:v>B071JBX9GN</x:v>
      </x:c>
      <x:c r="F261" s="38" t="str">
        <x:v>review</x:v>
      </x:c>
      <x:c r="G261" s="38" t="str">
        <x:v>price/value</x:v>
      </x:c>
      <x:c r="H261" s="38" t="str">
        <x:v>Computers</x:v>
      </x:c>
      <x:c r="I261" s="91" t="str">
        <x:v>[Product: ASUS TUF X299 Mark 1 LGA2066 DDR4 M.2 USB 3.1 Dual LAN X299 ATX Motherboard for Intel Core X-Series Processors | ASIN: B071JBX9GN] Came up easy and decent features and BIOS for the (overpriced) X299 platform- I am just in it for the future of the socket and to have strong multi core performance for engineering and video editing while still decent single thread speeds- else would have went with Ryzen.&lt;br /&gt;&lt;br /&gt;Started the build with a Gigabyte based X299 that was reverting to backup bios flash each post in a loop with some type of incompatibility, swapped out in a pinch for this board to avoid the hassle.</x:v>
      </x:c>
      <x:c r="J261" s="101" t="n">
        <x:v>0</x:v>
      </x:c>
      <x:c r="K261" s="92" t="str">
        <x:v>Human_Reviewer_01</x:v>
      </x:c>
      <x:c r="L261" s="92" t="str">
        <x:v>High</x:v>
      </x:c>
      <x:c r="M261" s="93" t="str">
        <x:v>This is a desktop motherboard, not a laptop.</x:v>
      </x:c>
      <x:c r="N261" s="94"/>
      <x:c r="O261" s="94"/>
      <x:c r="P261" s="94"/>
      <x:c r="Q261" s="95"/>
      <x:c r="R261" s="96"/>
      <x:c r="S261" s="96"/>
      <x:c r="T261" s="97"/>
      <x:c r="U261" s="98" t="str">
        <x:f>IF(OR(J261="",N261=""),"",IF(J261=N261,"No","Yes"))</x:f>
      </x:c>
      <x:c r="V261" s="98" t="n">
        <x:v>0</x:v>
      </x:c>
    </x:row>
    <x:row r="262" ht="54" hidden="0" customHeight="1">
      <x:c r="A262" s="38" t="str">
        <x:v>Q007::B00BKRMMUS_review_3674381</x:v>
      </x:c>
      <x:c r="B262" s="38" t="str">
        <x:v>Q007</x:v>
      </x:c>
      <x:c r="C262" s="91" t="str">
        <x:v>Find a laptop with strong performance for video editing and multitasking.</x:v>
      </x:c>
      <x:c r="D262" s="38" t="n">
        <x:v>26</x:v>
      </x:c>
      <x:c r="E262" s="38" t="str">
        <x:v>B00BKRMMUS</x:v>
      </x:c>
      <x:c r="F262" s="38" t="str">
        <x:v>review</x:v>
      </x:c>
      <x:c r="G262" s="38" t="str">
        <x:v>design/appearance</x:v>
      </x:c>
      <x:c r="H262" s="38" t="str">
        <x:v>Computers</x:v>
      </x:c>
      <x:c r="I262" s="91" t="str">
        <x:v>[Product: ASUS Q200E-BSI3T08 Laptop (Windows 8, Intel Core i3-3217U 1.8 GHz Processor, 11.6 Inches Display, SSD: 500 GB, RAM: 4 GB DDR3) Steel Grey [OLD VERSION] | ASIN: B00BKRMMUS] I also do video editing, graphics design, and web development, and belive it or not, this little thing is enduring!&lt;br /&gt;&lt;br /&gt;I use the Adobe Master Collection (Premiere, After Effects, Photoshop, Illustrator, InDesign, Audition, and Dreamweaver). Although its certainly not the best (and not designed for heavy during media work), its impressed me thus far.&lt;br /&gt;&lt;br</x:v>
      </x:c>
      <x:c r="J262" s="101" t="n">
        <x:v>2</x:v>
      </x:c>
      <x:c r="K262" s="92" t="str">
        <x:v>Human_Reviewer_01</x:v>
      </x:c>
      <x:c r="L262" s="92" t="str">
        <x:v>High</x:v>
      </x:c>
      <x:c r="M262" s="93" t="str">
        <x:v>Laptop runs multiple Adobe media applications, with limits for heavy editing.</x:v>
      </x:c>
      <x:c r="N262" s="94"/>
      <x:c r="O262" s="94"/>
      <x:c r="P262" s="94"/>
      <x:c r="Q262" s="95"/>
      <x:c r="R262" s="96"/>
      <x:c r="S262" s="96"/>
      <x:c r="T262" s="97"/>
      <x:c r="U262" s="98" t="str">
        <x:f>IF(OR(J262="",N262=""),"",IF(J262=N262,"No","Yes"))</x:f>
      </x:c>
      <x:c r="V262" s="98" t="n">
        <x:v>2</x:v>
      </x:c>
    </x:row>
    <x:row r="263" ht="54" hidden="0" customHeight="1">
      <x:c r="A263" s="38" t="str">
        <x:v>Q007::B00IMTQ4BK_review_984542</x:v>
      </x:c>
      <x:c r="B263" s="38" t="str">
        <x:v>Q007</x:v>
      </x:c>
      <x:c r="C263" s="91" t="str">
        <x:v>Find a laptop with strong performance for video editing and multitasking.</x:v>
      </x:c>
      <x:c r="D263" s="38" t="n">
        <x:v>27</x:v>
      </x:c>
      <x:c r="E263" s="38" t="str">
        <x:v>B00IMTQ4BK</x:v>
      </x:c>
      <x:c r="F263" s="38" t="str">
        <x:v>review</x:v>
      </x:c>
      <x:c r="G263" s="38" t="str">
        <x:v>specifications/performance</x:v>
      </x:c>
      <x:c r="H263" s="38" t="str">
        <x:v>Computers</x:v>
      </x:c>
      <x:c r="I263" s="91" t="str">
        <x:v>[Product: MSI GE70 Apache Pro-061 17.3-Inch Laptop | ASIN: B00IMTQ4BK] I can do photo and video editing with no performance issues at all.</x:v>
      </x:c>
      <x:c r="J263" s="101" t="n">
        <x:v>2</x:v>
      </x:c>
      <x:c r="K263" s="92" t="str">
        <x:v>Human_Reviewer_01</x:v>
      </x:c>
      <x:c r="L263" s="92" t="str">
        <x:v>High</x:v>
      </x:c>
      <x:c r="M263" s="93" t="str">
        <x:v>Laptop explicitly performs photo and video editing without performance issues.</x:v>
      </x:c>
      <x:c r="N263" s="94"/>
      <x:c r="O263" s="94"/>
      <x:c r="P263" s="94"/>
      <x:c r="Q263" s="95"/>
      <x:c r="R263" s="96"/>
      <x:c r="S263" s="96"/>
      <x:c r="T263" s="97"/>
      <x:c r="U263" s="98" t="str">
        <x:f>IF(OR(J263="",N263=""),"",IF(J263=N263,"No","Yes"))</x:f>
      </x:c>
      <x:c r="V263" s="98" t="n">
        <x:v>2</x:v>
      </x:c>
    </x:row>
    <x:row r="264" ht="54" hidden="0" customHeight="1">
      <x:c r="A264" s="38" t="str">
        <x:v>Q007::B07XW2X742_review_2289119</x:v>
      </x:c>
      <x:c r="B264" s="38" t="str">
        <x:v>Q007</x:v>
      </x:c>
      <x:c r="C264" s="91" t="str">
        <x:v>Find a laptop with strong performance for video editing and multitasking.</x:v>
      </x:c>
      <x:c r="D264" s="38" t="n">
        <x:v>28</x:v>
      </x:c>
      <x:c r="E264" s="38" t="str">
        <x:v>B07XW2X742</x:v>
      </x:c>
      <x:c r="F264" s="38" t="str">
        <x:v>review</x:v>
      </x:c>
      <x:c r="G264" s="38" t="str">
        <x:v>general</x:v>
      </x:c>
      <x:c r="H264" s="38" t="str">
        <x:v>Computers</x:v>
      </x:c>
      <x:c r="I264" s="91" t="str">
        <x:v>[Product: MSI P65 Creator-654 15.6" Productivity Laptop, 4K Display, Ultra Portable, Thin Bezel, Intel Core i9-9880H, NVIDIA GeForce RTX2070, 32GB, 1TB NVMe SSD, Thunderbolt 3 | ASIN: B07XW2X742] Finally had to switch to edit high res, raw video in Premiere Pro. Switched from Mac. Windows OS is garbage compared to Mac, but it sure is better when editing/ rendering in adobe programs .</x:v>
      </x:c>
      <x:c r="J264" s="101" t="n">
        <x:v>2</x:v>
      </x:c>
      <x:c r="K264" s="92" t="str">
        <x:v>Human_Reviewer_01</x:v>
      </x:c>
      <x:c r="L264" s="92" t="str">
        <x:v>High</x:v>
      </x:c>
      <x:c r="M264" s="93" t="str">
        <x:v>Laptop improves high-resolution raw-video editing and Adobe rendering.</x:v>
      </x:c>
      <x:c r="N264" s="94"/>
      <x:c r="O264" s="94"/>
      <x:c r="P264" s="94"/>
      <x:c r="Q264" s="95"/>
      <x:c r="R264" s="96"/>
      <x:c r="S264" s="96"/>
      <x:c r="T264" s="97"/>
      <x:c r="U264" s="98" t="str">
        <x:f>IF(OR(J264="",N264=""),"",IF(J264=N264,"No","Yes"))</x:f>
      </x:c>
      <x:c r="V264" s="98" t="n">
        <x:v>2</x:v>
      </x:c>
    </x:row>
    <x:row r="265" ht="54" hidden="0" customHeight="1">
      <x:c r="A265" s="38" t="str">
        <x:v>Q007::B0C6TM5XBP_review_4013479</x:v>
      </x:c>
      <x:c r="B265" s="38" t="str">
        <x:v>Q007</x:v>
      </x:c>
      <x:c r="C265" s="91" t="str">
        <x:v>Find a laptop with strong performance for video editing and multitasking.</x:v>
      </x:c>
      <x:c r="D265" s="38" t="n">
        <x:v>29</x:v>
      </x:c>
      <x:c r="E265" s="38" t="str">
        <x:v>B0C6TM5XBP</x:v>
      </x:c>
      <x:c r="F265" s="38" t="str">
        <x:v>review</x:v>
      </x:c>
      <x:c r="G265" s="38" t="str">
        <x:v>general</x:v>
      </x:c>
      <x:c r="H265" s="38" t="str">
        <x:v>Computers</x:v>
      </x:c>
      <x:c r="I265" s="91" t="str">
        <x:v>[Product: ASUS Vivobook Go 12 L210, 11.6”HD Thin and Light Notebook, Intel UHD Graphics 600, 4GB RAM, 128 GB SSD, 64GB eMMC, Windows 11 S, L210MA-DS02, NumberPad, Bluetooth, WiFi 5 | ASIN: B0C6TM5XBP] I love this laptop. I had a laptop before and thought it was perfect for me to do the things I needed as far as studio recording and and video editing goes but come to find out the laptop could not handle the editing software. Have not used the video editing software but I can tell that the pc will actually be able to handle it with no problems at all.</x:v>
      </x:c>
      <x:c r="J265" s="101" t="n">
        <x:v>1</x:v>
      </x:c>
      <x:c r="K265" s="92" t="str">
        <x:v>Human_Reviewer_01</x:v>
      </x:c>
      <x:c r="L265" s="92" t="str">
        <x:v>High</x:v>
      </x:c>
      <x:c r="M265" s="93" t="str">
        <x:v>Reviewer explicitly has not tried video-editing software; capability is speculative.</x:v>
      </x:c>
      <x:c r="N265" s="94"/>
      <x:c r="O265" s="94"/>
      <x:c r="P265" s="94"/>
      <x:c r="Q265" s="95"/>
      <x:c r="R265" s="96"/>
      <x:c r="S265" s="96"/>
      <x:c r="T265" s="97"/>
      <x:c r="U265" s="98" t="str">
        <x:f>IF(OR(J265="",N265=""),"",IF(J265=N265,"No","Yes"))</x:f>
      </x:c>
      <x:c r="V265" s="98" t="n">
        <x:v>1</x:v>
      </x:c>
    </x:row>
    <x:row r="266" ht="54" hidden="0" customHeight="1">
      <x:c r="A266" s="38" t="str">
        <x:v>Q007::B0C4YP84GN_review_1080043</x:v>
      </x:c>
      <x:c r="B266" s="38" t="str">
        <x:v>Q007</x:v>
      </x:c>
      <x:c r="C266" s="91" t="str">
        <x:v>Find a laptop with strong performance for video editing and multitasking.</x:v>
      </x:c>
      <x:c r="D266" s="38" t="n">
        <x:v>30</x:v>
      </x:c>
      <x:c r="E266" s="38" t="str">
        <x:v>B0C4YP84GN</x:v>
      </x:c>
      <x:c r="F266" s="38" t="str">
        <x:v>review</x:v>
      </x:c>
      <x:c r="G266" s="38" t="str">
        <x:v>design/appearance</x:v>
      </x:c>
      <x:c r="H266" s="38" t="str">
        <x:v>Computers</x:v>
      </x:c>
      <x:c r="I266" s="91" t="str">
        <x:v>[Product: MSI G32CQ4, 32" Gaming Monitor, 2560 x 1440 (QHD), VA, 165Hz, FreeSync, HDMI, Displayport, Tilt | ASIN: B0C4YP84GN] Looks great performance is stellar and I am going to add another one for more multitasking.</x:v>
      </x:c>
      <x:c r="J266" s="101" t="n">
        <x:v>0</x:v>
      </x:c>
      <x:c r="K266" s="92" t="str">
        <x:v>Human_Reviewer_01</x:v>
      </x:c>
      <x:c r="L266" s="92" t="str">
        <x:v>High</x:v>
      </x:c>
      <x:c r="M266" s="93" t="str">
        <x:v>This is a monitor, not a laptop.</x:v>
      </x:c>
      <x:c r="N266" s="94"/>
      <x:c r="O266" s="94"/>
      <x:c r="P266" s="94"/>
      <x:c r="Q266" s="95"/>
      <x:c r="R266" s="96"/>
      <x:c r="S266" s="96"/>
      <x:c r="T266" s="97"/>
      <x:c r="U266" s="98" t="str">
        <x:f>IF(OR(J266="",N266=""),"",IF(J266=N266,"No","Yes"))</x:f>
      </x:c>
      <x:c r="V266" s="98" t="n">
        <x:v>0</x:v>
      </x:c>
    </x:row>
    <x:row r="267" ht="54" hidden="0" customHeight="1">
      <x:c r="A267" s="38" t="str">
        <x:v>Q007::B09BK8L642_review_1071514</x:v>
      </x:c>
      <x:c r="B267" s="38" t="str">
        <x:v>Q007</x:v>
      </x:c>
      <x:c r="C267" s="91" t="str">
        <x:v>Find a laptop with strong performance for video editing and multitasking.</x:v>
      </x:c>
      <x:c r="D267" s="38" t="n">
        <x:v>31</x:v>
      </x:c>
      <x:c r="E267" s="38" t="str">
        <x:v>B09BK8L642</x:v>
      </x:c>
      <x:c r="F267" s="38" t="str">
        <x:v>review</x:v>
      </x:c>
      <x:c r="G267" s="38" t="str">
        <x:v>specifications/performance</x:v>
      </x:c>
      <x:c r="H267" s="38" t="str">
        <x:v>Computers</x:v>
      </x:c>
      <x:c r="I267" s="91" t="str">
        <x:v>[Product: ASUS ROG Strix G17 Gaming &amp; Entertainment Laptop (AMD Ryzen 9 5900HX 8-Core, 32GB RAM, 1TB SSD, RTX 3070, 17.3" 2K Quad HD (2560x1440), WiFi, Bluetooth, 1xHDMI, Win 10 Home) with Hub | ASIN: B09BK8L642] Performance is amazing, especially for a laptop in the 6lb range. I also find that gaming laptop specs make for great video editing and based on my experience, this should have no problem performing well with Adobe CC.</x:v>
      </x:c>
      <x:c r="J267" s="101" t="n">
        <x:v>1</x:v>
      </x:c>
      <x:c r="K267" s="92" t="str">
        <x:v>Human_Reviewer_01</x:v>
      </x:c>
      <x:c r="L267" s="92" t="str">
        <x:v>High</x:v>
      </x:c>
      <x:c r="M267" s="93" t="str">
        <x:v>General performance is praised, but Adobe editing suitability is explicitly a prediction.</x:v>
      </x:c>
      <x:c r="N267" s="94"/>
      <x:c r="O267" s="94"/>
      <x:c r="P267" s="94"/>
      <x:c r="Q267" s="95"/>
      <x:c r="R267" s="96"/>
      <x:c r="S267" s="96"/>
      <x:c r="T267" s="97"/>
      <x:c r="U267" s="98" t="str">
        <x:f>IF(OR(J267="",N267=""),"",IF(J267=N267,"No","Yes"))</x:f>
      </x:c>
      <x:c r="V267" s="98" t="n">
        <x:v>1</x:v>
      </x:c>
    </x:row>
    <x:row r="268" ht="54" hidden="0" customHeight="1">
      <x:c r="A268" s="38" t="str">
        <x:v>Q007::B0793GW74J_review_3121584</x:v>
      </x:c>
      <x:c r="B268" s="38" t="str">
        <x:v>Q007</x:v>
      </x:c>
      <x:c r="C268" s="91" t="str">
        <x:v>Find a laptop with strong performance for video editing and multitasking.</x:v>
      </x:c>
      <x:c r="D268" s="38" t="n">
        <x:v>32</x:v>
      </x:c>
      <x:c r="E268" s="38" t="str">
        <x:v>B0793GW74J</x:v>
      </x:c>
      <x:c r="F268" s="38" t="str">
        <x:v>review</x:v>
      </x:c>
      <x:c r="G268" s="38" t="str">
        <x:v>ease of use</x:v>
      </x:c>
      <x:c r="H268" s="38" t="str">
        <x:v>Computers</x:v>
      </x:c>
      <x:c r="I268" s="91" t="str">
        <x:v>[Product: Intel® Pentium® Gold G5600 Desktop Processor 2 Core 3.9GHz LGA1151 300 Series 54W BX80684G5600 | ASIN: B0793GW74J] Installed on a system with CentOS and performs better than expected for web browsing, video encoding and multitasking.</x:v>
      </x:c>
      <x:c r="J268" s="101" t="n">
        <x:v>0</x:v>
      </x:c>
      <x:c r="K268" s="92" t="str">
        <x:v>Human_Reviewer_01</x:v>
      </x:c>
      <x:c r="L268" s="92" t="str">
        <x:v>High</x:v>
      </x:c>
      <x:c r="M268" s="93" t="str">
        <x:v>This is a desktop processor, not a laptop.</x:v>
      </x:c>
      <x:c r="N268" s="94"/>
      <x:c r="O268" s="94"/>
      <x:c r="P268" s="94"/>
      <x:c r="Q268" s="95"/>
      <x:c r="R268" s="96"/>
      <x:c r="S268" s="96"/>
      <x:c r="T268" s="97"/>
      <x:c r="U268" s="98" t="str">
        <x:f>IF(OR(J268="",N268=""),"",IF(J268=N268,"No","Yes"))</x:f>
      </x:c>
      <x:c r="V268" s="98" t="n">
        <x:v>0</x:v>
      </x:c>
    </x:row>
    <x:row r="269" ht="54" hidden="0" customHeight="1">
      <x:c r="A269" s="38" t="str">
        <x:v>Q007::B00KG2RRYE_review_269668</x:v>
      </x:c>
      <x:c r="B269" s="38" t="str">
        <x:v>Q007</x:v>
      </x:c>
      <x:c r="C269" s="91" t="str">
        <x:v>Find a laptop with strong performance for video editing and multitasking.</x:v>
      </x:c>
      <x:c r="D269" s="38" t="n">
        <x:v>33</x:v>
      </x:c>
      <x:c r="E269" s="38" t="str">
        <x:v>B00KG2RRYE</x:v>
      </x:c>
      <x:c r="F269" s="38" t="str">
        <x:v>review</x:v>
      </x:c>
      <x:c r="G269" s="38" t="str">
        <x:v>specifications/performance</x:v>
      </x:c>
      <x:c r="H269" s="38" t="str">
        <x:v>Computers</x:v>
      </x:c>
      <x:c r="I269" s="91" t="str">
        <x:v>[Product: ASUS MeMO Pad 7 ME176CX-A1-YL 7-Inch Tablet (Yellow) | ASIN: B00KG2RRYE] I went with the yellow as I wanted to find it in my briefcase faster. /&gt;The speed of the system is impressive. No noticeable lag when streaming video or multitasking. If you are looking for a good cost friendly tablet with fast performance and a decent quality build then this is a good tablet to start with.</x:v>
      </x:c>
      <x:c r="J269" s="101" t="n">
        <x:v>0</x:v>
      </x:c>
      <x:c r="K269" s="92" t="str">
        <x:v>Human_Reviewer_01</x:v>
      </x:c>
      <x:c r="L269" s="92" t="str">
        <x:v>High</x:v>
      </x:c>
      <x:c r="M269" s="93" t="str">
        <x:v>This is a tablet, not a laptop.</x:v>
      </x:c>
      <x:c r="N269" s="94"/>
      <x:c r="O269" s="94"/>
      <x:c r="P269" s="94"/>
      <x:c r="Q269" s="95"/>
      <x:c r="R269" s="96"/>
      <x:c r="S269" s="96"/>
      <x:c r="T269" s="97"/>
      <x:c r="U269" s="98" t="str">
        <x:f>IF(OR(J269="",N269=""),"",IF(J269=N269,"No","Yes"))</x:f>
      </x:c>
      <x:c r="V269" s="98" t="n">
        <x:v>0</x:v>
      </x:c>
    </x:row>
    <x:row r="270" ht="54" hidden="0" customHeight="1">
      <x:c r="A270" s="38" t="str">
        <x:v>Q007::B0BTHRQYCH_review_519193</x:v>
      </x:c>
      <x:c r="B270" s="38" t="str">
        <x:v>Q007</x:v>
      </x:c>
      <x:c r="C270" s="91" t="str">
        <x:v>Find a laptop with strong performance for video editing and multitasking.</x:v>
      </x:c>
      <x:c r="D270" s="38" t="n">
        <x:v>34</x:v>
      </x:c>
      <x:c r="E270" s="38" t="str">
        <x:v>B0BTHRQYCH</x:v>
      </x:c>
      <x:c r="F270" s="38" t="str">
        <x:v>review</x:v>
      </x:c>
      <x:c r="G270" s="38" t="str">
        <x:v>build quality</x:v>
      </x:c>
      <x:c r="H270" s="38" t="str">
        <x:v>Computers</x:v>
      </x:c>
      <x:c r="I270" s="91" t="str">
        <x:v>[Product: ASUS 14 2-in-1 14" FHD Touchscreen Windows 10 Pro Business Laptop, Quad-Core AMD Ryzen 5 3500U Up to 3.7GHz (Beat i5-8250U), 8GB DDR4 RAM, 256GB SSD, AC WiFi, Bluetooth 4.2, Backlit KB, Type-C HUB | ASIN: B0BTHRQYCH] The quality of the picture is great.</x:v>
      </x:c>
      <x:c r="J270" s="101" t="n">
        <x:v>1</x:v>
      </x:c>
      <x:c r="K270" s="92" t="str">
        <x:v>Human_Reviewer_01</x:v>
      </x:c>
      <x:c r="L270" s="92" t="str">
        <x:v>High</x:v>
      </x:c>
      <x:c r="M270" s="93" t="str">
        <x:v>Laptop display quality is secondary; editing and multitasking performance are absent.</x:v>
      </x:c>
      <x:c r="N270" s="94"/>
      <x:c r="O270" s="94"/>
      <x:c r="P270" s="94"/>
      <x:c r="Q270" s="95"/>
      <x:c r="R270" s="96"/>
      <x:c r="S270" s="96"/>
      <x:c r="T270" s="97"/>
      <x:c r="U270" s="98" t="str">
        <x:f>IF(OR(J270="",N270=""),"",IF(J270=N270,"No","Yes"))</x:f>
      </x:c>
      <x:c r="V270" s="98" t="n">
        <x:v>1</x:v>
      </x:c>
    </x:row>
    <x:row r="271" ht="54" hidden="0" customHeight="1">
      <x:c r="A271" s="38" t="str">
        <x:v>Q007::B00YR6BMS2_review_3715381</x:v>
      </x:c>
      <x:c r="B271" s="38" t="str">
        <x:v>Q007</x:v>
      </x:c>
      <x:c r="C271" s="91" t="str">
        <x:v>Find a laptop with strong performance for video editing and multitasking.</x:v>
      </x:c>
      <x:c r="D271" s="38" t="n">
        <x:v>35</x:v>
      </x:c>
      <x:c r="E271" s="38" t="str">
        <x:v>B00YR6BMS2</x:v>
      </x:c>
      <x:c r="F271" s="38" t="str">
        <x:v>review</x:v>
      </x:c>
      <x:c r="G271" s="38" t="str">
        <x:v>general</x:v>
      </x:c>
      <x:c r="H271" s="38" t="str">
        <x:v>Computers</x:v>
      </x:c>
      <x:c r="I271" s="91" t="str">
        <x:v>[Product: ASUS K501LX 15.6 Inch Laptop (Intel Core i7, 8 GB, 256GB SSD) NVIDIA GeForce GTX 950M | ASIN: B00YR6BMS2] I really like this dual core 5th gen Core i7 that this laptop is packing. Something that I should mention is that 4k video editing does seem to push this laptop over the edge. It just stutters quite a bit more during playback but thankfully the actual editing software does not lock up and is still responsive 99% of the time so for the occasional 4k editing job this laptop is fine.&lt;br /&gt;&lt;br /&gt;Now if you are a little more serious about 4k video editing and are willing to spend $300 more to get a laptop with a quad Core i7, 16GBs of ram, and a Geforce GTX 960m then I would recommend going that route.&lt;br /&gt;&lt;br /&gt;Ok, now back to this laptop. /&gt;Overall this laptop will not disappoint.</x:v>
      </x:c>
      <x:c r="J271" s="101" t="n">
        <x:v>2</x:v>
      </x:c>
      <x:c r="K271" s="92" t="str">
        <x:v>Human_Reviewer_01</x:v>
      </x:c>
      <x:c r="L271" s="92" t="str">
        <x:v>High</x:v>
      </x:c>
      <x:c r="M271" s="93" t="str">
        <x:v>Laptop 4K editing has concrete playback-stutter and responsiveness evidence.</x:v>
      </x:c>
      <x:c r="N271" s="94"/>
      <x:c r="O271" s="94"/>
      <x:c r="P271" s="94"/>
      <x:c r="Q271" s="95"/>
      <x:c r="R271" s="96"/>
      <x:c r="S271" s="96"/>
      <x:c r="T271" s="97"/>
      <x:c r="U271" s="98" t="str">
        <x:f>IF(OR(J271="",N271=""),"",IF(J271=N271,"No","Yes"))</x:f>
      </x:c>
      <x:c r="V271" s="98" t="n">
        <x:v>2</x:v>
      </x:c>
    </x:row>
    <x:row r="272" ht="54" hidden="0" customHeight="1">
      <x:c r="A272" s="38" t="str">
        <x:v>Q007::B086QZHNTY_review_3892226</x:v>
      </x:c>
      <x:c r="B272" s="38" t="str">
        <x:v>Q007</x:v>
      </x:c>
      <x:c r="C272" s="91" t="str">
        <x:v>Find a laptop with strong performance for video editing and multitasking.</x:v>
      </x:c>
      <x:c r="D272" s="38" t="n">
        <x:v>36</x:v>
      </x:c>
      <x:c r="E272" s="38" t="str">
        <x:v>B086QZHNTY</x:v>
      </x:c>
      <x:c r="F272" s="38" t="str">
        <x:v>review</x:v>
      </x:c>
      <x:c r="G272" s="38" t="str">
        <x:v>sound quality</x:v>
      </x:c>
      <x:c r="H272" s="38" t="str">
        <x:v>Computers</x:v>
      </x:c>
      <x:c r="I272" s="91" t="str">
        <x:v>[Product: ASUS ProArt StudioBook 15 Mobile Workstation Laptop, 15.6” UHD NanoEdge Bezel, Intel Core i7-9750H, 32GB DDR4, 512G+512GB RAID-0 SSD, NVIDIA GeForce RTX 2060, Windows 10 Pro, H500GV-XS76, Star Grey | ASIN: B086QZHNTY] /&gt;The speakers here are also surprisingly good!</x:v>
      </x:c>
      <x:c r="J272" s="101" t="n">
        <x:v>1</x:v>
      </x:c>
      <x:c r="K272" s="92" t="str">
        <x:v>Human_Reviewer_01</x:v>
      </x:c>
      <x:c r="L272" s="92" t="str">
        <x:v>High</x:v>
      </x:c>
      <x:c r="M272" s="93" t="str">
        <x:v>Laptop speaker quality does not establish editing or multitasking performance.</x:v>
      </x:c>
      <x:c r="N272" s="94"/>
      <x:c r="O272" s="94"/>
      <x:c r="P272" s="94"/>
      <x:c r="Q272" s="95"/>
      <x:c r="R272" s="96"/>
      <x:c r="S272" s="96"/>
      <x:c r="T272" s="97"/>
      <x:c r="U272" s="98" t="str">
        <x:f>IF(OR(J272="",N272=""),"",IF(J272=N272,"No","Yes"))</x:f>
      </x:c>
      <x:c r="V272" s="98" t="n">
        <x:v>1</x:v>
      </x:c>
    </x:row>
    <x:row r="273" ht="54" hidden="0" customHeight="1">
      <x:c r="A273" s="38" t="str">
        <x:v>Q007::B00VQJ084W_review_3221219</x:v>
      </x:c>
      <x:c r="B273" s="38" t="str">
        <x:v>Q007</x:v>
      </x:c>
      <x:c r="C273" s="91" t="str">
        <x:v>Find a laptop with strong performance for video editing and multitasking.</x:v>
      </x:c>
      <x:c r="D273" s="38" t="n">
        <x:v>37</x:v>
      </x:c>
      <x:c r="E273" s="38" t="str">
        <x:v>B00VQJ084W</x:v>
      </x:c>
      <x:c r="F273" s="38" t="str">
        <x:v>review</x:v>
      </x:c>
      <x:c r="G273" s="38" t="str">
        <x:v>ease of use</x:v>
      </x:c>
      <x:c r="H273" s="38" t="str">
        <x:v>Computers</x:v>
      </x:c>
      <x:c r="I273" s="91" t="str">
        <x:v>[Product: LaCie Rugged RAID With Integrated Thunderbolt Cable | ASIN: B00VQJ084W] i use it for video editing with FCP X, and the performance is comparable to my OWC thunderbay RAID thunderbolt 2 setup.</x:v>
      </x:c>
      <x:c r="J273" s="101" t="n">
        <x:v>0</x:v>
      </x:c>
      <x:c r="K273" s="92" t="str">
        <x:v>Human_Reviewer_01</x:v>
      </x:c>
      <x:c r="L273" s="92" t="str">
        <x:v>High</x:v>
      </x:c>
      <x:c r="M273" s="93" t="str">
        <x:v>This is external RAID storage, not a laptop.</x:v>
      </x:c>
      <x:c r="N273" s="94"/>
      <x:c r="O273" s="94"/>
      <x:c r="P273" s="94"/>
      <x:c r="Q273" s="95"/>
      <x:c r="R273" s="96"/>
      <x:c r="S273" s="96"/>
      <x:c r="T273" s="97"/>
      <x:c r="U273" s="98" t="str">
        <x:f>IF(OR(J273="",N273=""),"",IF(J273=N273,"No","Yes"))</x:f>
      </x:c>
      <x:c r="V273" s="98" t="n">
        <x:v>0</x:v>
      </x:c>
    </x:row>
    <x:row r="274" ht="54" hidden="0" customHeight="1">
      <x:c r="A274" s="38" t="str">
        <x:v>Q007::B004G60ARC_review_3380640</x:v>
      </x:c>
      <x:c r="B274" s="38" t="str">
        <x:v>Q007</x:v>
      </x:c>
      <x:c r="C274" s="91" t="str">
        <x:v>Find a laptop with strong performance for video editing and multitasking.</x:v>
      </x:c>
      <x:c r="D274" s="38" t="n">
        <x:v>38</x:v>
      </x:c>
      <x:c r="E274" s="38" t="str">
        <x:v>B004G60ARC</x:v>
      </x:c>
      <x:c r="F274" s="38" t="str">
        <x:v>review</x:v>
      </x:c>
      <x:c r="G274" s="38" t="str">
        <x:v>battery life</x:v>
      </x:c>
      <x:c r="H274" s="38" t="str">
        <x:v>Computers</x:v>
      </x:c>
      <x:c r="I274" s="91" t="str">
        <x:v>[Product: Acer AS5552G-7632 15.6-Inch Laptop (Mesh Black) | ASIN: B004G60ARC] Runs games and video editing software great, the only con I can find is the mono speaker and the battery life is not the greatest. When it comes to the battery I wish you could find extra ones easily I have yet to find replacement batteries for this laptop.</x:v>
      </x:c>
      <x:c r="J274" s="101" t="n">
        <x:v>2</x:v>
      </x:c>
      <x:c r="K274" s="92" t="str">
        <x:v>Human_Reviewer_01</x:v>
      </x:c>
      <x:c r="L274" s="92" t="str">
        <x:v>High</x:v>
      </x:c>
      <x:c r="M274" s="93" t="str">
        <x:v>Laptop explicitly runs video-editing software well.</x:v>
      </x:c>
      <x:c r="N274" s="94"/>
      <x:c r="O274" s="94"/>
      <x:c r="P274" s="94"/>
      <x:c r="Q274" s="95"/>
      <x:c r="R274" s="96"/>
      <x:c r="S274" s="96"/>
      <x:c r="T274" s="97"/>
      <x:c r="U274" s="98" t="str">
        <x:f>IF(OR(J274="",N274=""),"",IF(J274=N274,"No","Yes"))</x:f>
      </x:c>
      <x:c r="V274" s="98" t="n">
        <x:v>2</x:v>
      </x:c>
    </x:row>
    <x:row r="275" ht="54" hidden="0" customHeight="1">
      <x:c r="A275" s="38" t="str">
        <x:v>Q007::B0150Q1Y2G_review_1879815</x:v>
      </x:c>
      <x:c r="B275" s="38" t="str">
        <x:v>Q007</x:v>
      </x:c>
      <x:c r="C275" s="91" t="str">
        <x:v>Find a laptop with strong performance for video editing and multitasking.</x:v>
      </x:c>
      <x:c r="D275" s="38" t="n">
        <x:v>39</x:v>
      </x:c>
      <x:c r="E275" s="38" t="str">
        <x:v>B0150Q1Y2G</x:v>
      </x:c>
      <x:c r="F275" s="38" t="str">
        <x:v>review</x:v>
      </x:c>
      <x:c r="G275" s="38" t="str">
        <x:v>design/appearance</x:v>
      </x:c>
      <x:c r="H275" s="38" t="str">
        <x:v>Computers</x:v>
      </x:c>
      <x:c r="I275" s="91" t="str">
        <x:v>[Product: MSI Computer P Series PE60 6QE-031US 15.6" Laptop | ASIN: B0150Q1Y2G] One of my favorite designed, professionally looking laptops I have seen in awhile.&lt;br /&gt;&lt;br I can actually purse my graphical designs and video editing with color correction without much of a difference from a professional standpoint. The GPU is not the best (965m or 970m much preferred), but in relation to this line of work it handles color correction and effects admirably with Adobe Premiere, Photoshop, After Effects, Media Encoder, Avid Media Composer, Davinci Resolve, and more. If you are a more serious gamer with a few hundred extra to spend, you may want to look for a 970m minimum, which will almost double performance. For most, the Nvidia 960m is the bare minimum you should be looking for for good results.&lt;br /&gt;&lt;br</x:v>
      </x:c>
      <x:c r="J275" s="101" t="n">
        <x:v>2</x:v>
      </x:c>
      <x:c r="K275" s="92" t="str">
        <x:v>Human_Reviewer_01</x:v>
      </x:c>
      <x:c r="L275" s="92" t="str">
        <x:v>High</x:v>
      </x:c>
      <x:c r="M275" s="93" t="str">
        <x:v>Laptop handles color correction and effects across named professional editing applications.</x:v>
      </x:c>
      <x:c r="N275" s="94"/>
      <x:c r="O275" s="94"/>
      <x:c r="P275" s="94"/>
      <x:c r="Q275" s="95"/>
      <x:c r="R275" s="96"/>
      <x:c r="S275" s="96"/>
      <x:c r="T275" s="97"/>
      <x:c r="U275" s="98" t="str">
        <x:f>IF(OR(J275="",N275=""),"",IF(J275=N275,"No","Yes"))</x:f>
      </x:c>
      <x:c r="V275" s="98" t="n">
        <x:v>2</x:v>
      </x:c>
    </x:row>
    <x:row r="276" ht="54" hidden="0" customHeight="1">
      <x:c r="A276" s="38" t="str">
        <x:v>Q008::B0019HYZZO_review_978845</x:v>
      </x:c>
      <x:c r="B276" s="38" t="str">
        <x:v>Q008</x:v>
      </x:c>
      <x:c r="C276" s="91" t="str">
        <x:v>I need a quiet and reliable cooling fan for a desktop computer.</x:v>
      </x:c>
      <x:c r="D276" s="38" t="n">
        <x:v>1</x:v>
      </x:c>
      <x:c r="E276" s="38" t="str">
        <x:v>B0019HYZZO</x:v>
      </x:c>
      <x:c r="F276" s="38" t="str">
        <x:v>review</x:v>
      </x:c>
      <x:c r="G276" s="38" t="str">
        <x:v>general</x:v>
      </x:c>
      <x:c r="H276" s="38" t="str">
        <x:v>Computers</x:v>
      </x:c>
      <x:c r="I276" s="91" t="str">
        <x:v>[Product: MASSCOOL 80mm Cooling Fan FD08025B1M3/4 | ASIN: B0019HYZZO] It is quite and does a good job in moving an abundant amount of air to keep my desktop 'cool'.</x:v>
      </x:c>
      <x:c r="J276" s="101" t="n">
        <x:v>2</x:v>
      </x:c>
      <x:c r="K276" s="92" t="str">
        <x:v>Human_Reviewer_01</x:v>
      </x:c>
      <x:c r="L276" s="92" t="str">
        <x:v>High</x:v>
      </x:c>
      <x:c r="M276" s="93" t="str">
        <x:v>Cooling fan is quiet and moves enough air to cool a desktop.</x:v>
      </x:c>
      <x:c r="N276" s="94"/>
      <x:c r="O276" s="94"/>
      <x:c r="P276" s="94"/>
      <x:c r="Q276" s="95"/>
      <x:c r="R276" s="96"/>
      <x:c r="S276" s="96"/>
      <x:c r="T276" s="97"/>
      <x:c r="U276" s="98" t="str">
        <x:f>IF(OR(J276="",N276=""),"",IF(J276=N276,"No","Yes"))</x:f>
      </x:c>
      <x:c r="V276" s="98" t="n">
        <x:v>2</x:v>
      </x:c>
    </x:row>
    <x:row r="277" ht="54" hidden="0" customHeight="1">
      <x:c r="A277" s="38" t="str">
        <x:v>Q008::B071HGTNJ2_review_2508360</x:v>
      </x:c>
      <x:c r="B277" s="38" t="str">
        <x:v>Q008</x:v>
      </x:c>
      <x:c r="C277" s="91" t="str">
        <x:v>I need a quiet and reliable cooling fan for a desktop computer.</x:v>
      </x:c>
      <x:c r="D277" s="38" t="n">
        <x:v>2</x:v>
      </x:c>
      <x:c r="E277" s="38" t="str">
        <x:v>B071HGTNJ2</x:v>
      </x:c>
      <x:c r="F277" s="38" t="str">
        <x:v>review</x:v>
      </x:c>
      <x:c r="G277" s="38" t="str">
        <x:v>general</x:v>
      </x:c>
      <x:c r="H277" s="38" t="str">
        <x:v>Computers</x:v>
      </x:c>
      <x:c r="I277" s="91" t="str">
        <x:v>[Product: USB Mini Desktop Fan - Table Small Fan Viimnss Portable Adjustable Compatible with Computer,Laptops Power Banks Fans Quiet Cooling for Office and Home 4 Inch Black | ASIN: B071HGTNJ2] The fan was good for the first month. However, it became very noisy after that.</x:v>
      </x:c>
      <x:c r="J277" s="101" t="n">
        <x:v>0</x:v>
      </x:c>
      <x:c r="K277" s="92" t="str">
        <x:v>Human_Reviewer_01</x:v>
      </x:c>
      <x:c r="L277" s="92" t="str">
        <x:v>High</x:v>
      </x:c>
      <x:c r="M277" s="93" t="str">
        <x:v>This is a personal desk fan, not a computer-component cooling fan.</x:v>
      </x:c>
      <x:c r="N277" s="94"/>
      <x:c r="O277" s="94"/>
      <x:c r="P277" s="94"/>
      <x:c r="Q277" s="95"/>
      <x:c r="R277" s="96"/>
      <x:c r="S277" s="96"/>
      <x:c r="T277" s="97"/>
      <x:c r="U277" s="98" t="str">
        <x:f>IF(OR(J277="",N277=""),"",IF(J277=N277,"No","Yes"))</x:f>
      </x:c>
      <x:c r="V277" s="98" t="n">
        <x:v>0</x:v>
      </x:c>
    </x:row>
    <x:row r="278" ht="54" hidden="0" customHeight="1">
      <x:c r="A278" s="38" t="str">
        <x:v>Q008::B009VY1R9O_review_1888533</x:v>
      </x:c>
      <x:c r="B278" s="38" t="str">
        <x:v>Q008</x:v>
      </x:c>
      <x:c r="C278" s="91" t="str">
        <x:v>I need a quiet and reliable cooling fan for a desktop computer.</x:v>
      </x:c>
      <x:c r="D278" s="38" t="n">
        <x:v>3</x:v>
      </x:c>
      <x:c r="E278" s="38" t="str">
        <x:v>B009VY1R9O</x:v>
      </x:c>
      <x:c r="F278" s="38" t="str">
        <x:v>review</x:v>
      </x:c>
      <x:c r="G278" s="38" t="str">
        <x:v>ease of use</x:v>
      </x:c>
      <x:c r="H278" s="38" t="str">
        <x:v>Computers</x:v>
      </x:c>
      <x:c r="I278" s="91" t="str">
        <x:v>[Product: Noctua Low-Profile Quiet CPU Cooler for AMD Based Retail Cooling NH-L9A | ASIN: B009VY1R9O] Installed and finished computer. I *thought* I had done so, but realized after installation I had picked a case fan socket, not the CPU fan socket.</x:v>
      </x:c>
      <x:c r="J278" s="101" t="n">
        <x:v>1</x:v>
      </x:c>
      <x:c r="K278" s="92" t="str">
        <x:v>Human_Reviewer_01</x:v>
      </x:c>
      <x:c r="L278" s="92" t="str">
        <x:v>High</x:v>
      </x:c>
      <x:c r="M278" s="93" t="str">
        <x:v>CPU cooler installation is discussed, but noise, cooling reliability, and performance are absent.</x:v>
      </x:c>
      <x:c r="N278" s="94"/>
      <x:c r="O278" s="94"/>
      <x:c r="P278" s="94"/>
      <x:c r="Q278" s="95"/>
      <x:c r="R278" s="96"/>
      <x:c r="S278" s="96"/>
      <x:c r="T278" s="97"/>
      <x:c r="U278" s="98" t="str">
        <x:f>IF(OR(J278="",N278=""),"",IF(J278=N278,"No","Yes"))</x:f>
      </x:c>
      <x:c r="V278" s="98" t="n">
        <x:v>1</x:v>
      </x:c>
    </x:row>
    <x:row r="279" ht="54" hidden="0" customHeight="1">
      <x:c r="A279" s="38" t="str">
        <x:v>Q008::B071HGTNJ2_review_2508353</x:v>
      </x:c>
      <x:c r="B279" s="38" t="str">
        <x:v>Q008</x:v>
      </x:c>
      <x:c r="C279" s="91" t="str">
        <x:v>I need a quiet and reliable cooling fan for a desktop computer.</x:v>
      </x:c>
      <x:c r="D279" s="38" t="n">
        <x:v>4</x:v>
      </x:c>
      <x:c r="E279" s="38" t="str">
        <x:v>B071HGTNJ2</x:v>
      </x:c>
      <x:c r="F279" s="38" t="str">
        <x:v>review</x:v>
      </x:c>
      <x:c r="G279" s="38" t="str">
        <x:v>general</x:v>
      </x:c>
      <x:c r="H279" s="38" t="str">
        <x:v>Computers</x:v>
      </x:c>
      <x:c r="I279" s="91" t="str">
        <x:v>[Product: USB Mini Desktop Fan - Table Small Fan Viimnss Portable Adjustable Compatible with Computer,Laptops Power Banks Fans Quiet Cooling for Office and Home 4 Inch Black | ASIN: B071HGTNJ2] Works for what I needed. Puts out a decent amount of air.</x:v>
      </x:c>
      <x:c r="J279" s="101" t="n">
        <x:v>0</x:v>
      </x:c>
      <x:c r="K279" s="92" t="str">
        <x:v>Human_Reviewer_01</x:v>
      </x:c>
      <x:c r="L279" s="92" t="str">
        <x:v>High</x:v>
      </x:c>
      <x:c r="M279" s="93" t="str">
        <x:v>This is a personal desk fan, not a computer-component cooling fan.</x:v>
      </x:c>
      <x:c r="N279" s="94"/>
      <x:c r="O279" s="94"/>
      <x:c r="P279" s="94"/>
      <x:c r="Q279" s="95"/>
      <x:c r="R279" s="96"/>
      <x:c r="S279" s="96"/>
      <x:c r="T279" s="97"/>
      <x:c r="U279" s="98" t="str">
        <x:f>IF(OR(J279="",N279=""),"",IF(J279=N279,"No","Yes"))</x:f>
      </x:c>
      <x:c r="V279" s="98" t="n">
        <x:v>0</x:v>
      </x:c>
    </x:row>
    <x:row r="280" ht="54" hidden="0" customHeight="1">
      <x:c r="A280" s="38" t="str">
        <x:v>Q008::B071HGTNJ2_review_2508348</x:v>
      </x:c>
      <x:c r="B280" s="38" t="str">
        <x:v>Q008</x:v>
      </x:c>
      <x:c r="C280" s="91" t="str">
        <x:v>I need a quiet and reliable cooling fan for a desktop computer.</x:v>
      </x:c>
      <x:c r="D280" s="38" t="n">
        <x:v>5</x:v>
      </x:c>
      <x:c r="E280" s="38" t="str">
        <x:v>B071HGTNJ2</x:v>
      </x:c>
      <x:c r="F280" s="38" t="str">
        <x:v>review</x:v>
      </x:c>
      <x:c r="G280" s="38" t="str">
        <x:v>general</x:v>
      </x:c>
      <x:c r="H280" s="38" t="str">
        <x:v>Computers</x:v>
      </x:c>
      <x:c r="I280" s="91" t="str">
        <x:v>[Product: USB Mini Desktop Fan - Table Small Fan Viimnss Portable Adjustable Compatible with Computer,Laptops Power Banks Fans Quiet Cooling for Office and Home 4 Inch Black | ASIN: B071HGTNJ2] quiet, perfect for what I needed, thank you</x:v>
      </x:c>
      <x:c r="J280" s="101" t="n">
        <x:v>0</x:v>
      </x:c>
      <x:c r="K280" s="92" t="str">
        <x:v>Human_Reviewer_01</x:v>
      </x:c>
      <x:c r="L280" s="92" t="str">
        <x:v>High</x:v>
      </x:c>
      <x:c r="M280" s="93" t="str">
        <x:v>This is a personal desk fan, not a computer-component cooling fan.</x:v>
      </x:c>
      <x:c r="N280" s="94"/>
      <x:c r="O280" s="94"/>
      <x:c r="P280" s="94"/>
      <x:c r="Q280" s="95"/>
      <x:c r="R280" s="96"/>
      <x:c r="S280" s="96"/>
      <x:c r="T280" s="97"/>
      <x:c r="U280" s="98" t="str">
        <x:f>IF(OR(J280="",N280=""),"",IF(J280=N280,"No","Yes"))</x:f>
      </x:c>
      <x:c r="V280" s="98" t="n">
        <x:v>0</x:v>
      </x:c>
    </x:row>
    <x:row r="281" ht="54" hidden="0" customHeight="1">
      <x:c r="A281" s="38" t="str">
        <x:v>Q008::B00DU6RVIU_review_1282667</x:v>
      </x:c>
      <x:c r="B281" s="38" t="str">
        <x:v>Q008</x:v>
      </x:c>
      <x:c r="C281" s="91" t="str">
        <x:v>I need a quiet and reliable cooling fan for a desktop computer.</x:v>
      </x:c>
      <x:c r="D281" s="38" t="n">
        <x:v>6</x:v>
      </x:c>
      <x:c r="E281" s="38" t="str">
        <x:v>B00DU6RVIU</x:v>
      </x:c>
      <x:c r="F281" s="38" t="str">
        <x:v>review</x:v>
      </x:c>
      <x:c r="G281" s="38" t="str">
        <x:v>price/value</x:v>
      </x:c>
      <x:c r="H281" s="38" t="str">
        <x:v>Computers</x:v>
      </x:c>
      <x:c r="I281" s="91" t="str">
        <x:v>[Product: Kingwin 120mm CF-012LBW Silent Fan, For Computer Cases, CPU Coolers, Long Life Bearing, Quiet Efficient Cooling, and Provide Excellent Ventilation for PC Cases-[White] | ASIN: B00DU6RVIU] decent for the money though</x:v>
      </x:c>
      <x:c r="J281" s="101" t="n">
        <x:v>1</x:v>
      </x:c>
      <x:c r="K281" s="92" t="str">
        <x:v>Human_Reviewer_01</x:v>
      </x:c>
      <x:c r="L281" s="92" t="str">
        <x:v>High</x:v>
      </x:c>
      <x:c r="M281" s="93" t="str">
        <x:v>Correct case fan with relevant title claims, but the review only assesses value.</x:v>
      </x:c>
      <x:c r="N281" s="94"/>
      <x:c r="O281" s="94"/>
      <x:c r="P281" s="94"/>
      <x:c r="Q281" s="95"/>
      <x:c r="R281" s="96"/>
      <x:c r="S281" s="96"/>
      <x:c r="T281" s="97"/>
      <x:c r="U281" s="98" t="str">
        <x:f>IF(OR(J281="",N281=""),"",IF(J281=N281,"No","Yes"))</x:f>
      </x:c>
      <x:c r="V281" s="98" t="n">
        <x:v>1</x:v>
      </x:c>
    </x:row>
    <x:row r="282" ht="54" hidden="0" customHeight="1">
      <x:c r="A282" s="38" t="str">
        <x:v>Q008::B071HGTNJ2_review_2508356</x:v>
      </x:c>
      <x:c r="B282" s="38" t="str">
        <x:v>Q008</x:v>
      </x:c>
      <x:c r="C282" s="91" t="str">
        <x:v>I need a quiet and reliable cooling fan for a desktop computer.</x:v>
      </x:c>
      <x:c r="D282" s="38" t="n">
        <x:v>7</x:v>
      </x:c>
      <x:c r="E282" s="38" t="str">
        <x:v>B071HGTNJ2</x:v>
      </x:c>
      <x:c r="F282" s="38" t="str">
        <x:v>review</x:v>
      </x:c>
      <x:c r="G282" s="38" t="str">
        <x:v>general</x:v>
      </x:c>
      <x:c r="H282" s="38" t="str">
        <x:v>Computers</x:v>
      </x:c>
      <x:c r="I282" s="91" t="str">
        <x:v>[Product: USB Mini Desktop Fan - Table Small Fan Viimnss Portable Adjustable Compatible with Computer,Laptops Power Banks Fans Quiet Cooling for Office and Home 4 Inch Black | ASIN: B071HGTNJ2] If you need a fan to be in a fixed position, this is fine. But if you actually try to rotate this, the screws and plates are fixed, and it just bends when you try to move it.</x:v>
      </x:c>
      <x:c r="J282" s="101" t="n">
        <x:v>0</x:v>
      </x:c>
      <x:c r="K282" s="92" t="str">
        <x:v>Human_Reviewer_01</x:v>
      </x:c>
      <x:c r="L282" s="92" t="str">
        <x:v>High</x:v>
      </x:c>
      <x:c r="M282" s="93" t="str">
        <x:v>This is a personal desk fan, not a computer-component cooling fan.</x:v>
      </x:c>
      <x:c r="N282" s="94"/>
      <x:c r="O282" s="94"/>
      <x:c r="P282" s="94"/>
      <x:c r="Q282" s="95"/>
      <x:c r="R282" s="96"/>
      <x:c r="S282" s="96"/>
      <x:c r="T282" s="97"/>
      <x:c r="U282" s="98" t="str">
        <x:f>IF(OR(J282="",N282=""),"",IF(J282=N282,"No","Yes"))</x:f>
      </x:c>
      <x:c r="V282" s="98" t="n">
        <x:v>0</x:v>
      </x:c>
    </x:row>
    <x:row r="283" ht="54" hidden="0" customHeight="1">
      <x:c r="A283" s="38" t="str">
        <x:v>Q008::B0041AF0BE_review_2363257</x:v>
      </x:c>
      <x:c r="B283" s="38" t="str">
        <x:v>Q008</x:v>
      </x:c>
      <x:c r="C283" s="91" t="str">
        <x:v>I need a quiet and reliable cooling fan for a desktop computer.</x:v>
      </x:c>
      <x:c r="D283" s="38" t="n">
        <x:v>8</x:v>
      </x:c>
      <x:c r="E283" s="38" t="str">
        <x:v>B0041AF0BE</x:v>
      </x:c>
      <x:c r="F283" s="38" t="str">
        <x:v>review</x:v>
      </x:c>
      <x:c r="G283" s="38" t="str">
        <x:v>build quality</x:v>
      </x:c>
      <x:c r="H283" s="38" t="str">
        <x:v>Computers</x:v>
      </x:c>
      <x:c r="I283" s="91" t="str">
        <x:v>[Product: Enermax Case Fan Cooling UCTB8 | ASIN: B0041AF0BE] Solid, quiet fan.</x:v>
      </x:c>
      <x:c r="J283" s="101" t="n">
        <x:v>2</x:v>
      </x:c>
      <x:c r="K283" s="92" t="str">
        <x:v>Human_Reviewer_01</x:v>
      </x:c>
      <x:c r="L283" s="92" t="str">
        <x:v>High</x:v>
      </x:c>
      <x:c r="M283" s="93" t="str">
        <x:v>Case fan is explicitly solid and quiet.</x:v>
      </x:c>
      <x:c r="N283" s="94"/>
      <x:c r="O283" s="94"/>
      <x:c r="P283" s="94"/>
      <x:c r="Q283" s="95"/>
      <x:c r="R283" s="96"/>
      <x:c r="S283" s="96"/>
      <x:c r="T283" s="97"/>
      <x:c r="U283" s="98" t="str">
        <x:f>IF(OR(J283="",N283=""),"",IF(J283=N283,"No","Yes"))</x:f>
      </x:c>
      <x:c r="V283" s="98" t="n">
        <x:v>2</x:v>
      </x:c>
    </x:row>
    <x:row r="284" ht="54" hidden="0" customHeight="1">
      <x:c r="A284" s="38" t="str">
        <x:v>Q008::B00KB8CLM6_review_418327</x:v>
      </x:c>
      <x:c r="B284" s="38" t="str">
        <x:v>Q008</x:v>
      </x:c>
      <x:c r="C284" s="91" t="str">
        <x:v>I need a quiet and reliable cooling fan for a desktop computer.</x:v>
      </x:c>
      <x:c r="D284" s="38" t="n">
        <x:v>9</x:v>
      </x:c>
      <x:c r="E284" s="38" t="str">
        <x:v>B00KB8CLM6</x:v>
      </x:c>
      <x:c r="F284" s="38" t="str">
        <x:v>review</x:v>
      </x:c>
      <x:c r="G284" s="38" t="str">
        <x:v>sound quality</x:v>
      </x:c>
      <x:c r="H284" s="38" t="str">
        <x:v>Computers</x:v>
      </x:c>
      <x:c r="I284" s="91" t="str">
        <x:v>[Product: Rosewill 120mm LED Cooling Case Fan for Computer Cases Cooling, Blue RNBL-131209B | ASIN: B00KB8CLM6] Decently quiet for a 120mm@2000rpm, fluid dynamic bearing (good for horizontal), not super loud @ 2000rpm.</x:v>
      </x:c>
      <x:c r="J284" s="101" t="n">
        <x:v>2</x:v>
      </x:c>
      <x:c r="K284" s="92" t="str">
        <x:v>Human_Reviewer_01</x:v>
      </x:c>
      <x:c r="L284" s="92" t="str">
        <x:v>High</x:v>
      </x:c>
      <x:c r="M284" s="93" t="str">
        <x:v>Case fan has acceptable noise at a specified 2000 RPM and bearing detail.</x:v>
      </x:c>
      <x:c r="N284" s="94"/>
      <x:c r="O284" s="94"/>
      <x:c r="P284" s="94"/>
      <x:c r="Q284" s="95"/>
      <x:c r="R284" s="96"/>
      <x:c r="S284" s="96"/>
      <x:c r="T284" s="97"/>
      <x:c r="U284" s="98" t="str">
        <x:f>IF(OR(J284="",N284=""),"",IF(J284=N284,"No","Yes"))</x:f>
      </x:c>
      <x:c r="V284" s="98" t="n">
        <x:v>2</x:v>
      </x:c>
    </x:row>
    <x:row r="285" ht="54" hidden="0" customHeight="1">
      <x:c r="A285" s="38" t="str">
        <x:v>Q008::B0163ZCJDQ_review_578170</x:v>
      </x:c>
      <x:c r="B285" s="38" t="str">
        <x:v>Q008</x:v>
      </x:c>
      <x:c r="C285" s="91" t="str">
        <x:v>I need a quiet and reliable cooling fan for a desktop computer.</x:v>
      </x:c>
      <x:c r="D285" s="38" t="n">
        <x:v>10</x:v>
      </x:c>
      <x:c r="E285" s="38" t="str">
        <x:v>B0163ZCJDQ</x:v>
      </x:c>
      <x:c r="F285" s="38" t="str">
        <x:v>review</x:v>
      </x:c>
      <x:c r="G285" s="38" t="str">
        <x:v>price/value</x:v>
      </x:c>
      <x:c r="H285" s="38" t="str">
        <x:v>Computers</x:v>
      </x:c>
      <x:c r="I285" s="91" t="str">
        <x:v>[Product: IO Crest Mini USB Powered Desktop Cooling Fan SY-ACC65055 | ASIN: B0163ZCJDQ] This fan is little, and inexpensive. Its not too cheap its quiet and powerful. definitely worth the 8 bucks i paid for it.</x:v>
      </x:c>
      <x:c r="J285" s="101" t="n">
        <x:v>1</x:v>
      </x:c>
      <x:c r="K285" s="92" t="str">
        <x:v>Human_Reviewer_01</x:v>
      </x:c>
      <x:c r="L285" s="92" t="str">
        <x:v>Low</x:v>
      </x:c>
      <x:c r="M285" s="93" t="str">
        <x:v>Quiet USB desktop fan is described, but computer-component cooling rather than personal cooling is not established.</x:v>
      </x:c>
      <x:c r="N285" s="94"/>
      <x:c r="O285" s="94"/>
      <x:c r="P285" s="94"/>
      <x:c r="Q285" s="95"/>
      <x:c r="R285" s="96"/>
      <x:c r="S285" s="96"/>
      <x:c r="T285" s="97"/>
      <x:c r="U285" s="98" t="str">
        <x:f>IF(OR(J285="",N285=""),"",IF(J285=N285,"No","Yes"))</x:f>
      </x:c>
      <x:c r="V285" s="98" t="n">
        <x:v>1</x:v>
      </x:c>
    </x:row>
    <x:row r="286" ht="54" hidden="0" customHeight="1">
      <x:c r="A286" s="38" t="str">
        <x:v>Q008::B0924G76D8_review_3586544</x:v>
      </x:c>
      <x:c r="B286" s="38" t="str">
        <x:v>Q008</x:v>
      </x:c>
      <x:c r="C286" s="91" t="str">
        <x:v>I need a quiet and reliable cooling fan for a desktop computer.</x:v>
      </x:c>
      <x:c r="D286" s="38" t="n">
        <x:v>11</x:v>
      </x:c>
      <x:c r="E286" s="38" t="str">
        <x:v>B0924G76D8</x:v>
      </x:c>
      <x:c r="F286" s="38" t="str">
        <x:v>review</x:v>
      </x:c>
      <x:c r="G286" s="38" t="str">
        <x:v>specifications/performance</x:v>
      </x:c>
      <x:c r="H286" s="38" t="str">
        <x:v>Computers</x:v>
      </x:c>
      <x:c r="I286" s="91" t="str">
        <x:v>[Product: Simple Deluxe 120mm Quiet USB Fan with Multi-Speed Controller, High Performance Cooling Fan for Receiver Router DVR Playstation, Xbox Computer Cabinet Cooling | ASIN: B0924G76D8] It is very quiet and has 3 speeds.</x:v>
      </x:c>
      <x:c r="J286" s="101" t="n">
        <x:v>2</x:v>
      </x:c>
      <x:c r="K286" s="92" t="str">
        <x:v>Human_Reviewer_01</x:v>
      </x:c>
      <x:c r="L286" s="92" t="str">
        <x:v>High</x:v>
      </x:c>
      <x:c r="M286" s="93" t="str">
        <x:v>Computer cabinet cooling fan is explicitly very quiet with three speeds.</x:v>
      </x:c>
      <x:c r="N286" s="94"/>
      <x:c r="O286" s="94"/>
      <x:c r="P286" s="94"/>
      <x:c r="Q286" s="95"/>
      <x:c r="R286" s="96"/>
      <x:c r="S286" s="96"/>
      <x:c r="T286" s="97"/>
      <x:c r="U286" s="98" t="str">
        <x:f>IF(OR(J286="",N286=""),"",IF(J286=N286,"No","Yes"))</x:f>
      </x:c>
      <x:c r="V286" s="98" t="n">
        <x:v>2</x:v>
      </x:c>
    </x:row>
    <x:row r="287" ht="54" hidden="0" customHeight="1">
      <x:c r="A287" s="38" t="str">
        <x:v>Q008::B0192WNM9C_review_2912806</x:v>
      </x:c>
      <x:c r="B287" s="38" t="str">
        <x:v>Q008</x:v>
      </x:c>
      <x:c r="C287" s="91" t="str">
        <x:v>I need a quiet and reliable cooling fan for a desktop computer.</x:v>
      </x:c>
      <x:c r="D287" s="38" t="n">
        <x:v>12</x:v>
      </x:c>
      <x:c r="E287" s="38" t="str">
        <x:v>B0192WNM9C</x:v>
      </x:c>
      <x:c r="F287" s="38" t="str">
        <x:v>review</x:v>
      </x:c>
      <x:c r="G287" s="38" t="str">
        <x:v>general</x:v>
      </x:c>
      <x:c r="H287" s="38" t="str">
        <x:v>Computers</x:v>
      </x:c>
      <x:c r="I287" s="91" t="str">
        <x:v>[Product: RDEXP Black 5V USB Power Silent Computer Cooling Fan for Computer Case CPU Cooler | ASIN: B0192WNM9C] Was made well but not quiet enough unless dialed way down and then has problems starting up. But for 99% probably a very versatile.</x:v>
      </x:c>
      <x:c r="J287" s="101" t="n">
        <x:v>2</x:v>
      </x:c>
      <x:c r="K287" s="92" t="str">
        <x:v>Human_Reviewer_01</x:v>
      </x:c>
      <x:c r="L287" s="92" t="str">
        <x:v>High</x:v>
      </x:c>
      <x:c r="M287" s="93" t="str">
        <x:v>Computer cooling fan is noisy and has startup problems at reduced speed.</x:v>
      </x:c>
      <x:c r="N287" s="94"/>
      <x:c r="O287" s="94"/>
      <x:c r="P287" s="94"/>
      <x:c r="Q287" s="95"/>
      <x:c r="R287" s="96"/>
      <x:c r="S287" s="96"/>
      <x:c r="T287" s="97"/>
      <x:c r="U287" s="98" t="str">
        <x:f>IF(OR(J287="",N287=""),"",IF(J287=N287,"No","Yes"))</x:f>
      </x:c>
      <x:c r="V287" s="98" t="n">
        <x:v>2</x:v>
      </x:c>
    </x:row>
    <x:row r="288" ht="54" hidden="0" customHeight="1">
      <x:c r="A288" s="38" t="str">
        <x:v>Q008::B071HGTNJ2_review_2508357</x:v>
      </x:c>
      <x:c r="B288" s="38" t="str">
        <x:v>Q008</x:v>
      </x:c>
      <x:c r="C288" s="91" t="str">
        <x:v>I need a quiet and reliable cooling fan for a desktop computer.</x:v>
      </x:c>
      <x:c r="D288" s="38" t="n">
        <x:v>13</x:v>
      </x:c>
      <x:c r="E288" s="38" t="str">
        <x:v>B071HGTNJ2</x:v>
      </x:c>
      <x:c r="F288" s="38" t="str">
        <x:v>review</x:v>
      </x:c>
      <x:c r="G288" s="38" t="str">
        <x:v>build quality</x:v>
      </x:c>
      <x:c r="H288" s="38" t="str">
        <x:v>Computers</x:v>
      </x:c>
      <x:c r="I288" s="91" t="str">
        <x:v>[Product: USB Mini Desktop Fan - Table Small Fan Viimnss Portable Adjustable Compatible with Computer,Laptops Power Banks Fans Quiet Cooling for Office and Home 4 Inch Black | ASIN: B071HGTNJ2] Very poor quality.</x:v>
      </x:c>
      <x:c r="J288" s="101" t="n">
        <x:v>0</x:v>
      </x:c>
      <x:c r="K288" s="92" t="str">
        <x:v>Human_Reviewer_01</x:v>
      </x:c>
      <x:c r="L288" s="92" t="str">
        <x:v>High</x:v>
      </x:c>
      <x:c r="M288" s="93" t="str">
        <x:v>This is a personal desk fan, not a computer-component cooling fan.</x:v>
      </x:c>
      <x:c r="N288" s="94"/>
      <x:c r="O288" s="94"/>
      <x:c r="P288" s="94"/>
      <x:c r="Q288" s="95"/>
      <x:c r="R288" s="96"/>
      <x:c r="S288" s="96"/>
      <x:c r="T288" s="97"/>
      <x:c r="U288" s="98" t="str">
        <x:f>IF(OR(J288="",N288=""),"",IF(J288=N288,"No","Yes"))</x:f>
      </x:c>
      <x:c r="V288" s="98" t="n">
        <x:v>0</x:v>
      </x:c>
    </x:row>
    <x:row r="289" ht="54" hidden="0" customHeight="1">
      <x:c r="A289" s="38" t="str">
        <x:v>Q008::B071HGTNJ2_review_2508351</x:v>
      </x:c>
      <x:c r="B289" s="38" t="str">
        <x:v>Q008</x:v>
      </x:c>
      <x:c r="C289" s="91" t="str">
        <x:v>I need a quiet and reliable cooling fan for a desktop computer.</x:v>
      </x:c>
      <x:c r="D289" s="38" t="n">
        <x:v>14</x:v>
      </x:c>
      <x:c r="E289" s="38" t="str">
        <x:v>B071HGTNJ2</x:v>
      </x:c>
      <x:c r="F289" s="38" t="str">
        <x:v>review</x:v>
      </x:c>
      <x:c r="G289" s="38" t="str">
        <x:v>battery life</x:v>
      </x:c>
      <x:c r="H289" s="38" t="str">
        <x:v>Computers</x:v>
      </x:c>
      <x:c r="I289" s="91" t="str">
        <x:v>[Product: USB Mini Desktop Fan - Table Small Fan Viimnss Portable Adjustable Compatible with Computer,Laptops Power Banks Fans Quiet Cooling for Office and Home 4 Inch Black | ASIN: B071HGTNJ2] It really puts out a lot of power and does its job in an awesome manner for its size.</x:v>
      </x:c>
      <x:c r="J289" s="101" t="n">
        <x:v>0</x:v>
      </x:c>
      <x:c r="K289" s="92" t="str">
        <x:v>Human_Reviewer_01</x:v>
      </x:c>
      <x:c r="L289" s="92" t="str">
        <x:v>High</x:v>
      </x:c>
      <x:c r="M289" s="93" t="str">
        <x:v>This is a personal desk fan, not a computer-component cooling fan.</x:v>
      </x:c>
      <x:c r="N289" s="94"/>
      <x:c r="O289" s="94"/>
      <x:c r="P289" s="94"/>
      <x:c r="Q289" s="95"/>
      <x:c r="R289" s="96"/>
      <x:c r="S289" s="96"/>
      <x:c r="T289" s="97"/>
      <x:c r="U289" s="98" t="str">
        <x:f>IF(OR(J289="",N289=""),"",IF(J289=N289,"No","Yes"))</x:f>
      </x:c>
      <x:c r="V289" s="98" t="n">
        <x:v>0</x:v>
      </x:c>
    </x:row>
    <x:row r="290" ht="54" hidden="0" customHeight="1">
      <x:c r="A290" s="38" t="str">
        <x:v>Q008::B00KB8CPIQ_review_2495168</x:v>
      </x:c>
      <x:c r="B290" s="38" t="str">
        <x:v>Q008</x:v>
      </x:c>
      <x:c r="C290" s="91" t="str">
        <x:v>I need a quiet and reliable cooling fan for a desktop computer.</x:v>
      </x:c>
      <x:c r="D290" s="38" t="n">
        <x:v>15</x:v>
      </x:c>
      <x:c r="E290" s="38" t="str">
        <x:v>B00KB8CPIQ</x:v>
      </x:c>
      <x:c r="F290" s="38" t="str">
        <x:v>review</x:v>
      </x:c>
      <x:c r="G290" s="38" t="str">
        <x:v>general</x:v>
      </x:c>
      <x:c r="H290" s="38" t="str">
        <x:v>Computers</x:v>
      </x:c>
      <x:c r="I290" s="91" t="str">
        <x:v>[Product: Rosewill 120mm LED Cooling Case Fan for Computer Cases Cooling, Red RNBL-131209R | ASIN: B00KB8CPIQ] However there are many other better options out there</x:v>
      </x:c>
      <x:c r="J290" s="101" t="n">
        <x:v>1</x:v>
      </x:c>
      <x:c r="K290" s="92" t="str">
        <x:v>Human_Reviewer_01</x:v>
      </x:c>
      <x:c r="L290" s="92" t="str">
        <x:v>High</x:v>
      </x:c>
      <x:c r="M290" s="93" t="str">
        <x:v>Correct case fan, but alternatives are preferred without noise or reliability reasons.</x:v>
      </x:c>
      <x:c r="N290" s="94"/>
      <x:c r="O290" s="94"/>
      <x:c r="P290" s="94"/>
      <x:c r="Q290" s="95"/>
      <x:c r="R290" s="96"/>
      <x:c r="S290" s="96"/>
      <x:c r="T290" s="97"/>
      <x:c r="U290" s="98" t="str">
        <x:f>IF(OR(J290="",N290=""),"",IF(J290=N290,"No","Yes"))</x:f>
      </x:c>
      <x:c r="V290" s="98" t="n">
        <x:v>1</x:v>
      </x:c>
    </x:row>
    <x:row r="291" ht="54" hidden="0" customHeight="1">
      <x:c r="A291" s="38" t="str">
        <x:v>Q008::B07TM299F9_review_4157351</x:v>
      </x:c>
      <x:c r="B291" s="38" t="str">
        <x:v>Q008</x:v>
      </x:c>
      <x:c r="C291" s="91" t="str">
        <x:v>I need a quiet and reliable cooling fan for a desktop computer.</x:v>
      </x:c>
      <x:c r="D291" s="38" t="n">
        <x:v>16</x:v>
      </x:c>
      <x:c r="E291" s="38" t="str">
        <x:v>B07TM299F9</x:v>
      </x:c>
      <x:c r="F291" s="38" t="str">
        <x:v>review</x:v>
      </x:c>
      <x:c r="G291" s="38" t="str">
        <x:v>general</x:v>
      </x:c>
      <x:c r="H291" s="38" t="str">
        <x:v>Computers</x:v>
      </x:c>
      <x:c r="I291" s="91" t="str">
        <x:v>[Product: FANGZONG USB 8-inch Fans For Bedroom, 3 Speeds Whisper Quiet, 160° Rotationd Up and Down， Portable Fan Desktop Office Table Air Cooling Fan | ASIN: B07TM299F9] It is so quiet I hardly hear it!</x:v>
      </x:c>
      <x:c r="J291" s="101" t="n">
        <x:v>0</x:v>
      </x:c>
      <x:c r="K291" s="92" t="str">
        <x:v>Human_Reviewer_01</x:v>
      </x:c>
      <x:c r="L291" s="92" t="str">
        <x:v>High</x:v>
      </x:c>
      <x:c r="M291" s="93" t="str">
        <x:v>This is a room or desk air-cooling fan, not a computer-component fan.</x:v>
      </x:c>
      <x:c r="N291" s="94"/>
      <x:c r="O291" s="94"/>
      <x:c r="P291" s="94"/>
      <x:c r="Q291" s="95"/>
      <x:c r="R291" s="96"/>
      <x:c r="S291" s="96"/>
      <x:c r="T291" s="97"/>
      <x:c r="U291" s="98" t="str">
        <x:f>IF(OR(J291="",N291=""),"",IF(J291=N291,"No","Yes"))</x:f>
      </x:c>
      <x:c r="V291" s="98" t="n">
        <x:v>0</x:v>
      </x:c>
    </x:row>
    <x:row r="292" ht="54" hidden="0" customHeight="1">
      <x:c r="A292" s="38" t="str">
        <x:v>Q008::B0192WNM9C_review_2912801</x:v>
      </x:c>
      <x:c r="B292" s="38" t="str">
        <x:v>Q008</x:v>
      </x:c>
      <x:c r="C292" s="91" t="str">
        <x:v>I need a quiet and reliable cooling fan for a desktop computer.</x:v>
      </x:c>
      <x:c r="D292" s="38" t="n">
        <x:v>17</x:v>
      </x:c>
      <x:c r="E292" s="38" t="str">
        <x:v>B0192WNM9C</x:v>
      </x:c>
      <x:c r="F292" s="38" t="str">
        <x:v>review</x:v>
      </x:c>
      <x:c r="G292" s="38" t="str">
        <x:v>general</x:v>
      </x:c>
      <x:c r="H292" s="38" t="str">
        <x:v>Computers</x:v>
      </x:c>
      <x:c r="I292" s="91" t="str">
        <x:v>[Product: RDEXP Black 5V USB Power Silent Computer Cooling Fan for Computer Case CPU Cooler | ASIN: B0192WNM9C] Super quiet fan. Very lightweight also.</x:v>
      </x:c>
      <x:c r="J292" s="101" t="n">
        <x:v>2</x:v>
      </x:c>
      <x:c r="K292" s="92" t="str">
        <x:v>Human_Reviewer_01</x:v>
      </x:c>
      <x:c r="L292" s="92" t="str">
        <x:v>High</x:v>
      </x:c>
      <x:c r="M292" s="93" t="str">
        <x:v>Computer cooling fan is explicitly very quiet.</x:v>
      </x:c>
      <x:c r="N292" s="94"/>
      <x:c r="O292" s="94"/>
      <x:c r="P292" s="94"/>
      <x:c r="Q292" s="95"/>
      <x:c r="R292" s="96"/>
      <x:c r="S292" s="96"/>
      <x:c r="T292" s="97"/>
      <x:c r="U292" s="98" t="str">
        <x:f>IF(OR(J292="",N292=""),"",IF(J292=N292,"No","Yes"))</x:f>
      </x:c>
      <x:c r="V292" s="98" t="n">
        <x:v>2</x:v>
      </x:c>
    </x:row>
    <x:row r="293" ht="54" hidden="0" customHeight="1">
      <x:c r="A293" s="38" t="str">
        <x:v>Q008::B0163ZCJDQ_review_578167</x:v>
      </x:c>
      <x:c r="B293" s="38" t="str">
        <x:v>Q008</x:v>
      </x:c>
      <x:c r="C293" s="91" t="str">
        <x:v>I need a quiet and reliable cooling fan for a desktop computer.</x:v>
      </x:c>
      <x:c r="D293" s="38" t="n">
        <x:v>18</x:v>
      </x:c>
      <x:c r="E293" s="38" t="str">
        <x:v>B0163ZCJDQ</x:v>
      </x:c>
      <x:c r="F293" s="38" t="str">
        <x:v>review</x:v>
      </x:c>
      <x:c r="G293" s="38" t="str">
        <x:v>general</x:v>
      </x:c>
      <x:c r="H293" s="38" t="str">
        <x:v>Computers</x:v>
      </x:c>
      <x:c r="I293" s="91" t="str">
        <x:v>[Product: IO Crest Mini USB Powered Desktop Cooling Fan SY-ACC65055 | ASIN: B0163ZCJDQ] This is an excellent fan for the office or home office. It is quiet and provides a greater airflow than I expected.</x:v>
      </x:c>
      <x:c r="J293" s="101" t="n">
        <x:v>1</x:v>
      </x:c>
      <x:c r="K293" s="92" t="str">
        <x:v>Human_Reviewer_01</x:v>
      </x:c>
      <x:c r="L293" s="92" t="str">
        <x:v>Low</x:v>
      </x:c>
      <x:c r="M293" s="93" t="str">
        <x:v>Quiet office USB fan has useful noise evidence, but computer-component cooling versus personal cooling remains unclear.</x:v>
      </x:c>
      <x:c r="N293" s="94"/>
      <x:c r="O293" s="94"/>
      <x:c r="P293" s="94"/>
      <x:c r="Q293" s="95"/>
      <x:c r="R293" s="96"/>
      <x:c r="S293" s="96"/>
      <x:c r="T293" s="97"/>
      <x:c r="U293" s="98" t="str">
        <x:f>IF(OR(J293="",N293=""),"",IF(J293=N293,"No","Yes"))</x:f>
      </x:c>
      <x:c r="V293" s="98" t="n">
        <x:v>1</x:v>
      </x:c>
    </x:row>
    <x:row r="294" ht="54" hidden="0" customHeight="1">
      <x:c r="A294" s="38" t="str">
        <x:v>Q008::B002PAQY76_review_2488767</x:v>
      </x:c>
      <x:c r="B294" s="38" t="str">
        <x:v>Q008</x:v>
      </x:c>
      <x:c r="C294" s="91" t="str">
        <x:v>I need a quiet and reliable cooling fan for a desktop computer.</x:v>
      </x:c>
      <x:c r="D294" s="38" t="n">
        <x:v>19</x:v>
      </x:c>
      <x:c r="E294" s="38" t="str">
        <x:v>B002PAQY76</x:v>
      </x:c>
      <x:c r="F294" s="38" t="str">
        <x:v>review</x:v>
      </x:c>
      <x:c r="G294" s="38" t="str">
        <x:v>sound quality</x:v>
      </x:c>
      <x:c r="H294" s="38" t="str">
        <x:v>Computers</x:v>
      </x:c>
      <x:c r="I294" s="91" t="str">
        <x:v>[Product: Macally Laptop Stand with USB Powered Computer Speakers and Cooling Fan for Windows PCs, Desktop Computer, Laptop, etc. | ASIN: B002PAQY76] The fan is super quiet and the speakers sound very good. They are a great improvement over the built-in speakers.</x:v>
      </x:c>
      <x:c r="J294" s="101" t="n">
        <x:v>0</x:v>
      </x:c>
      <x:c r="K294" s="92" t="str">
        <x:v>Human_Reviewer_01</x:v>
      </x:c>
      <x:c r="L294" s="92" t="str">
        <x:v>High</x:v>
      </x:c>
      <x:c r="M294" s="93" t="str">
        <x:v>This is a laptop cooling stand with speakers, not a desktop cooling fan.</x:v>
      </x:c>
      <x:c r="N294" s="94"/>
      <x:c r="O294" s="94"/>
      <x:c r="P294" s="94"/>
      <x:c r="Q294" s="95"/>
      <x:c r="R294" s="96"/>
      <x:c r="S294" s="96"/>
      <x:c r="T294" s="97"/>
      <x:c r="U294" s="98" t="str">
        <x:f>IF(OR(J294="",N294=""),"",IF(J294=N294,"No","Yes"))</x:f>
      </x:c>
      <x:c r="V294" s="98" t="n">
        <x:v>0</x:v>
      </x:c>
    </x:row>
    <x:row r="295" ht="54" hidden="0" customHeight="1">
      <x:c r="A295" s="38" t="str">
        <x:v>Q008::B003JVKDJK_review_2649172</x:v>
      </x:c>
      <x:c r="B295" s="38" t="str">
        <x:v>Q008</x:v>
      </x:c>
      <x:c r="C295" s="91" t="str">
        <x:v>I need a quiet and reliable cooling fan for a desktop computer.</x:v>
      </x:c>
      <x:c r="D295" s="38" t="n">
        <x:v>20</x:v>
      </x:c>
      <x:c r="E295" s="38" t="str">
        <x:v>B003JVKDJK</x:v>
      </x:c>
      <x:c r="F295" s="38" t="str">
        <x:v>review</x:v>
      </x:c>
      <x:c r="G295" s="38" t="str">
        <x:v>general</x:v>
      </x:c>
      <x:c r="H295" s="38" t="str">
        <x:v>Computers</x:v>
      </x:c>
      <x:c r="I295" s="91" t="str">
        <x:v>[Product: MASSCOOL 70mm Cooling Fan FD07015B1M3/4 | ASIN: B003JVKDJK] Keeps 10 plus year old computer going. Just a little noise if in colder room.</x:v>
      </x:c>
      <x:c r="J295" s="101" t="n">
        <x:v>2</x:v>
      </x:c>
      <x:c r="K295" s="92" t="str">
        <x:v>Human_Reviewer_01</x:v>
      </x:c>
      <x:c r="L295" s="92" t="str">
        <x:v>High</x:v>
      </x:c>
      <x:c r="M295" s="93" t="str">
        <x:v>Cooling fan keeps an old computer running with slight cold-room noise.</x:v>
      </x:c>
      <x:c r="N295" s="94"/>
      <x:c r="O295" s="94"/>
      <x:c r="P295" s="94"/>
      <x:c r="Q295" s="95"/>
      <x:c r="R295" s="96"/>
      <x:c r="S295" s="96"/>
      <x:c r="T295" s="97"/>
      <x:c r="U295" s="98" t="str">
        <x:f>IF(OR(J295="",N295=""),"",IF(J295=N295,"No","Yes"))</x:f>
      </x:c>
      <x:c r="V295" s="98" t="n">
        <x:v>2</x:v>
      </x:c>
    </x:row>
    <x:row r="296" ht="54" hidden="0" customHeight="1">
      <x:c r="A296" s="38" t="str">
        <x:v>Q008::B0192WNM9C_review_2912787</x:v>
      </x:c>
      <x:c r="B296" s="38" t="str">
        <x:v>Q008</x:v>
      </x:c>
      <x:c r="C296" s="91" t="str">
        <x:v>I need a quiet and reliable cooling fan for a desktop computer.</x:v>
      </x:c>
      <x:c r="D296" s="38" t="n">
        <x:v>21</x:v>
      </x:c>
      <x:c r="E296" s="38" t="str">
        <x:v>B0192WNM9C</x:v>
      </x:c>
      <x:c r="F296" s="38" t="str">
        <x:v>review</x:v>
      </x:c>
      <x:c r="G296" s="38" t="str">
        <x:v>general</x:v>
      </x:c>
      <x:c r="H296" s="38" t="str">
        <x:v>Computers</x:v>
      </x:c>
      <x:c r="I296" s="91" t="str">
        <x:v>[Product: RDEXP Black 5V USB Power Silent Computer Cooling Fan for Computer Case CPU Cooler | ASIN: B0192WNM9C] Noisy so if you need silence go elsewhere, however it served my purpose well.</x:v>
      </x:c>
      <x:c r="J296" s="101" t="n">
        <x:v>2</x:v>
      </x:c>
      <x:c r="K296" s="92" t="str">
        <x:v>Human_Reviewer_01</x:v>
      </x:c>
      <x:c r="L296" s="92" t="str">
        <x:v>High</x:v>
      </x:c>
      <x:c r="M296" s="93" t="str">
        <x:v>Computer cooling fan is explicitly noisy; direct negative evidence.</x:v>
      </x:c>
      <x:c r="N296" s="94"/>
      <x:c r="O296" s="94"/>
      <x:c r="P296" s="94"/>
      <x:c r="Q296" s="95"/>
      <x:c r="R296" s="96"/>
      <x:c r="S296" s="96"/>
      <x:c r="T296" s="97"/>
      <x:c r="U296" s="98" t="str">
        <x:f>IF(OR(J296="",N296=""),"",IF(J296=N296,"No","Yes"))</x:f>
      </x:c>
      <x:c r="V296" s="98" t="n">
        <x:v>2</x:v>
      </x:c>
    </x:row>
    <x:row r="297" ht="54" hidden="0" customHeight="1">
      <x:c r="A297" s="38" t="str">
        <x:v>Q008::B004KJ6AHY_review_905961</x:v>
      </x:c>
      <x:c r="B297" s="38" t="str">
        <x:v>Q008</x:v>
      </x:c>
      <x:c r="C297" s="91" t="str">
        <x:v>I need a quiet and reliable cooling fan for a desktop computer.</x:v>
      </x:c>
      <x:c r="D297" s="38" t="n">
        <x:v>22</x:v>
      </x:c>
      <x:c r="E297" s="38" t="str">
        <x:v>B004KJ6AHY</x:v>
      </x:c>
      <x:c r="F297" s="38" t="str">
        <x:v>review</x:v>
      </x:c>
      <x:c r="G297" s="38" t="str">
        <x:v>design/appearance</x:v>
      </x:c>
      <x:c r="H297" s="38" t="str">
        <x:v>Computers</x:v>
      </x:c>
      <x:c r="I297" s="91" t="str">
        <x:v>[Product: Link Depot Computer Case Cooling Fan FAN-80-4PACK Black | ASIN: B004KJ6AHY] If you are looking for quiet, this is not the way to go.</x:v>
      </x:c>
      <x:c r="J297" s="101" t="n">
        <x:v>2</x:v>
      </x:c>
      <x:c r="K297" s="92" t="str">
        <x:v>Human_Reviewer_01</x:v>
      </x:c>
      <x:c r="L297" s="92" t="str">
        <x:v>High</x:v>
      </x:c>
      <x:c r="M297" s="93" t="str">
        <x:v>Computer case fans explicitly fail the quietness requirement.</x:v>
      </x:c>
      <x:c r="N297" s="94"/>
      <x:c r="O297" s="94"/>
      <x:c r="P297" s="94"/>
      <x:c r="Q297" s="95"/>
      <x:c r="R297" s="96"/>
      <x:c r="S297" s="96"/>
      <x:c r="T297" s="97"/>
      <x:c r="U297" s="98" t="str">
        <x:f>IF(OR(J297="",N297=""),"",IF(J297=N297,"No","Yes"))</x:f>
      </x:c>
      <x:c r="V297" s="98" t="n">
        <x:v>2</x:v>
      </x:c>
    </x:row>
    <x:row r="298" ht="54" hidden="0" customHeight="1">
      <x:c r="A298" s="38" t="str">
        <x:v>Q008::B006DKEQV0_review_1046702</x:v>
      </x:c>
      <x:c r="B298" s="38" t="str">
        <x:v>Q008</x:v>
      </x:c>
      <x:c r="C298" s="91" t="str">
        <x:v>I need a quiet and reliable cooling fan for a desktop computer.</x:v>
      </x:c>
      <x:c r="D298" s="38" t="n">
        <x:v>23</x:v>
      </x:c>
      <x:c r="E298" s="38" t="str">
        <x:v>B006DKEQV0</x:v>
      </x:c>
      <x:c r="F298" s="38" t="str">
        <x:v>review</x:v>
      </x:c>
      <x:c r="G298" s="38" t="str">
        <x:v>general</x:v>
      </x:c>
      <x:c r="H298" s="38" t="str">
        <x:v>Computers</x:v>
      </x:c>
      <x:c r="I298" s="91" t="str">
        <x:v>[Product: Rosewill ROCF-11004 Hyperborea 120mm Case Fan | ASIN: B006DKEQV0] Quiet, reliable and efficient. Enough said.</x:v>
      </x:c>
      <x:c r="J298" s="101" t="n">
        <x:v>2</x:v>
      </x:c>
      <x:c r="K298" s="92" t="str">
        <x:v>Human_Reviewer_01</x:v>
      </x:c>
      <x:c r="L298" s="92" t="str">
        <x:v>High</x:v>
      </x:c>
      <x:c r="M298" s="93" t="str">
        <x:v>Case fan is explicitly quiet, reliable, and efficient.</x:v>
      </x:c>
      <x:c r="N298" s="94"/>
      <x:c r="O298" s="94"/>
      <x:c r="P298" s="94"/>
      <x:c r="Q298" s="95"/>
      <x:c r="R298" s="96"/>
      <x:c r="S298" s="96"/>
      <x:c r="T298" s="97"/>
      <x:c r="U298" s="98" t="str">
        <x:f>IF(OR(J298="",N298=""),"",IF(J298=N298,"No","Yes"))</x:f>
      </x:c>
      <x:c r="V298" s="98" t="n">
        <x:v>2</x:v>
      </x:c>
    </x:row>
    <x:row r="299" ht="54" hidden="0" customHeight="1">
      <x:c r="A299" s="38" t="str">
        <x:v>Q008::B0078IWS9I_review_117205</x:v>
      </x:c>
      <x:c r="B299" s="38" t="str">
        <x:v>Q008</x:v>
      </x:c>
      <x:c r="C299" s="91" t="str">
        <x:v>I need a quiet and reliable cooling fan for a desktop computer.</x:v>
      </x:c>
      <x:c r="D299" s="38" t="n">
        <x:v>24</x:v>
      </x:c>
      <x:c r="E299" s="38" t="str">
        <x:v>B0078IWS9I</x:v>
      </x:c>
      <x:c r="F299" s="38" t="str">
        <x:v>review</x:v>
      </x:c>
      <x:c r="G299" s="38" t="str">
        <x:v>general</x:v>
      </x:c>
      <x:c r="H299" s="38" t="str">
        <x:v>Computers</x:v>
      </x:c>
      <x:c r="I299" s="91" t="str">
        <x:v>[Product: Xigmatek Computer Case Cooling Fan XAF-F1452 | ASIN: B0078IWS9I] Decent noise levels when not running at full RPM.</x:v>
      </x:c>
      <x:c r="J299" s="101" t="n">
        <x:v>2</x:v>
      </x:c>
      <x:c r="K299" s="92" t="str">
        <x:v>Human_Reviewer_01</x:v>
      </x:c>
      <x:c r="L299" s="92" t="str">
        <x:v>High</x:v>
      </x:c>
      <x:c r="M299" s="93" t="str">
        <x:v>Computer case fan has acceptable noise below full RPM.</x:v>
      </x:c>
      <x:c r="N299" s="94"/>
      <x:c r="O299" s="94"/>
      <x:c r="P299" s="94"/>
      <x:c r="Q299" s="95"/>
      <x:c r="R299" s="96"/>
      <x:c r="S299" s="96"/>
      <x:c r="T299" s="97"/>
      <x:c r="U299" s="98" t="str">
        <x:f>IF(OR(J299="",N299=""),"",IF(J299=N299,"No","Yes"))</x:f>
      </x:c>
      <x:c r="V299" s="98" t="n">
        <x:v>2</x:v>
      </x:c>
    </x:row>
    <x:row r="300" ht="54" hidden="0" customHeight="1">
      <x:c r="A300" s="38" t="str">
        <x:v>Q008::B071HGTNJ2_review_2508358</x:v>
      </x:c>
      <x:c r="B300" s="38" t="str">
        <x:v>Q008</x:v>
      </x:c>
      <x:c r="C300" s="91" t="str">
        <x:v>I need a quiet and reliable cooling fan for a desktop computer.</x:v>
      </x:c>
      <x:c r="D300" s="38" t="n">
        <x:v>25</x:v>
      </x:c>
      <x:c r="E300" s="38" t="str">
        <x:v>B071HGTNJ2</x:v>
      </x:c>
      <x:c r="F300" s="38" t="str">
        <x:v>review</x:v>
      </x:c>
      <x:c r="G300" s="38" t="str">
        <x:v>price/value</x:v>
      </x:c>
      <x:c r="H300" s="38" t="str">
        <x:v>Computers</x:v>
      </x:c>
      <x:c r="I300" s="91" t="str">
        <x:v>[Product: USB Mini Desktop Fan - Table Small Fan Viimnss Portable Adjustable Compatible with Computer,Laptops Power Banks Fans Quiet Cooling for Office and Home 4 Inch Black | ASIN: B071HGTNJ2] Cheap thin metal.</x:v>
      </x:c>
      <x:c r="J300" s="101" t="n">
        <x:v>0</x:v>
      </x:c>
      <x:c r="K300" s="92" t="str">
        <x:v>Human_Reviewer_01</x:v>
      </x:c>
      <x:c r="L300" s="92" t="str">
        <x:v>High</x:v>
      </x:c>
      <x:c r="M300" s="93" t="str">
        <x:v>This is a personal desk fan, not a computer-component cooling fan.</x:v>
      </x:c>
      <x:c r="N300" s="94"/>
      <x:c r="O300" s="94"/>
      <x:c r="P300" s="94"/>
      <x:c r="Q300" s="95"/>
      <x:c r="R300" s="96"/>
      <x:c r="S300" s="96"/>
      <x:c r="T300" s="97"/>
      <x:c r="U300" s="98" t="str">
        <x:f>IF(OR(J300="",N300=""),"",IF(J300=N300,"No","Yes"))</x:f>
      </x:c>
      <x:c r="V300" s="98" t="n">
        <x:v>0</x:v>
      </x:c>
    </x:row>
    <x:row r="301" ht="54" hidden="0" customHeight="1">
      <x:c r="A301" s="38" t="str">
        <x:v>Q008::B0078IWS9I_review_117195</x:v>
      </x:c>
      <x:c r="B301" s="38" t="str">
        <x:v>Q008</x:v>
      </x:c>
      <x:c r="C301" s="91" t="str">
        <x:v>I need a quiet and reliable cooling fan for a desktop computer.</x:v>
      </x:c>
      <x:c r="D301" s="38" t="n">
        <x:v>26</x:v>
      </x:c>
      <x:c r="E301" s="38" t="str">
        <x:v>B0078IWS9I</x:v>
      </x:c>
      <x:c r="F301" s="38" t="str">
        <x:v>review</x:v>
      </x:c>
      <x:c r="G301" s="38" t="str">
        <x:v>general</x:v>
      </x:c>
      <x:c r="H301" s="38" t="str">
        <x:v>Computers</x:v>
      </x:c>
      <x:c r="I301" s="91" t="str">
        <x:v>[Product: Xigmatek Computer Case Cooling Fan XAF-F1452 | ASIN: B0078IWS9I] Very functional, super quiet, can barely hear when my ears are right next to them.</x:v>
      </x:c>
      <x:c r="J301" s="101" t="n">
        <x:v>2</x:v>
      </x:c>
      <x:c r="K301" s="92" t="str">
        <x:v>Human_Reviewer_01</x:v>
      </x:c>
      <x:c r="L301" s="92" t="str">
        <x:v>High</x:v>
      </x:c>
      <x:c r="M301" s="93" t="str">
        <x:v>Computer case fans are functional and nearly inaudible close up.</x:v>
      </x:c>
      <x:c r="N301" s="94"/>
      <x:c r="O301" s="94"/>
      <x:c r="P301" s="94"/>
      <x:c r="Q301" s="95"/>
      <x:c r="R301" s="96"/>
      <x:c r="S301" s="96"/>
      <x:c r="T301" s="97"/>
      <x:c r="U301" s="98" t="str">
        <x:f>IF(OR(J301="",N301=""),"",IF(J301=N301,"No","Yes"))</x:f>
      </x:c>
      <x:c r="V301" s="98" t="n">
        <x:v>2</x:v>
      </x:c>
    </x:row>
    <x:row r="302" ht="54" hidden="0" customHeight="1">
      <x:c r="A302" s="38" t="str">
        <x:v>Q008::B071HGTNJ2_review_2508349</x:v>
      </x:c>
      <x:c r="B302" s="38" t="str">
        <x:v>Q008</x:v>
      </x:c>
      <x:c r="C302" s="91" t="str">
        <x:v>I need a quiet and reliable cooling fan for a desktop computer.</x:v>
      </x:c>
      <x:c r="D302" s="38" t="n">
        <x:v>27</x:v>
      </x:c>
      <x:c r="E302" s="38" t="str">
        <x:v>B071HGTNJ2</x:v>
      </x:c>
      <x:c r="F302" s="38" t="str">
        <x:v>review</x:v>
      </x:c>
      <x:c r="G302" s="38" t="str">
        <x:v>general</x:v>
      </x:c>
      <x:c r="H302" s="38" t="str">
        <x:v>Computers</x:v>
      </x:c>
      <x:c r="I302" s="91" t="str">
        <x:v>[Product: USB Mini Desktop Fan - Table Small Fan Viimnss Portable Adjustable Compatible with Computer,Laptops Power Banks Fans Quiet Cooling for Office and Home 4 Inch Black | ASIN: B071HGTNJ2] Small but mighty!! A great desk fan at work.</x:v>
      </x:c>
      <x:c r="J302" s="101" t="n">
        <x:v>0</x:v>
      </x:c>
      <x:c r="K302" s="92" t="str">
        <x:v>Human_Reviewer_01</x:v>
      </x:c>
      <x:c r="L302" s="92" t="str">
        <x:v>High</x:v>
      </x:c>
      <x:c r="M302" s="93" t="str">
        <x:v>This is a personal work-desk fan, not a computer-component cooling fan.</x:v>
      </x:c>
      <x:c r="N302" s="94"/>
      <x:c r="O302" s="94"/>
      <x:c r="P302" s="94"/>
      <x:c r="Q302" s="95"/>
      <x:c r="R302" s="96"/>
      <x:c r="S302" s="96"/>
      <x:c r="T302" s="97"/>
      <x:c r="U302" s="98" t="str">
        <x:f>IF(OR(J302="",N302=""),"",IF(J302=N302,"No","Yes"))</x:f>
      </x:c>
      <x:c r="V302" s="98" t="n">
        <x:v>0</x:v>
      </x:c>
    </x:row>
    <x:row r="303" ht="54" hidden="0" customHeight="1">
      <x:c r="A303" s="38" t="str">
        <x:v>Q008::B00DU6RVIU_review_1282665</x:v>
      </x:c>
      <x:c r="B303" s="38" t="str">
        <x:v>Q008</x:v>
      </x:c>
      <x:c r="C303" s="91" t="str">
        <x:v>I need a quiet and reliable cooling fan for a desktop computer.</x:v>
      </x:c>
      <x:c r="D303" s="38" t="n">
        <x:v>28</x:v>
      </x:c>
      <x:c r="E303" s="38" t="str">
        <x:v>B00DU6RVIU</x:v>
      </x:c>
      <x:c r="F303" s="38" t="str">
        <x:v>review</x:v>
      </x:c>
      <x:c r="G303" s="38" t="str">
        <x:v>general</x:v>
      </x:c>
      <x:c r="H303" s="38" t="str">
        <x:v>Computers</x:v>
      </x:c>
      <x:c r="I303" s="91" t="str">
        <x:v>[Product: Kingwin 120mm CF-012LBW Silent Fan, For Computer Cases, CPU Coolers, Long Life Bearing, Quiet Efficient Cooling, and Provide Excellent Ventilation for PC Cases-[White] | ASIN: B00DU6RVIU] Works just like it is supposed to, very quiet</x:v>
      </x:c>
      <x:c r="J303" s="101" t="n">
        <x:v>2</x:v>
      </x:c>
      <x:c r="K303" s="92" t="str">
        <x:v>Human_Reviewer_01</x:v>
      </x:c>
      <x:c r="L303" s="92" t="str">
        <x:v>High</x:v>
      </x:c>
      <x:c r="M303" s="93" t="str">
        <x:v>Computer case fan works correctly and is very quiet.</x:v>
      </x:c>
      <x:c r="N303" s="94"/>
      <x:c r="O303" s="94"/>
      <x:c r="P303" s="94"/>
      <x:c r="Q303" s="95"/>
      <x:c r="R303" s="96"/>
      <x:c r="S303" s="96"/>
      <x:c r="T303" s="97"/>
      <x:c r="U303" s="98" t="str">
        <x:f>IF(OR(J303="",N303=""),"",IF(J303=N303,"No","Yes"))</x:f>
      </x:c>
      <x:c r="V303" s="98" t="n">
        <x:v>2</x:v>
      </x:c>
    </x:row>
    <x:row r="304" ht="54" hidden="0" customHeight="1">
      <x:c r="A304" s="38" t="str">
        <x:v>Q008::B07G5728W6_review_2707509</x:v>
      </x:c>
      <x:c r="B304" s="38" t="str">
        <x:v>Q008</x:v>
      </x:c>
      <x:c r="C304" s="91" t="str">
        <x:v>I need a quiet and reliable cooling fan for a desktop computer.</x:v>
      </x:c>
      <x:c r="D304" s="38" t="n">
        <x:v>29</x:v>
      </x:c>
      <x:c r="E304" s="38" t="str">
        <x:v>B07G5728W6</x:v>
      </x:c>
      <x:c r="F304" s="38" t="str">
        <x:v>review</x:v>
      </x:c>
      <x:c r="G304" s="38" t="str">
        <x:v>general</x:v>
      </x:c>
      <x:c r="H304" s="38" t="str">
        <x:v>Computers</x:v>
      </x:c>
      <x:c r="I304" s="91" t="str">
        <x:v>[Product: HONKYOB 6 Inch Portable USB Powered Desk Fan Personal Cooling Fan,Small Table Fan Cooling Fan with 2 Speed &amp; Adjustable Height,Great for Desktop Office Travelling Camping Fishing Home(Black) | ASIN: B07G5728W6] I bought it to use at work at my desk and it easily plugs into my computer. And it is so quiet!!</x:v>
      </x:c>
      <x:c r="J304" s="101" t="n">
        <x:v>0</x:v>
      </x:c>
      <x:c r="K304" s="92" t="str">
        <x:v>Human_Reviewer_01</x:v>
      </x:c>
      <x:c r="L304" s="92" t="str">
        <x:v>High</x:v>
      </x:c>
      <x:c r="M304" s="93" t="str">
        <x:v>Computer-powered personal desk fan does not cool computer components.</x:v>
      </x:c>
      <x:c r="N304" s="94"/>
      <x:c r="O304" s="94"/>
      <x:c r="P304" s="94"/>
      <x:c r="Q304" s="95"/>
      <x:c r="R304" s="96"/>
      <x:c r="S304" s="96"/>
      <x:c r="T304" s="97"/>
      <x:c r="U304" s="98" t="str">
        <x:f>IF(OR(J304="",N304=""),"",IF(J304=N304,"No","Yes"))</x:f>
      </x:c>
      <x:c r="V304" s="98" t="n">
        <x:v>0</x:v>
      </x:c>
    </x:row>
    <x:row r="305" ht="54" hidden="0" customHeight="1">
      <x:c r="A305" s="38" t="str">
        <x:v>Q008::B07TM299F9_review_4157346</x:v>
      </x:c>
      <x:c r="B305" s="38" t="str">
        <x:v>Q008</x:v>
      </x:c>
      <x:c r="C305" s="91" t="str">
        <x:v>I need a quiet and reliable cooling fan for a desktop computer.</x:v>
      </x:c>
      <x:c r="D305" s="38" t="n">
        <x:v>30</x:v>
      </x:c>
      <x:c r="E305" s="38" t="str">
        <x:v>B07TM299F9</x:v>
      </x:c>
      <x:c r="F305" s="38" t="str">
        <x:v>review</x:v>
      </x:c>
      <x:c r="G305" s="38" t="str">
        <x:v>design/appearance</x:v>
      </x:c>
      <x:c r="H305" s="38" t="str">
        <x:v>Computers</x:v>
      </x:c>
      <x:c r="I305" s="91" t="str">
        <x:v>[Product: FANGZONG USB 8-inch Fans For Bedroom, 3 Speeds Whisper Quiet, 160° Rotationd Up and Down， Portable Fan Desktop Office Table Air Cooling Fan | ASIN: B07TM299F9] Great design, quiet too.</x:v>
      </x:c>
      <x:c r="J305" s="101" t="n">
        <x:v>0</x:v>
      </x:c>
      <x:c r="K305" s="92" t="str">
        <x:v>Human_Reviewer_01</x:v>
      </x:c>
      <x:c r="L305" s="92" t="str">
        <x:v>High</x:v>
      </x:c>
      <x:c r="M305" s="93" t="str">
        <x:v>This is a room or desk air-cooling fan, not a computer-component fan.</x:v>
      </x:c>
      <x:c r="N305" s="94"/>
      <x:c r="O305" s="94"/>
      <x:c r="P305" s="94"/>
      <x:c r="Q305" s="95"/>
      <x:c r="R305" s="96"/>
      <x:c r="S305" s="96"/>
      <x:c r="T305" s="97"/>
      <x:c r="U305" s="98" t="str">
        <x:f>IF(OR(J305="",N305=""),"",IF(J305=N305,"No","Yes"))</x:f>
      </x:c>
      <x:c r="V305" s="98" t="n">
        <x:v>0</x:v>
      </x:c>
    </x:row>
    <x:row r="306" ht="54" hidden="0" customHeight="1">
      <x:c r="A306" s="38" t="str">
        <x:v>Q008::B00N13W1BY_review_2815059</x:v>
      </x:c>
      <x:c r="B306" s="38" t="str">
        <x:v>Q008</x:v>
      </x:c>
      <x:c r="C306" s="91" t="str">
        <x:v>I need a quiet and reliable cooling fan for a desktop computer.</x:v>
      </x:c>
      <x:c r="D306" s="38" t="n">
        <x:v>31</x:v>
      </x:c>
      <x:c r="E306" s="38" t="str">
        <x:v>B00N13W1BY</x:v>
      </x:c>
      <x:c r="F306" s="38" t="str">
        <x:v>review</x:v>
      </x:c>
      <x:c r="G306" s="38" t="str">
        <x:v>build quality</x:v>
      </x:c>
      <x:c r="H306" s="38" t="str">
        <x:v>Computers</x:v>
      </x:c>
      <x:c r="I306" s="91" t="str">
        <x:v>[Product: Antec LED Fan Cooling True Quiet 120 Red Red | ASIN: B00N13W1BY] Reliable brand name known for quality products.</x:v>
      </x:c>
      <x:c r="J306" s="101" t="n">
        <x:v>1</x:v>
      </x:c>
      <x:c r="K306" s="92" t="str">
        <x:v>Human_Reviewer_01</x:v>
      </x:c>
      <x:c r="L306" s="92" t="str">
        <x:v>High</x:v>
      </x:c>
      <x:c r="M306" s="93" t="str">
        <x:v>Generic brand reputation does not establish this cooling fan's reliability or noise.</x:v>
      </x:c>
      <x:c r="N306" s="94"/>
      <x:c r="O306" s="94"/>
      <x:c r="P306" s="94"/>
      <x:c r="Q306" s="95"/>
      <x:c r="R306" s="96"/>
      <x:c r="S306" s="96"/>
      <x:c r="T306" s="97"/>
      <x:c r="U306" s="98" t="str">
        <x:f>IF(OR(J306="",N306=""),"",IF(J306=N306,"No","Yes"))</x:f>
      </x:c>
      <x:c r="V306" s="98" t="n">
        <x:v>1</x:v>
      </x:c>
    </x:row>
    <x:row r="307" ht="54" hidden="0" customHeight="1">
      <x:c r="A307" s="38" t="str">
        <x:v>Q008::B071HGTNJ2_review_2508359</x:v>
      </x:c>
      <x:c r="B307" s="38" t="str">
        <x:v>Q008</x:v>
      </x:c>
      <x:c r="C307" s="91" t="str">
        <x:v>I need a quiet and reliable cooling fan for a desktop computer.</x:v>
      </x:c>
      <x:c r="D307" s="38" t="n">
        <x:v>32</x:v>
      </x:c>
      <x:c r="E307" s="38" t="str">
        <x:v>B071HGTNJ2</x:v>
      </x:c>
      <x:c r="F307" s="38" t="str">
        <x:v>review</x:v>
      </x:c>
      <x:c r="G307" s="38" t="str">
        <x:v>general</x:v>
      </x:c>
      <x:c r="H307" s="38" t="str">
        <x:v>Computers</x:v>
      </x:c>
      <x:c r="I307" s="91" t="str">
        <x:v>[Product: USB Mini Desktop Fan - Table Small Fan Viimnss Portable Adjustable Compatible with Computer,Laptops Power Banks Fans Quiet Cooling for Office and Home 4 Inch Black | ASIN: B071HGTNJ2] Not UL Listed.</x:v>
      </x:c>
      <x:c r="J307" s="101" t="n">
        <x:v>0</x:v>
      </x:c>
      <x:c r="K307" s="92" t="str">
        <x:v>Human_Reviewer_01</x:v>
      </x:c>
      <x:c r="L307" s="92" t="str">
        <x:v>High</x:v>
      </x:c>
      <x:c r="M307" s="93" t="str">
        <x:v>This is a personal desk fan, not a computer-component cooling fan.</x:v>
      </x:c>
      <x:c r="N307" s="94"/>
      <x:c r="O307" s="94"/>
      <x:c r="P307" s="94"/>
      <x:c r="Q307" s="95"/>
      <x:c r="R307" s="96"/>
      <x:c r="S307" s="96"/>
      <x:c r="T307" s="97"/>
      <x:c r="U307" s="98" t="str">
        <x:f>IF(OR(J307="",N307=""),"",IF(J307=N307,"No","Yes"))</x:f>
      </x:c>
      <x:c r="V307" s="98" t="n">
        <x:v>0</x:v>
      </x:c>
    </x:row>
    <x:row r="308" ht="54" hidden="0" customHeight="1">
      <x:c r="A308" s="38" t="str">
        <x:v>Q008::B00KESSKVY_review_775295</x:v>
      </x:c>
      <x:c r="B308" s="38" t="str">
        <x:v>Q008</x:v>
      </x:c>
      <x:c r="C308" s="91" t="str">
        <x:v>I need a quiet and reliable cooling fan for a desktop computer.</x:v>
      </x:c>
      <x:c r="D308" s="38" t="n">
        <x:v>33</x:v>
      </x:c>
      <x:c r="E308" s="38" t="str">
        <x:v>B00KESSKVY</x:v>
      </x:c>
      <x:c r="F308" s="38" t="str">
        <x:v>review</x:v>
      </x:c>
      <x:c r="G308" s="38" t="str">
        <x:v>price/value</x:v>
      </x:c>
      <x:c r="H308" s="38" t="str">
        <x:v>Computers</x:v>
      </x:c>
      <x:c r="I308" s="91" t="str">
        <x:v>[Product: Noctua NF-F12 industrialPPC 2000 PWM 120mm PC Computer Case Fan | ASIN: B00KESSKVY] Best fan for a silent case; hits the wallet heavy; but worth every penny.</x:v>
      </x:c>
      <x:c r="J308" s="101" t="n">
        <x:v>2</x:v>
      </x:c>
      <x:c r="K308" s="92" t="str">
        <x:v>Human_Reviewer_01</x:v>
      </x:c>
      <x:c r="L308" s="92" t="str">
        <x:v>High</x:v>
      </x:c>
      <x:c r="M308" s="93" t="str">
        <x:v>Computer case fan is explicitly recommended for a silent case.</x:v>
      </x:c>
      <x:c r="N308" s="94"/>
      <x:c r="O308" s="94"/>
      <x:c r="P308" s="94"/>
      <x:c r="Q308" s="95"/>
      <x:c r="R308" s="96"/>
      <x:c r="S308" s="96"/>
      <x:c r="T308" s="97"/>
      <x:c r="U308" s="98" t="str">
        <x:f>IF(OR(J308="",N308=""),"",IF(J308=N308,"No","Yes"))</x:f>
      </x:c>
      <x:c r="V308" s="98" t="n">
        <x:v>2</x:v>
      </x:c>
    </x:row>
    <x:row r="309" ht="54" hidden="0" customHeight="1">
      <x:c r="A309" s="38" t="str">
        <x:v>Q008::B0163ZCJDQ_review_578196</x:v>
      </x:c>
      <x:c r="B309" s="38" t="str">
        <x:v>Q008</x:v>
      </x:c>
      <x:c r="C309" s="91" t="str">
        <x:v>I need a quiet and reliable cooling fan for a desktop computer.</x:v>
      </x:c>
      <x:c r="D309" s="38" t="n">
        <x:v>34</x:v>
      </x:c>
      <x:c r="E309" s="38" t="str">
        <x:v>B0163ZCJDQ</x:v>
      </x:c>
      <x:c r="F309" s="38" t="str">
        <x:v>review</x:v>
      </x:c>
      <x:c r="G309" s="38" t="str">
        <x:v>sound quality</x:v>
      </x:c>
      <x:c r="H309" s="38" t="str">
        <x:v>Computers</x:v>
      </x:c>
      <x:c r="I309" s="91" t="str">
        <x:v>[Product: IO Crest Mini USB Powered Desktop Cooling Fan SY-ACC65055 | ASIN: B0163ZCJDQ] And while it is not silent, it certainly is not noisy, either - the sound is perfectly acceptable.</x:v>
      </x:c>
      <x:c r="J309" s="101" t="n">
        <x:v>1</x:v>
      </x:c>
      <x:c r="K309" s="92" t="str">
        <x:v>Human_Reviewer_01</x:v>
      </x:c>
      <x:c r="L309" s="92" t="str">
        <x:v>Low</x:v>
      </x:c>
      <x:c r="M309" s="93" t="str">
        <x:v>USB desktop fan has acceptable noise, but computer-component cooling use is not established.</x:v>
      </x:c>
      <x:c r="N309" s="94"/>
      <x:c r="O309" s="94"/>
      <x:c r="P309" s="94"/>
      <x:c r="Q309" s="95"/>
      <x:c r="R309" s="96"/>
      <x:c r="S309" s="96"/>
      <x:c r="T309" s="97"/>
      <x:c r="U309" s="98" t="str">
        <x:f>IF(OR(J309="",N309=""),"",IF(J309=N309,"No","Yes"))</x:f>
      </x:c>
      <x:c r="V309" s="98" t="n">
        <x:v>1</x:v>
      </x:c>
    </x:row>
    <x:row r="310" ht="54" hidden="0" customHeight="1">
      <x:c r="A310" s="38" t="str">
        <x:v>Q008::B00KB8CLM6_review_418325</x:v>
      </x:c>
      <x:c r="B310" s="38" t="str">
        <x:v>Q008</x:v>
      </x:c>
      <x:c r="C310" s="91" t="str">
        <x:v>I need a quiet and reliable cooling fan for a desktop computer.</x:v>
      </x:c>
      <x:c r="D310" s="38" t="n">
        <x:v>35</x:v>
      </x:c>
      <x:c r="E310" s="38" t="str">
        <x:v>B00KB8CLM6</x:v>
      </x:c>
      <x:c r="F310" s="38" t="str">
        <x:v>review</x:v>
      </x:c>
      <x:c r="G310" s="38" t="str">
        <x:v>price/value</x:v>
      </x:c>
      <x:c r="H310" s="38" t="str">
        <x:v>Computers</x:v>
      </x:c>
      <x:c r="I310" s="91" t="str">
        <x:v>[Product: Rosewill 120mm LED Cooling Case Fan for Computer Cases Cooling, Blue RNBL-131209B | ASIN: B00KB8CLM6] nice and quiet fan and just enough added airflow for a cheap dell desktop case design(no intake fan) great price for a dual pack</x:v>
      </x:c>
      <x:c r="J310" s="101" t="n">
        <x:v>2</x:v>
      </x:c>
      <x:c r="K310" s="92" t="str">
        <x:v>Human_Reviewer_01</x:v>
      </x:c>
      <x:c r="L310" s="92" t="str">
        <x:v>High</x:v>
      </x:c>
      <x:c r="M310" s="93" t="str">
        <x:v>Case fan is quiet and provides sufficient airflow for a Dell desktop.</x:v>
      </x:c>
      <x:c r="N310" s="94"/>
      <x:c r="O310" s="94"/>
      <x:c r="P310" s="94"/>
      <x:c r="Q310" s="95"/>
      <x:c r="R310" s="96"/>
      <x:c r="S310" s="96"/>
      <x:c r="T310" s="97"/>
      <x:c r="U310" s="98" t="str">
        <x:f>IF(OR(J310="",N310=""),"",IF(J310=N310,"No","Yes"))</x:f>
      </x:c>
      <x:c r="V310" s="98" t="n">
        <x:v>2</x:v>
      </x:c>
    </x:row>
    <x:row r="311" ht="54" hidden="0" customHeight="1">
      <x:c r="A311" s="38" t="str">
        <x:v>Q008::B00ZSLVXDY_review_1899826</x:v>
      </x:c>
      <x:c r="B311" s="38" t="str">
        <x:v>Q008</x:v>
      </x:c>
      <x:c r="C311" s="91" t="str">
        <x:v>I need a quiet and reliable cooling fan for a desktop computer.</x:v>
      </x:c>
      <x:c r="D311" s="38" t="n">
        <x:v>36</x:v>
      </x:c>
      <x:c r="E311" s="38" t="str">
        <x:v>B00ZSLVXDY</x:v>
      </x:c>
      <x:c r="F311" s="38" t="str">
        <x:v>review</x:v>
      </x:c>
      <x:c r="G311" s="38" t="str">
        <x:v>customer service</x:v>
      </x:c>
      <x:c r="H311" s="38" t="str">
        <x:v>Computers</x:v>
      </x:c>
      <x:c r="I311" s="91" t="str">
        <x:v>[Product: E-joy USB Powered Mini Ultra Quiet Cute Desktop Cooling Fan for Bedroom, Office, Outdoor, Etc (Black) | ASIN: B00ZSLVXDY] /&gt;I did receive this fan for a discount in return for my honest and unbiased review.</x:v>
      </x:c>
      <x:c r="J311" s="101" t="n">
        <x:v>0</x:v>
      </x:c>
      <x:c r="K311" s="92" t="str">
        <x:v>Human_Reviewer_01</x:v>
      </x:c>
      <x:c r="L311" s="92" t="str">
        <x:v>High</x:v>
      </x:c>
      <x:c r="M311" s="93" t="str">
        <x:v>This is a personal desk fan; the chunk only discloses a review discount.</x:v>
      </x:c>
      <x:c r="N311" s="94"/>
      <x:c r="O311" s="94"/>
      <x:c r="P311" s="94"/>
      <x:c r="Q311" s="95"/>
      <x:c r="R311" s="96"/>
      <x:c r="S311" s="96"/>
      <x:c r="T311" s="97"/>
      <x:c r="U311" s="98" t="str">
        <x:f>IF(OR(J311="",N311=""),"",IF(J311=N311,"No","Yes"))</x:f>
      </x:c>
      <x:c r="V311" s="98" t="n">
        <x:v>0</x:v>
      </x:c>
    </x:row>
    <x:row r="312" ht="54" hidden="0" customHeight="1">
      <x:c r="A312" s="38" t="str">
        <x:v>Q008::B004KJ6AHY_review_905949</x:v>
      </x:c>
      <x:c r="B312" s="38" t="str">
        <x:v>Q008</x:v>
      </x:c>
      <x:c r="C312" s="91" t="str">
        <x:v>I need a quiet and reliable cooling fan for a desktop computer.</x:v>
      </x:c>
      <x:c r="D312" s="38" t="n">
        <x:v>37</x:v>
      </x:c>
      <x:c r="E312" s="38" t="str">
        <x:v>B004KJ6AHY</x:v>
      </x:c>
      <x:c r="F312" s="38" t="str">
        <x:v>review</x:v>
      </x:c>
      <x:c r="G312" s="38" t="str">
        <x:v>price/value</x:v>
      </x:c>
      <x:c r="H312" s="38" t="str">
        <x:v>Computers</x:v>
      </x:c>
      <x:c r="I312" s="91" t="str">
        <x:v>[Product: Link Depot Computer Case Cooling Fan FAN-80-4PACK Black | ASIN: B004KJ6AHY] silent, good amount of air flow and cheap, did i mention cheap ?</x:v>
      </x:c>
      <x:c r="J312" s="101" t="n">
        <x:v>2</x:v>
      </x:c>
      <x:c r="K312" s="92" t="str">
        <x:v>Human_Reviewer_01</x:v>
      </x:c>
      <x:c r="L312" s="92" t="str">
        <x:v>High</x:v>
      </x:c>
      <x:c r="M312" s="93" t="str">
        <x:v>Computer case fans are silent with good airflow.</x:v>
      </x:c>
      <x:c r="N312" s="94"/>
      <x:c r="O312" s="94"/>
      <x:c r="P312" s="94"/>
      <x:c r="Q312" s="95"/>
      <x:c r="R312" s="96"/>
      <x:c r="S312" s="96"/>
      <x:c r="T312" s="97"/>
      <x:c r="U312" s="98" t="str">
        <x:f>IF(OR(J312="",N312=""),"",IF(J312=N312,"No","Yes"))</x:f>
      </x:c>
      <x:c r="V312" s="98" t="n">
        <x:v>2</x:v>
      </x:c>
    </x:row>
    <x:row r="313" ht="54" hidden="0" customHeight="1">
      <x:c r="A313" s="38" t="str">
        <x:v>Q008::B00KESSKVY_review_775299</x:v>
      </x:c>
      <x:c r="B313" s="38" t="str">
        <x:v>Q008</x:v>
      </x:c>
      <x:c r="C313" s="91" t="str">
        <x:v>I need a quiet and reliable cooling fan for a desktop computer.</x:v>
      </x:c>
      <x:c r="D313" s="38" t="n">
        <x:v>38</x:v>
      </x:c>
      <x:c r="E313" s="38" t="str">
        <x:v>B00KESSKVY</x:v>
      </x:c>
      <x:c r="F313" s="38" t="str">
        <x:v>review</x:v>
      </x:c>
      <x:c r="G313" s="38" t="str">
        <x:v>build quality</x:v>
      </x:c>
      <x:c r="H313" s="38" t="str">
        <x:v>Computers</x:v>
      </x:c>
      <x:c r="I313" s="91" t="str">
        <x:v>[Product: Noctua NF-F12 industrialPPC 2000 PWM 120mm PC Computer Case Fan | ASIN: B00KESSKVY] gets the job done quietly, great quality!</x:v>
      </x:c>
      <x:c r="J313" s="101" t="n">
        <x:v>2</x:v>
      </x:c>
      <x:c r="K313" s="92" t="str">
        <x:v>Human_Reviewer_01</x:v>
      </x:c>
      <x:c r="L313" s="92" t="str">
        <x:v>High</x:v>
      </x:c>
      <x:c r="M313" s="93" t="str">
        <x:v>Computer case fan is quiet and well made.</x:v>
      </x:c>
      <x:c r="N313" s="94"/>
      <x:c r="O313" s="94"/>
      <x:c r="P313" s="94"/>
      <x:c r="Q313" s="95"/>
      <x:c r="R313" s="96"/>
      <x:c r="S313" s="96"/>
      <x:c r="T313" s="97"/>
      <x:c r="U313" s="98" t="str">
        <x:f>IF(OR(J313="",N313=""),"",IF(J313=N313,"No","Yes"))</x:f>
      </x:c>
      <x:c r="V313" s="98" t="n">
        <x:v>2</x:v>
      </x:c>
    </x:row>
    <x:row r="314" ht="54" hidden="0" customHeight="1">
      <x:c r="A314" s="38" t="str">
        <x:v>Q008::B0078IWS9I_review_117201</x:v>
      </x:c>
      <x:c r="B314" s="38" t="str">
        <x:v>Q008</x:v>
      </x:c>
      <x:c r="C314" s="91" t="str">
        <x:v>I need a quiet and reliable cooling fan for a desktop computer.</x:v>
      </x:c>
      <x:c r="D314" s="38" t="n">
        <x:v>39</x:v>
      </x:c>
      <x:c r="E314" s="38" t="str">
        <x:v>B0078IWS9I</x:v>
      </x:c>
      <x:c r="F314" s="38" t="str">
        <x:v>review</x:v>
      </x:c>
      <x:c r="G314" s="38" t="str">
        <x:v>general</x:v>
      </x:c>
      <x:c r="H314" s="38" t="str">
        <x:v>Computers</x:v>
      </x:c>
      <x:c r="I314" s="91" t="str">
        <x:v>[Product: Xigmatek Computer Case Cooling Fan XAF-F1452 | ASIN: B0078IWS9I] Very quiet fans that move a lot of air.</x:v>
      </x:c>
      <x:c r="J314" s="101" t="n">
        <x:v>2</x:v>
      </x:c>
      <x:c r="K314" s="92" t="str">
        <x:v>Human_Reviewer_01</x:v>
      </x:c>
      <x:c r="L314" s="92" t="str">
        <x:v>High</x:v>
      </x:c>
      <x:c r="M314" s="93" t="str">
        <x:v>Computer case fans are quiet with substantial airflow.</x:v>
      </x:c>
      <x:c r="N314" s="94"/>
      <x:c r="O314" s="94"/>
      <x:c r="P314" s="94"/>
      <x:c r="Q314" s="95"/>
      <x:c r="R314" s="96"/>
      <x:c r="S314" s="96"/>
      <x:c r="T314" s="97"/>
      <x:c r="U314" s="98" t="str">
        <x:f>IF(OR(J314="",N314=""),"",IF(J314=N314,"No","Yes"))</x:f>
      </x:c>
      <x:c r="V314" s="98" t="n">
        <x:v>2</x:v>
      </x:c>
    </x:row>
    <x:row r="315" ht="54" hidden="0" customHeight="1">
      <x:c r="A315" s="38" t="str">
        <x:v>Q008::B0192WNM9C_review_2912796</x:v>
      </x:c>
      <x:c r="B315" s="38" t="str">
        <x:v>Q008</x:v>
      </x:c>
      <x:c r="C315" s="91" t="str">
        <x:v>I need a quiet and reliable cooling fan for a desktop computer.</x:v>
      </x:c>
      <x:c r="D315" s="38" t="n">
        <x:v>40</x:v>
      </x:c>
      <x:c r="E315" s="38" t="str">
        <x:v>B0192WNM9C</x:v>
      </x:c>
      <x:c r="F315" s="38" t="str">
        <x:v>review</x:v>
      </x:c>
      <x:c r="G315" s="38" t="str">
        <x:v>general</x:v>
      </x:c>
      <x:c r="H315" s="38" t="str">
        <x:v>Computers</x:v>
      </x:c>
      <x:c r="I315" s="91" t="str">
        <x:v>[Product: RDEXP Black 5V USB Power Silent Computer Cooling Fan for Computer Case CPU Cooler | ASIN: B0192WNM9C] Also, it is pretty noisy.</x:v>
      </x:c>
      <x:c r="J315" s="101" t="n">
        <x:v>2</x:v>
      </x:c>
      <x:c r="K315" s="92" t="str">
        <x:v>Human_Reviewer_01</x:v>
      </x:c>
      <x:c r="L315" s="92" t="str">
        <x:v>High</x:v>
      </x:c>
      <x:c r="M315" s="93" t="str">
        <x:v>Computer cooling fan is explicitly noisy; direct negative evidence.</x:v>
      </x:c>
      <x:c r="N315" s="94"/>
      <x:c r="O315" s="94"/>
      <x:c r="P315" s="94"/>
      <x:c r="Q315" s="95"/>
      <x:c r="R315" s="96"/>
      <x:c r="S315" s="96"/>
      <x:c r="T315" s="97"/>
      <x:c r="U315" s="98" t="str">
        <x:f>IF(OR(J315="",N315=""),"",IF(J315=N315,"No","Yes"))</x:f>
      </x:c>
      <x:c r="V315" s="98" t="n">
        <x:v>2</x:v>
      </x:c>
    </x:row>
    <x:row r="316" ht="54" hidden="0" customHeight="1">
      <x:c r="A316" s="38" t="str">
        <x:v>Q009::B00A8CH5DU_review_3224791</x:v>
      </x:c>
      <x:c r="B316" s="38" t="str">
        <x:v>Q009</x:v>
      </x:c>
      <x:c r="C316" s="91" t="str">
        <x:v>Which tablet is easy to use for reading, video calls, and web browsing?</x:v>
      </x:c>
      <x:c r="D316" s="38" t="n">
        <x:v>1</x:v>
      </x:c>
      <x:c r="E316" s="38" t="str">
        <x:v>B00A8CH5DU</x:v>
      </x:c>
      <x:c r="F316" s="38" t="str">
        <x:v>review</x:v>
      </x:c>
      <x:c r="G316" s="38" t="str">
        <x:v>general</x:v>
      </x:c>
      <x:c r="H316" s="38" t="str">
        <x:v>Computers</x:v>
      </x:c>
      <x:c r="I316" s="91" t="str">
        <x:v>[Product: Sungale ID720WTA 7" Android Tablet, use the browser to surf the internet, check email, watch videos, listen to music, read eBooks, enjoy social media, and much more | ASIN: B00A8CH5DU] I bought this eTablet as a gift for my nephew. He just graduated from his high school. My nephew likes it. He told me it works well. He can download Apps, play games, google search... He recommends it to his friends.</x:v>
      </x:c>
      <x:c r="J316" s="101" t="n">
        <x:v>2</x:v>
      </x:c>
      <x:c r="K316" s="92" t="str">
        <x:v>Human_Reviewer_01</x:v>
      </x:c>
      <x:c r="L316" s="92" t="str">
        <x:v>Medium</x:v>
      </x:c>
      <x:c r="M316" s="93" t="str">
        <x:v>Tablet supports app downloads and Google searches with positive use testimony.</x:v>
      </x:c>
      <x:c r="N316" s="94"/>
      <x:c r="O316" s="94"/>
      <x:c r="P316" s="94"/>
      <x:c r="Q316" s="95"/>
      <x:c r="R316" s="96"/>
      <x:c r="S316" s="96"/>
      <x:c r="T316" s="97"/>
      <x:c r="U316" s="98" t="str">
        <x:f>IF(OR(J316="",N316=""),"",IF(J316=N316,"No","Yes"))</x:f>
      </x:c>
      <x:c r="V316" s="98" t="n">
        <x:v>2</x:v>
      </x:c>
    </x:row>
    <x:row r="317" ht="54" hidden="0" customHeight="1">
      <x:c r="A317" s="38" t="str">
        <x:v>Q009::B088FQ5GQW_review_2171796</x:v>
      </x:c>
      <x:c r="B317" s="38" t="str">
        <x:v>Q009</x:v>
      </x:c>
      <x:c r="C317" s="91" t="str">
        <x:v>Which tablet is easy to use for reading, video calls, and web browsing?</x:v>
      </x:c>
      <x:c r="D317" s="38" t="n">
        <x:v>2</x:v>
      </x:c>
      <x:c r="E317" s="38" t="str">
        <x:v>B088FQ5GQW</x:v>
      </x:c>
      <x:c r="F317" s="38" t="str">
        <x:v>review</x:v>
      </x:c>
      <x:c r="G317" s="38" t="str">
        <x:v>ease of use</x:v>
      </x:c>
      <x:c r="H317" s="38" t="str">
        <x:v>Computers</x:v>
      </x:c>
      <x:c r="I317" s="91" t="str">
        <x:v>[Product: RUICHENXI 1080P Webcam with Noise-canceling Microphone USB Full HD Webcam with Rotating Clip Web Camera for Video Calls, Games, Live Streaming and Conferences | ASIN: B088FQ5GQW] Easy to setup, cord was plenty long for what I needed, have absolutely no complaints and would recommend this product to anyone looking for a decent webcam.</x:v>
      </x:c>
      <x:c r="J317" s="101" t="n">
        <x:v>0</x:v>
      </x:c>
      <x:c r="K317" s="92" t="str">
        <x:v>Human_Reviewer_01</x:v>
      </x:c>
      <x:c r="L317" s="92" t="str">
        <x:v>High</x:v>
      </x:c>
      <x:c r="M317" s="93" t="str">
        <x:v>This is a webcam, not a tablet.</x:v>
      </x:c>
      <x:c r="N317" s="94"/>
      <x:c r="O317" s="94"/>
      <x:c r="P317" s="94"/>
      <x:c r="Q317" s="95"/>
      <x:c r="R317" s="96"/>
      <x:c r="S317" s="96"/>
      <x:c r="T317" s="97"/>
      <x:c r="U317" s="98" t="str">
        <x:f>IF(OR(J317="",N317=""),"",IF(J317=N317,"No","Yes"))</x:f>
      </x:c>
      <x:c r="V317" s="98" t="n">
        <x:v>0</x:v>
      </x:c>
    </x:row>
    <x:row r="318" ht="54" hidden="0" customHeight="1">
      <x:c r="A318" s="38" t="str">
        <x:v>Q009::B07KSCG3XK_review_338767</x:v>
      </x:c>
      <x:c r="B318" s="38" t="str">
        <x:v>Q009</x:v>
      </x:c>
      <x:c r="C318" s="91" t="str">
        <x:v>Which tablet is easy to use for reading, video calls, and web browsing?</x:v>
      </x:c>
      <x:c r="D318" s="38" t="n">
        <x:v>3</x:v>
      </x:c>
      <x:c r="E318" s="38" t="str">
        <x:v>B07KSCG3XK</x:v>
      </x:c>
      <x:c r="F318" s="38" t="str">
        <x:v>review</x:v>
      </x:c>
      <x:c r="G318" s="38" t="str">
        <x:v>price/value</x:v>
      </x:c>
      <x:c r="H318" s="38" t="str">
        <x:v>Computers</x:v>
      </x:c>
      <x:c r="I318" s="91" t="str">
        <x:v>[Product: HXSJ USB Webcam 480P HD Video with Microphone Web Cam USB Plug and Play， Recording for PC Computer Laptop for Mac Windows XP / 7/8 / 10 and Android TV | ASIN: B07KSCG3XK] The camera is nice and easy to use especially for the price point.</x:v>
      </x:c>
      <x:c r="J318" s="101" t="n">
        <x:v>0</x:v>
      </x:c>
      <x:c r="K318" s="92" t="str">
        <x:v>Human_Reviewer_01</x:v>
      </x:c>
      <x:c r="L318" s="92" t="str">
        <x:v>High</x:v>
      </x:c>
      <x:c r="M318" s="93" t="str">
        <x:v>This is a webcam, not a tablet.</x:v>
      </x:c>
      <x:c r="N318" s="94"/>
      <x:c r="O318" s="94"/>
      <x:c r="P318" s="94"/>
      <x:c r="Q318" s="95"/>
      <x:c r="R318" s="96"/>
      <x:c r="S318" s="96"/>
      <x:c r="T318" s="97"/>
      <x:c r="U318" s="98" t="str">
        <x:f>IF(OR(J318="",N318=""),"",IF(J318=N318,"No","Yes"))</x:f>
      </x:c>
      <x:c r="V318" s="98" t="n">
        <x:v>0</x:v>
      </x:c>
    </x:row>
    <x:row r="319" ht="54" hidden="0" customHeight="1">
      <x:c r="A319" s="38" t="str">
        <x:v>Q009::B08FWRZCV9_review_410662</x:v>
      </x:c>
      <x:c r="B319" s="38" t="str">
        <x:v>Q009</x:v>
      </x:c>
      <x:c r="C319" s="91" t="str">
        <x:v>Which tablet is easy to use for reading, video calls, and web browsing?</x:v>
      </x:c>
      <x:c r="D319" s="38" t="n">
        <x:v>4</x:v>
      </x:c>
      <x:c r="E319" s="38" t="str">
        <x:v>B08FWRZCV9</x:v>
      </x:c>
      <x:c r="F319" s="38" t="str">
        <x:v>review</x:v>
      </x:c>
      <x:c r="G319" s="38" t="str">
        <x:v>ease of use</x:v>
      </x:c>
      <x:c r="H319" s="38" t="str">
        <x:v>Computers</x:v>
      </x:c>
      <x:c r="I319" s="91" t="str">
        <x:v>[Product: GoHZQ 4K Webcam with Microphone,8 Megapixel Web Cam,Ultra HD Web Camera for Computers,Webcam for Laptop Desktop,USB Webcam with Privacy Cover,Pro Streaming Webcam for Video Calling | ASIN: B08FWRZCV9] The camera was extremely easy to install and easy to use for zoom.</x:v>
      </x:c>
      <x:c r="J319" s="101" t="n">
        <x:v>0</x:v>
      </x:c>
      <x:c r="K319" s="92" t="str">
        <x:v>Human_Reviewer_01</x:v>
      </x:c>
      <x:c r="L319" s="92" t="str">
        <x:v>High</x:v>
      </x:c>
      <x:c r="M319" s="93" t="str">
        <x:v>This is a webcam, not a tablet.</x:v>
      </x:c>
      <x:c r="N319" s="94"/>
      <x:c r="O319" s="94"/>
      <x:c r="P319" s="94"/>
      <x:c r="Q319" s="95"/>
      <x:c r="R319" s="96"/>
      <x:c r="S319" s="96"/>
      <x:c r="T319" s="97"/>
      <x:c r="U319" s="98" t="str">
        <x:f>IF(OR(J319="",N319=""),"",IF(J319=N319,"No","Yes"))</x:f>
      </x:c>
      <x:c r="V319" s="98" t="n">
        <x:v>0</x:v>
      </x:c>
    </x:row>
    <x:row r="320" ht="54" hidden="0" customHeight="1">
      <x:c r="A320" s="38" t="str">
        <x:v>Q009::B007RFA3OE_review_2886123</x:v>
      </x:c>
      <x:c r="B320" s="38" t="str">
        <x:v>Q009</x:v>
      </x:c>
      <x:c r="C320" s="91" t="str">
        <x:v>Which tablet is easy to use for reading, video calls, and web browsing?</x:v>
      </x:c>
      <x:c r="D320" s="38" t="n">
        <x:v>5</x:v>
      </x:c>
      <x:c r="E320" s="38" t="str">
        <x:v>B007RFA3OE</x:v>
      </x:c>
      <x:c r="F320" s="38" t="str">
        <x:v>review</x:v>
      </x:c>
      <x:c r="G320" s="38" t="str">
        <x:v>general</x:v>
      </x:c>
      <x:c r="H320" s="38" t="str">
        <x:v>Computers</x:v>
      </x:c>
      <x:c r="I320" s="91" t="str">
        <x:v>[Product: Polaroid 7" 4GB Internet Tablet with Android 4.0 Ice Cream Sandwich OS, Cortex A8 1GHz Processor, 512MB RAM, 4GB Internal Storage | ASIN: B007RFA3OE] Having read the other reviews here, decided to take the plunge and visit the "Big" store to get this $99 tablet (on sale for $89). This tablet is good for meeting basic internet needs: email, MP3s, video, browsing, etc. Nothing serious, just bothersome. For instance, once while punching numbers into the calculator, the alpha keyboard popped up and I could not get rid of it! Sometimes when blowing up an image in the browser, it gets confused and moves the image way over to one side where it is not viewable. Had to pan all around to regain the image. Little hiccups like these, nothing serious so far but I have only been using the tablet for a few days now so we will have to see.&lt;br /&gt;&lt;br The lack of physical arrow keys and a Forward button in the browser only worsens this problem. For heavy-duty typing one may wish to consider attaching a physical keyboard.&lt;br /&gt;&lt;br /&gt;As a longtime user of Palm OS I must note the cumbersome booting process of the Android OS. On a Palm you just press one hardware button and you are in an app in about half a second. This makes a real big difference if you are whipping out the PDA every few minutes for a quick session. There is also a built-in app for web-based help. Have not needed to try it out yet, but nice to know it is available. /&gt;For</x:v>
      </x:c>
      <x:c r="J320" s="101" t="n">
        <x:v>2</x:v>
      </x:c>
      <x:c r="K320" s="92" t="str">
        <x:v>Human_Reviewer_01</x:v>
      </x:c>
      <x:c r="L320" s="92" t="str">
        <x:v>High</x:v>
      </x:c>
      <x:c r="M320" s="93" t="str">
        <x:v>Tablet supports basic browsing but has concrete browser and interface usability problems.</x:v>
      </x:c>
      <x:c r="N320" s="94"/>
      <x:c r="O320" s="94"/>
      <x:c r="P320" s="94"/>
      <x:c r="Q320" s="95"/>
      <x:c r="R320" s="96"/>
      <x:c r="S320" s="96"/>
      <x:c r="T320" s="97"/>
      <x:c r="U320" s="98" t="str">
        <x:f>IF(OR(J320="",N320=""),"",IF(J320=N320,"No","Yes"))</x:f>
      </x:c>
      <x:c r="V320" s="98" t="n">
        <x:v>2</x:v>
      </x:c>
    </x:row>
    <x:row r="321" ht="54" hidden="0" customHeight="1">
      <x:c r="A321" s="38" t="str">
        <x:v>Q009::B07F3RDJSC_review_3600922</x:v>
      </x:c>
      <x:c r="B321" s="38" t="str">
        <x:v>Q009</x:v>
      </x:c>
      <x:c r="C321" s="91" t="str">
        <x:v>Which tablet is easy to use for reading, video calls, and web browsing?</x:v>
      </x:c>
      <x:c r="D321" s="38" t="n">
        <x:v>6</x:v>
      </x:c>
      <x:c r="E321" s="38" t="str">
        <x:v>B07F3RDJSC</x:v>
      </x:c>
      <x:c r="F321" s="38" t="str">
        <x:v>review</x:v>
      </x:c>
      <x:c r="G321" s="38" t="str">
        <x:v>design/appearance</x:v>
      </x:c>
      <x:c r="H321" s="38" t="str">
        <x:v>Computers</x:v>
      </x:c>
      <x:c r="I321" s="91" t="str">
        <x:v>[Product: Samsung Galaxy Tab A SM-T350 8-Inch Tablet (16 GB, Titanium) W/ Pouch (Renewed) | ASIN: B07F3RDJSC] I was looking for a mid-range tablet at or around $200 for web surfing, reading books, and playing cards, which would continue to perform for the next four or five years or so. I have already recommended it to another family member who is looking for something similar.&lt;br /&gt;&lt;br /&gt;I gave my mother the TF101 a couple years ago, and she taught herself to use tablets around the age of 60, with very little help needed from me, so I am pretty proud of her. She uses it essentially every single day, mostly for reading, looking up recipes, and playing some card games.</x:v>
      </x:c>
      <x:c r="J321" s="101" t="n">
        <x:v>1</x:v>
      </x:c>
      <x:c r="K321" s="92" t="str">
        <x:v>Human_Reviewer_01</x:v>
      </x:c>
      <x:c r="L321" s="92" t="str">
        <x:v>Low</x:v>
      </x:c>
      <x:c r="M321" s="93" t="str">
        <x:v>Reading and ease-of-use observations concern an older TF101; attribution to the prefixed Galaxy tablet is unclear.</x:v>
      </x:c>
      <x:c r="N321" s="94"/>
      <x:c r="O321" s="94"/>
      <x:c r="P321" s="94"/>
      <x:c r="Q321" s="95"/>
      <x:c r="R321" s="96"/>
      <x:c r="S321" s="96"/>
      <x:c r="T321" s="97"/>
      <x:c r="U321" s="98" t="str">
        <x:f>IF(OR(J321="",N321=""),"",IF(J321=N321,"No","Yes"))</x:f>
      </x:c>
      <x:c r="V321" s="98" t="n">
        <x:v>1</x:v>
      </x:c>
    </x:row>
    <x:row r="322" ht="54" hidden="0" customHeight="1">
      <x:c r="A322" s="38" t="str">
        <x:v>Q009::B08P6RTBGQ_review_3083426</x:v>
      </x:c>
      <x:c r="B322" s="38" t="str">
        <x:v>Q009</x:v>
      </x:c>
      <x:c r="C322" s="91" t="str">
        <x:v>Which tablet is easy to use for reading, video calls, and web browsing?</x:v>
      </x:c>
      <x:c r="D322" s="38" t="n">
        <x:v>7</x:v>
      </x:c>
      <x:c r="E322" s="38" t="str">
        <x:v>B08P6RTBGQ</x:v>
      </x:c>
      <x:c r="F322" s="38" t="str">
        <x:v>review</x:v>
      </x:c>
      <x:c r="G322" s="38" t="str">
        <x:v>ease of use</x:v>
      </x:c>
      <x:c r="H322" s="38" t="str">
        <x:v>Computers</x:v>
      </x:c>
      <x:c r="I322" s="91" t="str">
        <x:v>[Product: Phinistec Webcam with Microphone for Desktop with Privacy Cover, 1080P HD Streaming USB Computer Web Camera [Plug&amp;Play] for PC Video Conferencing/Calling/Gaming/Online Class (Silver) | ASIN: B08P6RTBGQ] Overall, it is easy to use and I would recommend it to others.</x:v>
      </x:c>
      <x:c r="J322" s="101" t="n">
        <x:v>0</x:v>
      </x:c>
      <x:c r="K322" s="92" t="str">
        <x:v>Human_Reviewer_01</x:v>
      </x:c>
      <x:c r="L322" s="92" t="str">
        <x:v>High</x:v>
      </x:c>
      <x:c r="M322" s="93" t="str">
        <x:v>This is a webcam, not a tablet.</x:v>
      </x:c>
      <x:c r="N322" s="94"/>
      <x:c r="O322" s="94"/>
      <x:c r="P322" s="94"/>
      <x:c r="Q322" s="95"/>
      <x:c r="R322" s="96"/>
      <x:c r="S322" s="96"/>
      <x:c r="T322" s="97"/>
      <x:c r="U322" s="98" t="str">
        <x:f>IF(OR(J322="",N322=""),"",IF(J322=N322,"No","Yes"))</x:f>
      </x:c>
      <x:c r="V322" s="98" t="n">
        <x:v>0</x:v>
      </x:c>
    </x:row>
    <x:row r="323" ht="54" hidden="0" customHeight="1">
      <x:c r="A323" s="38" t="str">
        <x:v>Q009::B004MAM3DG_review_984116</x:v>
      </x:c>
      <x:c r="B323" s="38" t="str">
        <x:v>Q009</x:v>
      </x:c>
      <x:c r="C323" s="91" t="str">
        <x:v>Which tablet is easy to use for reading, video calls, and web browsing?</x:v>
      </x:c>
      <x:c r="D323" s="38" t="n">
        <x:v>8</x:v>
      </x:c>
      <x:c r="E323" s="38" t="str">
        <x:v>B004MAM3DG</x:v>
      </x:c>
      <x:c r="F323" s="38" t="str">
        <x:v>review</x:v>
      </x:c>
      <x:c r="G323" s="38" t="str">
        <x:v>ease of use</x:v>
      </x:c>
      <x:c r="H323" s="38" t="str">
        <x:v>Computers</x:v>
      </x:c>
      <x:c r="I323" s="91" t="str">
        <x:v>[Product: KLU 7-Inch Touch Screen Mobile Internet Device Tablet PC | ASIN: B004MAM3DG] I mainly wanted to use as an ereader and to watch youtube videos, and as a occaisional internet browser, but want to eventually install flash so that I can go to some sites where I have access to online classes. Came running version 2.1 and has some useful installed software already onboard. There is an apk installer program on this tablet which is nice, it also has a nice browser, you can watch Youtube videos, and more. I have since installed Kindle, Kobo, and Nook and some other stuff on this tablet.</x:v>
      </x:c>
      <x:c r="J323" s="101" t="n">
        <x:v>2</x:v>
      </x:c>
      <x:c r="K323" s="92" t="str">
        <x:v>Human_Reviewer_01</x:v>
      </x:c>
      <x:c r="L323" s="92" t="str">
        <x:v>High</x:v>
      </x:c>
      <x:c r="M323" s="93" t="str">
        <x:v>Tablet supports browser, YouTube, and installed reading applications.</x:v>
      </x:c>
      <x:c r="N323" s="94"/>
      <x:c r="O323" s="94"/>
      <x:c r="P323" s="94"/>
      <x:c r="Q323" s="95"/>
      <x:c r="R323" s="96"/>
      <x:c r="S323" s="96"/>
      <x:c r="T323" s="97"/>
      <x:c r="U323" s="98" t="str">
        <x:f>IF(OR(J323="",N323=""),"",IF(J323=N323,"No","Yes"))</x:f>
      </x:c>
      <x:c r="V323" s="98" t="n">
        <x:v>2</x:v>
      </x:c>
    </x:row>
    <x:row r="324" ht="54" hidden="0" customHeight="1">
      <x:c r="A324" s="38" t="str">
        <x:v>Q009::B0075W8E4A_review_2963290</x:v>
      </x:c>
      <x:c r="B324" s="38" t="str">
        <x:v>Q009</x:v>
      </x:c>
      <x:c r="C324" s="91" t="str">
        <x:v>Which tablet is easy to use for reading, video calls, and web browsing?</x:v>
      </x:c>
      <x:c r="D324" s="38" t="n">
        <x:v>9</x:v>
      </x:c>
      <x:c r="E324" s="38" t="str">
        <x:v>B0075W8E4A</x:v>
      </x:c>
      <x:c r="F324" s="38" t="str">
        <x:v>review</x:v>
      </x:c>
      <x:c r="G324" s="38" t="str">
        <x:v>ease of use</x:v>
      </x:c>
      <x:c r="H324" s="38" t="str">
        <x:v>Computers</x:v>
      </x:c>
      <x:c r="I324" s="91" t="str">
        <x:v>[Product: Coby Kyros 10.1-Inch Android 4.0 8 GB 16:9 Capacitive Multi-Touchscreen Widescreen Internet Tablet with Built-In Camera, Black MID1042-8 | ASIN: B0075W8E4A] Amazon, Netflix, Yahoo mail, Pinterest, facebook booked marked really easy and open up to the last page you had. right from amazon.com Not easy, not hard.&lt;br /&gt;Here were the steps I had to follow.&lt;br /&gt;On it sends you a email with a link to download.&lt;br /&gt;Once its downloaded, you can see on the home page the downloaded icon, the one with the down arrow.&lt;br /&gt;I clicked on that and it installed the app. Pretty easy actually.&lt;br /&gt;After that I was able to download Kindle and Audible.&lt;br /&gt;&lt;br /&gt;I am very happy with this tablet, yes it did take me hours to figure out how to get some of the apps</x:v>
      </x:c>
      <x:c r="J324" s="101" t="n">
        <x:v>2</x:v>
      </x:c>
      <x:c r="K324" s="92" t="str">
        <x:v>Human_Reviewer_01</x:v>
      </x:c>
      <x:c r="L324" s="92" t="str">
        <x:v>High</x:v>
      </x:c>
      <x:c r="M324" s="93" t="str">
        <x:v>Tablet browsing and reading-app installation are described, including hours of setup difficulty.</x:v>
      </x:c>
      <x:c r="N324" s="94"/>
      <x:c r="O324" s="94"/>
      <x:c r="P324" s="94"/>
      <x:c r="Q324" s="95"/>
      <x:c r="R324" s="96"/>
      <x:c r="S324" s="96"/>
      <x:c r="T324" s="97"/>
      <x:c r="U324" s="98" t="str">
        <x:f>IF(OR(J324="",N324=""),"",IF(J324=N324,"No","Yes"))</x:f>
      </x:c>
      <x:c r="V324" s="98" t="n">
        <x:v>2</x:v>
      </x:c>
    </x:row>
    <x:row r="325" ht="54" hidden="0" customHeight="1">
      <x:c r="A325" s="38" t="str">
        <x:v>Q009::B08R9D82YJ_review_1678372</x:v>
      </x:c>
      <x:c r="B325" s="38" t="str">
        <x:v>Q009</x:v>
      </x:c>
      <x:c r="C325" s="91" t="str">
        <x:v>Which tablet is easy to use for reading, video calls, and web browsing?</x:v>
      </x:c>
      <x:c r="D325" s="38" t="n">
        <x:v>10</x:v>
      </x:c>
      <x:c r="E325" s="38" t="str">
        <x:v>B08R9D82YJ</x:v>
      </x:c>
      <x:c r="F325" s="38" t="str">
        <x:v>review</x:v>
      </x:c>
      <x:c r="G325" s="38" t="str">
        <x:v>screen/display</x:v>
      </x:c>
      <x:c r="H325" s="38" t="str">
        <x:v>Computers</x:v>
      </x:c>
      <x:c r="I325" s="91" t="str">
        <x:v>[Product: Video Conference Lighting Kit, ATKAN Light for Video Conferencing, Broadcast Lighting Kit for Video Conferencing, Remote Working, Zoom Calls, Microsoft Teams, Live Streaming Black | ASIN: B08R9D82YJ] "; "The kit comes with two option usage: Use the tripod which can extend from 12" to 30" with the stand and 360 degree ball head, you can easy to move around for proper brightness in any environment.</x:v>
      </x:c>
      <x:c r="J325" s="101" t="n">
        <x:v>0</x:v>
      </x:c>
      <x:c r="K325" s="92" t="str">
        <x:v>Human_Reviewer_01</x:v>
      </x:c>
      <x:c r="L325" s="92" t="str">
        <x:v>High</x:v>
      </x:c>
      <x:c r="M325" s="93" t="str">
        <x:v>This is a video-call lighting kit, not a tablet.</x:v>
      </x:c>
      <x:c r="N325" s="94"/>
      <x:c r="O325" s="94"/>
      <x:c r="P325" s="94"/>
      <x:c r="Q325" s="95"/>
      <x:c r="R325" s="96"/>
      <x:c r="S325" s="96"/>
      <x:c r="T325" s="97"/>
      <x:c r="U325" s="98" t="str">
        <x:f>IF(OR(J325="",N325=""),"",IF(J325=N325,"No","Yes"))</x:f>
      </x:c>
      <x:c r="V325" s="98" t="n">
        <x:v>0</x:v>
      </x:c>
    </x:row>
    <x:row r="326" ht="54" hidden="0" customHeight="1">
      <x:c r="A326" s="38" t="str">
        <x:v>Q009::B07VDB92RK_review_1756748</x:v>
      </x:c>
      <x:c r="B326" s="38" t="str">
        <x:v>Q009</x:v>
      </x:c>
      <x:c r="C326" s="91" t="str">
        <x:v>Which tablet is easy to use for reading, video calls, and web browsing?</x:v>
      </x:c>
      <x:c r="D326" s="38" t="n">
        <x:v>11</x:v>
      </x:c>
      <x:c r="E326" s="38" t="str">
        <x:v>B07VDB92RK</x:v>
      </x:c>
      <x:c r="F326" s="38" t="str">
        <x:v>review</x:v>
      </x:c>
      <x:c r="G326" s="38" t="str">
        <x:v>general</x:v>
      </x:c>
      <x:c r="H326" s="38" t="str">
        <x:v>Computers</x:v>
      </x:c>
      <x:c r="I326" s="91" t="str">
        <x:v>[Product: SAMSUNG SM-T290NZKAXAR, Galaxy Tab A 8.0" 32 GB Wifi Android 9.0 Pie Tablet Black 2019 | ASIN: B07VDB92RK] So, time for an upgrade. I use a tablet mostly for reading the news and watching YouTube and occasional light internet browsing, and of course apps. I do not know how well it would work with graphic-intensive games, but I do not use it for that. You get used to it, but the placement is a blunder that I can only imagine was required by internal space constraints. Overall, the tablet is a good upgrade and a fine tablet for light use. I am happy with the purchase.&lt;br /&gt;&lt;br /&gt;Cons:&lt;br /&gt;1) Perfect size and weight.&lt;br /&gt;2) Great video.&lt;br /&gt;6)</x:v>
      </x:c>
      <x:c r="J326" s="101" t="n">
        <x:v>2</x:v>
      </x:c>
      <x:c r="K326" s="92" t="str">
        <x:v>Human_Reviewer_01</x:v>
      </x:c>
      <x:c r="L326" s="92" t="str">
        <x:v>High</x:v>
      </x:c>
      <x:c r="M326" s="93" t="str">
        <x:v>Tablet is used successfully for news reading and light browsing, with control-placement caveats.</x:v>
      </x:c>
      <x:c r="N326" s="94"/>
      <x:c r="O326" s="94"/>
      <x:c r="P326" s="94"/>
      <x:c r="Q326" s="95"/>
      <x:c r="R326" s="96"/>
      <x:c r="S326" s="96"/>
      <x:c r="T326" s="97"/>
      <x:c r="U326" s="98" t="str">
        <x:f>IF(OR(J326="",N326=""),"",IF(J326=N326,"No","Yes"))</x:f>
      </x:c>
      <x:c r="V326" s="98" t="n">
        <x:v>2</x:v>
      </x:c>
    </x:row>
    <x:row r="327" ht="54" hidden="0" customHeight="1">
      <x:c r="A327" s="38" t="str">
        <x:v>Q009::B00FJDUPX0_review_4051465</x:v>
      </x:c>
      <x:c r="B327" s="38" t="str">
        <x:v>Q009</x:v>
      </x:c>
      <x:c r="C327" s="91" t="str">
        <x:v>Which tablet is easy to use for reading, video calls, and web browsing?</x:v>
      </x:c>
      <x:c r="D327" s="38" t="n">
        <x:v>12</x:v>
      </x:c>
      <x:c r="E327" s="38" t="str">
        <x:v>B00FJDUPX0</x:v>
      </x:c>
      <x:c r="F327" s="38" t="str">
        <x:v>review</x:v>
      </x:c>
      <x:c r="G327" s="38" t="str">
        <x:v>screen/display</x:v>
      </x:c>
      <x:c r="H327" s="38" t="str">
        <x:v>Computers</x:v>
      </x:c>
      <x:c r="I327" s="91" t="str">
        <x:v>[Product: ASUS MeMO Pad 8 16GB Tablet (ME180A-A1-WH) White | ASIN: B00FJDUPX0] She just wants to be able to easily download, read and study publications; watch movies; have access to the Web; and be able to display photos and videos for family and friends. like the 8&amp;#34; screen size for sure. I downloaded a few &amp;#34;must have&amp;#34; apps like Amazon Apps, Moon Reader, and an Office app, to make it more functional for studying and annotating publications; and MX video player for viewing a variety of video formats that the included player would not; a CPR app and Netflix.&lt;br /&gt;As far as appearance goes, the white plastic case on the MeMO is attractive enough and since we have it in a cover, only little bit right around the screen shows anyway.</x:v>
      </x:c>
      <x:c r="J327" s="101" t="n">
        <x:v>2</x:v>
      </x:c>
      <x:c r="K327" s="92" t="str">
        <x:v>Human_Reviewer_01</x:v>
      </x:c>
      <x:c r="L327" s="92" t="str">
        <x:v>High</x:v>
      </x:c>
      <x:c r="M327" s="93" t="str">
        <x:v>Tablet supports installed reading and study apps; configuration requirements are described.</x:v>
      </x:c>
      <x:c r="N327" s="94"/>
      <x:c r="O327" s="94"/>
      <x:c r="P327" s="94"/>
      <x:c r="Q327" s="95"/>
      <x:c r="R327" s="96"/>
      <x:c r="S327" s="96"/>
      <x:c r="T327" s="97"/>
      <x:c r="U327" s="98" t="str">
        <x:f>IF(OR(J327="",N327=""),"",IF(J327=N327,"No","Yes"))</x:f>
      </x:c>
      <x:c r="V327" s="98" t="n">
        <x:v>2</x:v>
      </x:c>
    </x:row>
    <x:row r="328" ht="54" hidden="0" customHeight="1">
      <x:c r="A328" s="38" t="str">
        <x:v>Q009::B07KSCG3XK_review_338759</x:v>
      </x:c>
      <x:c r="B328" s="38" t="str">
        <x:v>Q009</x:v>
      </x:c>
      <x:c r="C328" s="91" t="str">
        <x:v>Which tablet is easy to use for reading, video calls, and web browsing?</x:v>
      </x:c>
      <x:c r="D328" s="38" t="n">
        <x:v>13</x:v>
      </x:c>
      <x:c r="E328" s="38" t="str">
        <x:v>B07KSCG3XK</x:v>
      </x:c>
      <x:c r="F328" s="38" t="str">
        <x:v>review</x:v>
      </x:c>
      <x:c r="G328" s="38" t="str">
        <x:v>price/value</x:v>
      </x:c>
      <x:c r="H328" s="38" t="str">
        <x:v>Computers</x:v>
      </x:c>
      <x:c r="I328" s="91" t="str">
        <x:v>[Product: HXSJ USB Webcam 480P HD Video with Microphone Web Cam USB Plug and Play， Recording for PC Computer Laptop for Mac Windows XP / 7/8 / 10 and Android TV | ASIN: B07KSCG3XK] So easy to use and a great price!!</x:v>
      </x:c>
      <x:c r="J328" s="101" t="n">
        <x:v>0</x:v>
      </x:c>
      <x:c r="K328" s="92" t="str">
        <x:v>Human_Reviewer_01</x:v>
      </x:c>
      <x:c r="L328" s="92" t="str">
        <x:v>High</x:v>
      </x:c>
      <x:c r="M328" s="93" t="str">
        <x:v>This is a webcam, not a tablet.</x:v>
      </x:c>
      <x:c r="N328" s="94"/>
      <x:c r="O328" s="94"/>
      <x:c r="P328" s="94"/>
      <x:c r="Q328" s="95"/>
      <x:c r="R328" s="96"/>
      <x:c r="S328" s="96"/>
      <x:c r="T328" s="97"/>
      <x:c r="U328" s="98" t="str">
        <x:f>IF(OR(J328="",N328=""),"",IF(J328=N328,"No","Yes"))</x:f>
      </x:c>
      <x:c r="V328" s="98" t="n">
        <x:v>0</x:v>
      </x:c>
    </x:row>
    <x:row r="329" ht="54" hidden="0" customHeight="1">
      <x:c r="A329" s="38" t="str">
        <x:v>Q009::B00A8CH5DU_review_3224783</x:v>
      </x:c>
      <x:c r="B329" s="38" t="str">
        <x:v>Q009</x:v>
      </x:c>
      <x:c r="C329" s="91" t="str">
        <x:v>Which tablet is easy to use for reading, video calls, and web browsing?</x:v>
      </x:c>
      <x:c r="D329" s="38" t="n">
        <x:v>14</x:v>
      </x:c>
      <x:c r="E329" s="38" t="str">
        <x:v>B00A8CH5DU</x:v>
      </x:c>
      <x:c r="F329" s="38" t="str">
        <x:v>review</x:v>
      </x:c>
      <x:c r="G329" s="38" t="str">
        <x:v>connectivity</x:v>
      </x:c>
      <x:c r="H329" s="38" t="str">
        <x:v>Computers</x:v>
      </x:c>
      <x:c r="I329" s="91" t="str">
        <x:v>[Product: Sungale ID720WTA 7" Android Tablet, use the browser to surf the internet, check email, watch videos, listen to music, read eBooks, enjoy social media, and much more | ASIN: B00A8CH5DU] Cheap, never worked right from the beginning but thought it was my network connection (it was not).</x:v>
      </x:c>
      <x:c r="J329" s="101" t="n">
        <x:v>1</x:v>
      </x:c>
      <x:c r="K329" s="92" t="str">
        <x:v>Human_Reviewer_01</x:v>
      </x:c>
      <x:c r="L329" s="92" t="str">
        <x:v>High</x:v>
      </x:c>
      <x:c r="M329" s="93" t="str">
        <x:v>Tablet never worked correctly, but the specific browsing, reading, or calling failure is unstated.</x:v>
      </x:c>
      <x:c r="N329" s="94"/>
      <x:c r="O329" s="94"/>
      <x:c r="P329" s="94"/>
      <x:c r="Q329" s="95"/>
      <x:c r="R329" s="96"/>
      <x:c r="S329" s="96"/>
      <x:c r="T329" s="97"/>
      <x:c r="U329" s="98" t="str">
        <x:f>IF(OR(J329="",N329=""),"",IF(J329=N329,"No","Yes"))</x:f>
      </x:c>
      <x:c r="V329" s="98" t="n">
        <x:v>1</x:v>
      </x:c>
    </x:row>
    <x:row r="330" ht="54" hidden="0" customHeight="1">
      <x:c r="A330" s="38" t="str">
        <x:v>Q009::B008O8F9J2_review_292551</x:v>
      </x:c>
      <x:c r="B330" s="38" t="str">
        <x:v>Q009</x:v>
      </x:c>
      <x:c r="C330" s="91" t="str">
        <x:v>Which tablet is easy to use for reading, video calls, and web browsing?</x:v>
      </x:c>
      <x:c r="D330" s="38" t="n">
        <x:v>15</x:v>
      </x:c>
      <x:c r="E330" s="38" t="str">
        <x:v>B008O8F9J2</x:v>
      </x:c>
      <x:c r="F330" s="38" t="str">
        <x:v>review</x:v>
      </x:c>
      <x:c r="G330" s="38" t="str">
        <x:v>specifications/performance</x:v>
      </x:c>
      <x:c r="H330" s="38" t="str">
        <x:v>Computers</x:v>
      </x:c>
      <x:c r="I330" s="91" t="str">
        <x:v>[Product: Google Nexus 7 Tablet (16 GB) | ASIN: B008O8F9J2] Lucky me, I ended up grabbing a Kindle HD, a Mini iPad, a Galaxy Tab 2, a Nexus 7, a Playbook (The worst of them) and an old HP running WebOS (For comparison's purposes only).&lt;br /&gt;&lt;br /&gt;I tested their performances with multiple apps running, wifi speed and the &amp;#34;fun factor&amp;#34;. /&gt;My wife's daily usage does not come close to the tests I performed, so I guess she will never complain for the system being slow.</x:v>
      </x:c>
      <x:c r="J330" s="101" t="n">
        <x:v>1</x:v>
      </x:c>
      <x:c r="K330" s="92" t="str">
        <x:v>Human_Reviewer_01</x:v>
      </x:c>
      <x:c r="L330" s="92" t="str">
        <x:v>Medium</x:v>
      </x:c>
      <x:c r="M330" s="93" t="str">
        <x:v>Several tablets are compared, but model-specific ease and requested-task results are omitted.</x:v>
      </x:c>
      <x:c r="N330" s="94"/>
      <x:c r="O330" s="94"/>
      <x:c r="P330" s="94"/>
      <x:c r="Q330" s="95"/>
      <x:c r="R330" s="96"/>
      <x:c r="S330" s="96"/>
      <x:c r="T330" s="97"/>
      <x:c r="U330" s="98" t="str">
        <x:f>IF(OR(J330="",N330=""),"",IF(J330=N330,"No","Yes"))</x:f>
      </x:c>
      <x:c r="V330" s="98" t="n">
        <x:v>1</x:v>
      </x:c>
    </x:row>
    <x:row r="331" ht="54" hidden="0" customHeight="1">
      <x:c r="A331" s="38" t="str">
        <x:v>Q009::B00FJDUPX0_review_4051492</x:v>
      </x:c>
      <x:c r="B331" s="38" t="str">
        <x:v>Q009</x:v>
      </x:c>
      <x:c r="C331" s="91" t="str">
        <x:v>Which tablet is easy to use for reading, video calls, and web browsing?</x:v>
      </x:c>
      <x:c r="D331" s="38" t="n">
        <x:v>16</x:v>
      </x:c>
      <x:c r="E331" s="38" t="str">
        <x:v>B00FJDUPX0</x:v>
      </x:c>
      <x:c r="F331" s="38" t="str">
        <x:v>review</x:v>
      </x:c>
      <x:c r="G331" s="38" t="str">
        <x:v>price/value</x:v>
      </x:c>
      <x:c r="H331" s="38" t="str">
        <x:v>Computers</x:v>
      </x:c>
      <x:c r="I331" s="91" t="str">
        <x:v>[Product: ASUS MeMO Pad 8 16GB Tablet (ME180A-A1-WH) White | ASIN: B00FJDUPX0] I also figured if I am going to spend over a $100 I should get the best value as I would certainly enjoy the bonuses of being able to watch movies, play music, run slideshows and other other apps.&lt;br /&gt;&lt;br /&gt;I first thought strongly about a Kindle Fire HD. Oh and the nexus 7 2013 was $30 more which was about the same price I paid for the 64gig sd card for the asus memo pad 8.</x:v>
      </x:c>
      <x:c r="J331" s="101" t="n">
        <x:v>1</x:v>
      </x:c>
      <x:c r="K331" s="92" t="str">
        <x:v>Human_Reviewer_01</x:v>
      </x:c>
      <x:c r="L331" s="92" t="str">
        <x:v>High</x:v>
      </x:c>
      <x:c r="M331" s="93" t="str">
        <x:v>Desired media functions and purchase comparisons do not establish actual usability.</x:v>
      </x:c>
      <x:c r="N331" s="94"/>
      <x:c r="O331" s="94"/>
      <x:c r="P331" s="94"/>
      <x:c r="Q331" s="95"/>
      <x:c r="R331" s="96"/>
      <x:c r="S331" s="96"/>
      <x:c r="T331" s="97"/>
      <x:c r="U331" s="98" t="str">
        <x:f>IF(OR(J331="",N331=""),"",IF(J331=N331,"No","Yes"))</x:f>
      </x:c>
      <x:c r="V331" s="98" t="n">
        <x:v>1</x:v>
      </x:c>
    </x:row>
    <x:row r="332" ht="54" hidden="0" customHeight="1">
      <x:c r="A332" s="38" t="str">
        <x:v>Q009::B006R9UURQ_review_309037</x:v>
      </x:c>
      <x:c r="B332" s="38" t="str">
        <x:v>Q009</x:v>
      </x:c>
      <x:c r="C332" s="91" t="str">
        <x:v>Which tablet is easy to use for reading, video calls, and web browsing?</x:v>
      </x:c>
      <x:c r="D332" s="38" t="n">
        <x:v>17</x:v>
      </x:c>
      <x:c r="E332" s="38" t="str">
        <x:v>B006R9UURQ</x:v>
      </x:c>
      <x:c r="F332" s="38" t="str">
        <x:v>review</x:v>
      </x:c>
      <x:c r="G332" s="38" t="str">
        <x:v>specifications/performance</x:v>
      </x:c>
      <x:c r="H332" s="38" t="str">
        <x:v>Computers</x:v>
      </x:c>
      <x:c r="I332" s="91" t="str">
        <x:v>[Product: Coby Electronics Kyros MID7014-4G 7-Inch Tablet (Black) | ASIN: B006R9UURQ] Speed could be better, as far as web browsing, but I notice no lags in reading books.</x:v>
      </x:c>
      <x:c r="J332" s="101" t="n">
        <x:v>2</x:v>
      </x:c>
      <x:c r="K332" s="92" t="str">
        <x:v>Human_Reviewer_01</x:v>
      </x:c>
      <x:c r="L332" s="92" t="str">
        <x:v>High</x:v>
      </x:c>
      <x:c r="M332" s="93" t="str">
        <x:v>Tablet has lag-free book reading and slower web browsing.</x:v>
      </x:c>
      <x:c r="N332" s="94"/>
      <x:c r="O332" s="94"/>
      <x:c r="P332" s="94"/>
      <x:c r="Q332" s="95"/>
      <x:c r="R332" s="96"/>
      <x:c r="S332" s="96"/>
      <x:c r="T332" s="97"/>
      <x:c r="U332" s="98" t="str">
        <x:f>IF(OR(J332="",N332=""),"",IF(J332=N332,"No","Yes"))</x:f>
      </x:c>
      <x:c r="V332" s="98" t="n">
        <x:v>2</x:v>
      </x:c>
    </x:row>
    <x:row r="333" ht="54" hidden="0" customHeight="1">
      <x:c r="A333" s="38" t="str">
        <x:v>Q009::B088FQ5GQW_review_2171824</x:v>
      </x:c>
      <x:c r="B333" s="38" t="str">
        <x:v>Q009</x:v>
      </x:c>
      <x:c r="C333" s="91" t="str">
        <x:v>Which tablet is easy to use for reading, video calls, and web browsing?</x:v>
      </x:c>
      <x:c r="D333" s="38" t="n">
        <x:v>18</x:v>
      </x:c>
      <x:c r="E333" s="38" t="str">
        <x:v>B088FQ5GQW</x:v>
      </x:c>
      <x:c r="F333" s="38" t="str">
        <x:v>review</x:v>
      </x:c>
      <x:c r="G333" s="38" t="str">
        <x:v>build quality</x:v>
      </x:c>
      <x:c r="H333" s="38" t="str">
        <x:v>Computers</x:v>
      </x:c>
      <x:c r="I333" s="91" t="str">
        <x:v>[Product: RUICHENXI 1080P Webcam with Noise-canceling Microphone USB Full HD Webcam with Rotating Clip Web Camera for Video Calls, Games, Live Streaming and Conferences | ASIN: B088FQ5GQW] Ahh, to be young.&lt;br /&gt;&lt;br /&gt;Good sound and video quality.</x:v>
      </x:c>
      <x:c r="J333" s="101" t="n">
        <x:v>0</x:v>
      </x:c>
      <x:c r="K333" s="92" t="str">
        <x:v>Human_Reviewer_01</x:v>
      </x:c>
      <x:c r="L333" s="92" t="str">
        <x:v>High</x:v>
      </x:c>
      <x:c r="M333" s="93" t="str">
        <x:v>This is a webcam, not a tablet.</x:v>
      </x:c>
      <x:c r="N333" s="94"/>
      <x:c r="O333" s="94"/>
      <x:c r="P333" s="94"/>
      <x:c r="Q333" s="95"/>
      <x:c r="R333" s="96"/>
      <x:c r="S333" s="96"/>
      <x:c r="T333" s="97"/>
      <x:c r="U333" s="98" t="str">
        <x:f>IF(OR(J333="",N333=""),"",IF(J333=N333,"No","Yes"))</x:f>
      </x:c>
      <x:c r="V333" s="98" t="n">
        <x:v>0</x:v>
      </x:c>
    </x:row>
    <x:row r="334" ht="54" hidden="0" customHeight="1">
      <x:c r="A334" s="38" t="str">
        <x:v>Q009::B08BR939G5_review_2644204</x:v>
      </x:c>
      <x:c r="B334" s="38" t="str">
        <x:v>Q009</x:v>
      </x:c>
      <x:c r="C334" s="91" t="str">
        <x:v>Which tablet is easy to use for reading, video calls, and web browsing?</x:v>
      </x:c>
      <x:c r="D334" s="38" t="n">
        <x:v>19</x:v>
      </x:c>
      <x:c r="E334" s="38" t="str">
        <x:v>B08BR939G5</x:v>
      </x:c>
      <x:c r="F334" s="38" t="str">
        <x:v>review</x:v>
      </x:c>
      <x:c r="G334" s="38" t="str">
        <x:v>ease of use</x:v>
      </x:c>
      <x:c r="H334" s="38" t="str">
        <x:v>Computers</x:v>
      </x:c>
      <x:c r="I334" s="91" t="str">
        <x:v>[Product: Bige for Microsoft Surface Go 3 Case,PU Leather Folio 2-Folding Stand Cover Case for 10.5 Inch Surface Go 3 2021 /Surface G0 2 2020/10 Inch Surface Go 2018 Tablet,Black | ASIN: B08BR939G5] /&gt;Update: I am bumping this to 4 stars from 2, as for my personal use case, its much more than just usable due to it being lightweight and easy to hold as a tablet for reading, which is what I got the tablet for in the first place.</x:v>
      </x:c>
      <x:c r="J334" s="101" t="n">
        <x:v>0</x:v>
      </x:c>
      <x:c r="K334" s="92" t="str">
        <x:v>Human_Reviewer_01</x:v>
      </x:c>
      <x:c r="L334" s="92" t="str">
        <x:v>High</x:v>
      </x:c>
      <x:c r="M334" s="93" t="str">
        <x:v>The listed product is a tablet case; review attribution to a tablet is inconsistent.</x:v>
      </x:c>
      <x:c r="N334" s="94"/>
      <x:c r="O334" s="94"/>
      <x:c r="P334" s="94"/>
      <x:c r="Q334" s="95"/>
      <x:c r="R334" s="96"/>
      <x:c r="S334" s="96"/>
      <x:c r="T334" s="97"/>
      <x:c r="U334" s="98" t="str">
        <x:f>IF(OR(J334="",N334=""),"",IF(J334=N334,"No","Yes"))</x:f>
      </x:c>
      <x:c r="V334" s="98" t="n">
        <x:v>0</x:v>
      </x:c>
    </x:row>
    <x:row r="335" ht="54" hidden="0" customHeight="1">
      <x:c r="A335" s="38" t="str">
        <x:v>Q009::B006FMLQU0_review_1141667</x:v>
      </x:c>
      <x:c r="B335" s="38" t="str">
        <x:v>Q009</x:v>
      </x:c>
      <x:c r="C335" s="91" t="str">
        <x:v>Which tablet is easy to use for reading, video calls, and web browsing?</x:v>
      </x:c>
      <x:c r="D335" s="38" t="n">
        <x:v>20</x:v>
      </x:c>
      <x:c r="E335" s="38" t="str">
        <x:v>B006FMLQU0</x:v>
      </x:c>
      <x:c r="F335" s="38" t="str">
        <x:v>review</x:v>
      </x:c>
      <x:c r="G335" s="38" t="str">
        <x:v>customer service</x:v>
      </x:c>
      <x:c r="H335" s="38" t="str">
        <x:v>Computers</x:v>
      </x:c>
      <x:c r="I335" s="91" t="str">
        <x:v>[Product: Craig Touch Screen Android Tablet 7" Model CMP738a | ASIN: B006FMLQU0] Web surfing is also very serviceable.</x:v>
      </x:c>
      <x:c r="J335" s="101" t="n">
        <x:v>2</x:v>
      </x:c>
      <x:c r="K335" s="92" t="str">
        <x:v>Human_Reviewer_01</x:v>
      </x:c>
      <x:c r="L335" s="92" t="str">
        <x:v>High</x:v>
      </x:c>
      <x:c r="M335" s="93" t="str">
        <x:v>Tablet web browsing is explicitly serviceable.</x:v>
      </x:c>
      <x:c r="N335" s="94"/>
      <x:c r="O335" s="94"/>
      <x:c r="P335" s="94"/>
      <x:c r="Q335" s="95"/>
      <x:c r="R335" s="96"/>
      <x:c r="S335" s="96"/>
      <x:c r="T335" s="97"/>
      <x:c r="U335" s="98" t="str">
        <x:f>IF(OR(J335="",N335=""),"",IF(J335=N335,"No","Yes"))</x:f>
      </x:c>
      <x:c r="V335" s="98" t="n">
        <x:v>2</x:v>
      </x:c>
    </x:row>
    <x:row r="336" ht="54" hidden="0" customHeight="1">
      <x:c r="A336" s="38" t="str">
        <x:v>Q009::B00A8CH5DU_review_3224786</x:v>
      </x:c>
      <x:c r="B336" s="38" t="str">
        <x:v>Q009</x:v>
      </x:c>
      <x:c r="C336" s="91" t="str">
        <x:v>Which tablet is easy to use for reading, video calls, and web browsing?</x:v>
      </x:c>
      <x:c r="D336" s="38" t="n">
        <x:v>21</x:v>
      </x:c>
      <x:c r="E336" s="38" t="str">
        <x:v>B00A8CH5DU</x:v>
      </x:c>
      <x:c r="F336" s="38" t="str">
        <x:v>review</x:v>
      </x:c>
      <x:c r="G336" s="38" t="str">
        <x:v>price/value</x:v>
      </x:c>
      <x:c r="H336" s="38" t="str">
        <x:v>Computers</x:v>
      </x:c>
      <x:c r="I336" s="91" t="str">
        <x:v>[Product: Sungale ID720WTA 7" Android Tablet, use the browser to surf the internet, check email, watch videos, listen to music, read eBooks, enjoy social media, and much more | ASIN: B00A8CH5DU] A good choice at this price level</x:v>
      </x:c>
      <x:c r="J336" s="101" t="n">
        <x:v>1</x:v>
      </x:c>
      <x:c r="K336" s="92" t="str">
        <x:v>Human_Reviewer_01</x:v>
      </x:c>
      <x:c r="L336" s="92" t="str">
        <x:v>High</x:v>
      </x:c>
      <x:c r="M336" s="93" t="str">
        <x:v>Generic tablet value praise does not establish ease or requested-task performance.</x:v>
      </x:c>
      <x:c r="N336" s="94"/>
      <x:c r="O336" s="94"/>
      <x:c r="P336" s="94"/>
      <x:c r="Q336" s="95"/>
      <x:c r="R336" s="96"/>
      <x:c r="S336" s="96"/>
      <x:c r="T336" s="97"/>
      <x:c r="U336" s="98" t="str">
        <x:f>IF(OR(J336="",N336=""),"",IF(J336=N336,"No","Yes"))</x:f>
      </x:c>
      <x:c r="V336" s="98" t="n">
        <x:v>1</x:v>
      </x:c>
    </x:row>
    <x:row r="337" ht="54" hidden="0" customHeight="1">
      <x:c r="A337" s="38" t="str">
        <x:v>Q009::B007ZT22CI_review_1083</x:v>
      </x:c>
      <x:c r="B337" s="38" t="str">
        <x:v>Q009</x:v>
      </x:c>
      <x:c r="C337" s="91" t="str">
        <x:v>Which tablet is easy to use for reading, video calls, and web browsing?</x:v>
      </x:c>
      <x:c r="D337" s="38" t="n">
        <x:v>22</x:v>
      </x:c>
      <x:c r="E337" s="38" t="str">
        <x:v>B007ZT22CI</x:v>
      </x:c>
      <x:c r="F337" s="38" t="str">
        <x:v>review</x:v>
      </x:c>
      <x:c r="G337" s="38" t="str">
        <x:v>battery life</x:v>
      </x:c>
      <x:c r="H337" s="38" t="str">
        <x:v>Computers</x:v>
      </x:c>
      <x:c r="I337" s="91" t="str">
        <x:v>[Product: ViewSonic ViewPad E100_US1 9.7-Inch Android 4.0 Ice Cream Sandwich Tablet (Black) | ASIN: B007ZT22CI] Battery life is not stellar.&lt;br /&gt;&lt;br /&gt;All in all, for a budget tablet to be used mainly for casual Web browsing, game playing and e-book reading, the ViewPad E100 does what I want it to do (although better video streaming would be sweet, but that might be the fault of my Sprint Web access device).</x:v>
      </x:c>
      <x:c r="J337" s="101" t="n">
        <x:v>2</x:v>
      </x:c>
      <x:c r="K337" s="92" t="str">
        <x:v>Human_Reviewer_01</x:v>
      </x:c>
      <x:c r="L337" s="92" t="str">
        <x:v>High</x:v>
      </x:c>
      <x:c r="M337" s="93" t="str">
        <x:v>Tablet supports casual browsing and e-book reading, with streaming and battery limitations.</x:v>
      </x:c>
      <x:c r="N337" s="94"/>
      <x:c r="O337" s="94"/>
      <x:c r="P337" s="94"/>
      <x:c r="Q337" s="95"/>
      <x:c r="R337" s="96"/>
      <x:c r="S337" s="96"/>
      <x:c r="T337" s="97"/>
      <x:c r="U337" s="98" t="str">
        <x:f>IF(OR(J337="",N337=""),"",IF(J337=N337,"No","Yes"))</x:f>
      </x:c>
      <x:c r="V337" s="98" t="n">
        <x:v>2</x:v>
      </x:c>
    </x:row>
    <x:row r="338" ht="54" hidden="0" customHeight="1">
      <x:c r="A338" s="38" t="str">
        <x:v>Q009::B00A8CH5DU_review_3224785</x:v>
      </x:c>
      <x:c r="B338" s="38" t="str">
        <x:v>Q009</x:v>
      </x:c>
      <x:c r="C338" s="91" t="str">
        <x:v>Which tablet is easy to use for reading, video calls, and web browsing?</x:v>
      </x:c>
      <x:c r="D338" s="38" t="n">
        <x:v>23</x:v>
      </x:c>
      <x:c r="E338" s="38" t="str">
        <x:v>B00A8CH5DU</x:v>
      </x:c>
      <x:c r="F338" s="38" t="str">
        <x:v>review</x:v>
      </x:c>
      <x:c r="G338" s="38" t="str">
        <x:v>general</x:v>
      </x:c>
      <x:c r="H338" s="38" t="str">
        <x:v>Computers</x:v>
      </x:c>
      <x:c r="I338" s="91" t="str">
        <x:v>[Product: Sungale ID720WTA 7" Android Tablet, use the browser to surf the internet, check email, watch videos, listen to music, read eBooks, enjoy social media, and much more | ASIN: B00A8CH5DU] This is a basic but standard Android tablet, I can do whatever I want on it, play games, watch movie, listen to music.</x:v>
      </x:c>
      <x:c r="J338" s="101" t="n">
        <x:v>1</x:v>
      </x:c>
      <x:c r="K338" s="92" t="str">
        <x:v>Human_Reviewer_01</x:v>
      </x:c>
      <x:c r="L338" s="92" t="str">
        <x:v>High</x:v>
      </x:c>
      <x:c r="M338" s="93" t="str">
        <x:v>Tablet supports games and movies, but requested reading, calling, and browsing are not directly tested.</x:v>
      </x:c>
      <x:c r="N338" s="94"/>
      <x:c r="O338" s="94"/>
      <x:c r="P338" s="94"/>
      <x:c r="Q338" s="95"/>
      <x:c r="R338" s="96"/>
      <x:c r="S338" s="96"/>
      <x:c r="T338" s="97"/>
      <x:c r="U338" s="98" t="str">
        <x:f>IF(OR(J338="",N338=""),"",IF(J338=N338,"No","Yes"))</x:f>
      </x:c>
      <x:c r="V338" s="98" t="n">
        <x:v>1</x:v>
      </x:c>
    </x:row>
    <x:row r="339" ht="54" hidden="0" customHeight="1">
      <x:c r="A339" s="38" t="str">
        <x:v>Q009::B007YC08C2_review_4077884</x:v>
      </x:c>
      <x:c r="B339" s="38" t="str">
        <x:v>Q009</x:v>
      </x:c>
      <x:c r="C339" s="91" t="str">
        <x:v>Which tablet is easy to use for reading, video calls, and web browsing?</x:v>
      </x:c>
      <x:c r="D339" s="38" t="n">
        <x:v>24</x:v>
      </x:c>
      <x:c r="E339" s="38" t="str">
        <x:v>B007YC08C2</x:v>
      </x:c>
      <x:c r="F339" s="38" t="str">
        <x:v>review</x:v>
      </x:c>
      <x:c r="G339" s="38" t="str">
        <x:v>ease of use</x:v>
      </x:c>
      <x:c r="H339" s="38" t="str">
        <x:v>Computers</x:v>
      </x:c>
      <x:c r="I339" s="91" t="str">
        <x:v>[Product: Nextbook Tablet with 4GB Memory 8" | NEXT8P12 | ASIN: B007YC08C2] The virtual keyboard is easy to use. It is simple, great for reading, searching, music, games and such.</x:v>
      </x:c>
      <x:c r="J339" s="101" t="n">
        <x:v>2</x:v>
      </x:c>
      <x:c r="K339" s="92" t="str">
        <x:v>Human_Reviewer_01</x:v>
      </x:c>
      <x:c r="L339" s="92" t="str">
        <x:v>High</x:v>
      </x:c>
      <x:c r="M339" s="93" t="str">
        <x:v>Tablet is explicitly simple to use for reading and searching, with an easy virtual keyboard.</x:v>
      </x:c>
      <x:c r="N339" s="94"/>
      <x:c r="O339" s="94"/>
      <x:c r="P339" s="94"/>
      <x:c r="Q339" s="95"/>
      <x:c r="R339" s="96"/>
      <x:c r="S339" s="96"/>
      <x:c r="T339" s="97"/>
      <x:c r="U339" s="98" t="str">
        <x:f>IF(OR(J339="",N339=""),"",IF(J339=N339,"No","Yes"))</x:f>
      </x:c>
      <x:c r="V339" s="98" t="n">
        <x:v>2</x:v>
      </x:c>
    </x:row>
    <x:row r="340" ht="54" hidden="0" customHeight="1">
      <x:c r="A340" s="38" t="str">
        <x:v>Q009::B08FXBVCDS_review_3487275</x:v>
      </x:c>
      <x:c r="B340" s="38" t="str">
        <x:v>Q009</x:v>
      </x:c>
      <x:c r="C340" s="91" t="str">
        <x:v>Which tablet is easy to use for reading, video calls, and web browsing?</x:v>
      </x:c>
      <x:c r="D340" s="38" t="n">
        <x:v>25</x:v>
      </x:c>
      <x:c r="E340" s="38" t="str">
        <x:v>B08FXBVCDS</x:v>
      </x:c>
      <x:c r="F340" s="38" t="str">
        <x:v>review</x:v>
      </x:c>
      <x:c r="G340" s="38" t="str">
        <x:v>ease of use</x:v>
      </x:c>
      <x:c r="H340" s="38" t="str">
        <x:v>Computers</x:v>
      </x:c>
      <x:c r="I340" s="91" t="str">
        <x:v>[Product: Video Conference Lighting Kit, Light for Video Conferencing,Remote Working, Zoom Calls, Webinar Lighting,Self Broadcasting and Live Streaming,Strong Suction (Black) | ASIN: B08FXBVCDS] simple light It is not too big and it is easy to just leave mounted to my laptop.</x:v>
      </x:c>
      <x:c r="J340" s="101" t="n">
        <x:v>0</x:v>
      </x:c>
      <x:c r="K340" s="92" t="str">
        <x:v>Human_Reviewer_01</x:v>
      </x:c>
      <x:c r="L340" s="92" t="str">
        <x:v>High</x:v>
      </x:c>
      <x:c r="M340" s="93" t="str">
        <x:v>This is a video-call light, not a tablet.</x:v>
      </x:c>
      <x:c r="N340" s="94"/>
      <x:c r="O340" s="94"/>
      <x:c r="P340" s="94"/>
      <x:c r="Q340" s="95"/>
      <x:c r="R340" s="96"/>
      <x:c r="S340" s="96"/>
      <x:c r="T340" s="97"/>
      <x:c r="U340" s="98" t="str">
        <x:f>IF(OR(J340="",N340=""),"",IF(J340=N340,"No","Yes"))</x:f>
      </x:c>
      <x:c r="V340" s="98" t="n">
        <x:v>0</x:v>
      </x:c>
    </x:row>
    <x:row r="341" ht="54" hidden="0" customHeight="1">
      <x:c r="A341" s="38" t="str">
        <x:v>Q009::B00A8CH5DU_review_3224790</x:v>
      </x:c>
      <x:c r="B341" s="38" t="str">
        <x:v>Q009</x:v>
      </x:c>
      <x:c r="C341" s="91" t="str">
        <x:v>Which tablet is easy to use for reading, video calls, and web browsing?</x:v>
      </x:c>
      <x:c r="D341" s="38" t="n">
        <x:v>26</x:v>
      </x:c>
      <x:c r="E341" s="38" t="str">
        <x:v>B00A8CH5DU</x:v>
      </x:c>
      <x:c r="F341" s="38" t="str">
        <x:v>review</x:v>
      </x:c>
      <x:c r="G341" s="38" t="str">
        <x:v>customer service</x:v>
      </x:c>
      <x:c r="H341" s="38" t="str">
        <x:v>Computers</x:v>
      </x:c>
      <x:c r="I341" s="91" t="str">
        <x:v>[Product: Sungale ID720WTA 7" Android Tablet, use the browser to surf the internet, check email, watch videos, listen to music, read eBooks, enjoy social media, and much more | ASIN: B00A8CH5DU] Also I accidently left an mirco disk in the unit I returned,.</x:v>
      </x:c>
      <x:c r="J341" s="101" t="n">
        <x:v>0</x:v>
      </x:c>
      <x:c r="K341" s="92" t="str">
        <x:v>Human_Reviewer_01</x:v>
      </x:c>
      <x:c r="L341" s="92" t="str">
        <x:v>High</x:v>
      </x:c>
      <x:c r="M341" s="93" t="str">
        <x:v>Leaving a memory card in a returned tablet gives no evidence about the requested tasks.</x:v>
      </x:c>
      <x:c r="N341" s="94"/>
      <x:c r="O341" s="94"/>
      <x:c r="P341" s="94"/>
      <x:c r="Q341" s="95"/>
      <x:c r="R341" s="96"/>
      <x:c r="S341" s="96"/>
      <x:c r="T341" s="97"/>
      <x:c r="U341" s="98" t="str">
        <x:f>IF(OR(J341="",N341=""),"",IF(J341=N341,"No","Yes"))</x:f>
      </x:c>
      <x:c r="V341" s="98" t="n">
        <x:v>0</x:v>
      </x:c>
    </x:row>
    <x:row r="342" ht="54" hidden="0" customHeight="1">
      <x:c r="A342" s="38" t="str">
        <x:v>Q009::B08929PZ5Q_review_1565434</x:v>
      </x:c>
      <x:c r="B342" s="38" t="str">
        <x:v>Q009</x:v>
      </x:c>
      <x:c r="C342" s="91" t="str">
        <x:v>Which tablet is easy to use for reading, video calls, and web browsing?</x:v>
      </x:c>
      <x:c r="D342" s="38" t="n">
        <x:v>27</x:v>
      </x:c>
      <x:c r="E342" s="38" t="str">
        <x:v>B08929PZ5Q</x:v>
      </x:c>
      <x:c r="F342" s="38" t="str">
        <x:v>review</x:v>
      </x:c>
      <x:c r="G342" s="38" t="str">
        <x:v>build quality</x:v>
      </x:c>
      <x:c r="H342" s="38" t="str">
        <x:v>Computers</x:v>
      </x:c>
      <x:c r="I342" s="91" t="str">
        <x:v>[Product: 1080P Full HD Webcamera Autofocus with Microphone Web Cameras for Video Calling， Recording， Conferencing， Live Streaming，Skype， Zoom， 360° Rotat Home Webcam Web Cameras for Laptop Computers PC | ASIN: B08929PZ5Q] I bought this camera to upgrade my video quality on conference calls, and it is been a fantastic upgrade!</x:v>
      </x:c>
      <x:c r="J342" s="101" t="n">
        <x:v>0</x:v>
      </x:c>
      <x:c r="K342" s="92" t="str">
        <x:v>Human_Reviewer_01</x:v>
      </x:c>
      <x:c r="L342" s="92" t="str">
        <x:v>High</x:v>
      </x:c>
      <x:c r="M342" s="93" t="str">
        <x:v>This is a webcam, not a tablet.</x:v>
      </x:c>
      <x:c r="N342" s="94"/>
      <x:c r="O342" s="94"/>
      <x:c r="P342" s="94"/>
      <x:c r="Q342" s="95"/>
      <x:c r="R342" s="96"/>
      <x:c r="S342" s="96"/>
      <x:c r="T342" s="97"/>
      <x:c r="U342" s="98" t="str">
        <x:f>IF(OR(J342="",N342=""),"",IF(J342=N342,"No","Yes"))</x:f>
      </x:c>
      <x:c r="V342" s="98" t="n">
        <x:v>0</x:v>
      </x:c>
    </x:row>
    <x:row r="343" ht="54" hidden="0" customHeight="1">
      <x:c r="A343" s="38" t="str">
        <x:v>Q009::B088FQ5GQW_review_2171809</x:v>
      </x:c>
      <x:c r="B343" s="38" t="str">
        <x:v>Q009</x:v>
      </x:c>
      <x:c r="C343" s="91" t="str">
        <x:v>Which tablet is easy to use for reading, video calls, and web browsing?</x:v>
      </x:c>
      <x:c r="D343" s="38" t="n">
        <x:v>28</x:v>
      </x:c>
      <x:c r="E343" s="38" t="str">
        <x:v>B088FQ5GQW</x:v>
      </x:c>
      <x:c r="F343" s="38" t="str">
        <x:v>review</x:v>
      </x:c>
      <x:c r="G343" s="38" t="str">
        <x:v>ease of use</x:v>
      </x:c>
      <x:c r="H343" s="38" t="str">
        <x:v>Computers</x:v>
      </x:c>
      <x:c r="I343" s="91" t="str">
        <x:v>[Product: RUICHENXI 1080P Webcam with Noise-canceling Microphone USB Full HD Webcam with Rotating Clip Web Camera for Video Calls, Games, Live Streaming and Conferences | ASIN: B088FQ5GQW] Simple to install ----</x:v>
      </x:c>
      <x:c r="J343" s="101" t="n">
        <x:v>0</x:v>
      </x:c>
      <x:c r="K343" s="92" t="str">
        <x:v>Human_Reviewer_01</x:v>
      </x:c>
      <x:c r="L343" s="92" t="str">
        <x:v>High</x:v>
      </x:c>
      <x:c r="M343" s="93" t="str">
        <x:v>This is a webcam, not a tablet.</x:v>
      </x:c>
      <x:c r="N343" s="94"/>
      <x:c r="O343" s="94"/>
      <x:c r="P343" s="94"/>
      <x:c r="Q343" s="95"/>
      <x:c r="R343" s="96"/>
      <x:c r="S343" s="96"/>
      <x:c r="T343" s="97"/>
      <x:c r="U343" s="98" t="str">
        <x:f>IF(OR(J343="",N343=""),"",IF(J343=N343,"No","Yes"))</x:f>
      </x:c>
      <x:c r="V343" s="98" t="n">
        <x:v>0</x:v>
      </x:c>
    </x:row>
    <x:row r="344" ht="54" hidden="0" customHeight="1">
      <x:c r="A344" s="38" t="str">
        <x:v>Q009::B009TV9CT6_review_1830387</x:v>
      </x:c>
      <x:c r="B344" s="38" t="str">
        <x:v>Q009</x:v>
      </x:c>
      <x:c r="C344" s="91" t="str">
        <x:v>Which tablet is easy to use for reading, video calls, and web browsing?</x:v>
      </x:c>
      <x:c r="D344" s="38" t="n">
        <x:v>29</x:v>
      </x:c>
      <x:c r="E344" s="38" t="str">
        <x:v>B009TV9CT6</x:v>
      </x:c>
      <x:c r="F344" s="38" t="str">
        <x:v>review</x:v>
      </x:c>
      <x:c r="G344" s="38" t="str">
        <x:v>general</x:v>
      </x:c>
      <x:c r="H344" s="38" t="str">
        <x:v>Computers</x:v>
      </x:c>
      <x:c r="I344" s="91" t="str">
        <x:v>[Product: Asus ASUS-1B32-CB Nexus 7 32GB Wi-Fi 7in - Black | ASIN: B009TV9CT6] The best tablet ever! I had previously a kindle fire and loved it, but this is other level! The only &amp;#34;cons&amp;#34; I have found on it is the phone app is not activate it on the system (actually I have read some versions does it, mine does not sadly and I think most of them) and I believe is not a big deal since I am not willing to switch my phone by this tablet, but given my data plan includes phone minutes, does not hurt to have the ability to it if necessary, otherwise it will be 5 stars rate</x:v>
      </x:c>
      <x:c r="J344" s="101" t="n">
        <x:v>1</x:v>
      </x:c>
      <x:c r="K344" s="92" t="str">
        <x:v>Human_Reviewer_01</x:v>
      </x:c>
      <x:c r="L344" s="92" t="str">
        <x:v>High</x:v>
      </x:c>
      <x:c r="M344" s="93" t="str">
        <x:v>Tablet lacks a phone app, but video-call capability and other requested tasks are not assessed.</x:v>
      </x:c>
      <x:c r="N344" s="94"/>
      <x:c r="O344" s="94"/>
      <x:c r="P344" s="94"/>
      <x:c r="Q344" s="95"/>
      <x:c r="R344" s="96"/>
      <x:c r="S344" s="96"/>
      <x:c r="T344" s="97"/>
      <x:c r="U344" s="98" t="str">
        <x:f>IF(OR(J344="",N344=""),"",IF(J344=N344,"No","Yes"))</x:f>
      </x:c>
      <x:c r="V344" s="98" t="n">
        <x:v>1</x:v>
      </x:c>
    </x:row>
    <x:row r="345" ht="54" hidden="0" customHeight="1">
      <x:c r="A345" s="38" t="str">
        <x:v>Q009::B0055D67HW_review_2841508</x:v>
      </x:c>
      <x:c r="B345" s="38" t="str">
        <x:v>Q009</x:v>
      </x:c>
      <x:c r="C345" s="91" t="str">
        <x:v>Which tablet is easy to use for reading, video calls, and web browsing?</x:v>
      </x:c>
      <x:c r="D345" s="38" t="n">
        <x:v>30</x:v>
      </x:c>
      <x:c r="E345" s="38" t="str">
        <x:v>B0055D67HW</x:v>
      </x:c>
      <x:c r="F345" s="38" t="str">
        <x:v>review</x:v>
      </x:c>
      <x:c r="G345" s="38" t="str">
        <x:v>general</x:v>
      </x:c>
      <x:c r="H345" s="38" t="str">
        <x:v>Computers</x:v>
      </x:c>
      <x:c r="I345" s="91" t="str">
        <x:v>[Product: HP TouchPad Wi-Fi 16 GB 9.7-Inch Tablet Computer | ASIN: B0055D67HW] I really like this tablet.&lt;br /&gt;&lt;br /&gt;Programs open and close quickly. Even though I have had many programs open and running at the same time.&lt;br /&gt;&lt;br /&gt;The lack of Apps is a minor problem for me. I have actually found that the web browser opens and plays everything thrown at it. I have enjoyed Crackle movies, Hulu+, Amazon Cloud Player (20 GB of music), Facebook Games. I do not need an app if a bookmark can do the same thing. I would like the ability to save a bookmark to the launcher.&lt;br /&gt;&lt;br /&gt;WebOS synergy is wonderful. life is good.&lt;br /&gt;&lt;br /&gt;The tablet is slick.</x:v>
      </x:c>
      <x:c r="J345" s="101" t="n">
        <x:v>2</x:v>
      </x:c>
      <x:c r="K345" s="92" t="str">
        <x:v>Human_Reviewer_01</x:v>
      </x:c>
      <x:c r="L345" s="92" t="str">
        <x:v>High</x:v>
      </x:c>
      <x:c r="M345" s="93" t="str">
        <x:v>Tablet browser handles multiple media sites and applications respond quickly under concurrent use.</x:v>
      </x:c>
      <x:c r="N345" s="94"/>
      <x:c r="O345" s="94"/>
      <x:c r="P345" s="94"/>
      <x:c r="Q345" s="95"/>
      <x:c r="R345" s="96"/>
      <x:c r="S345" s="96"/>
      <x:c r="T345" s="97"/>
      <x:c r="U345" s="98" t="str">
        <x:f>IF(OR(J345="",N345=""),"",IF(J345=N345,"No","Yes"))</x:f>
      </x:c>
      <x:c r="V345" s="98" t="n">
        <x:v>2</x:v>
      </x:c>
    </x:row>
    <x:row r="346" ht="54" hidden="0" customHeight="1">
      <x:c r="A346" s="38" t="str">
        <x:v>Q009::B087B18YLJ_review_499863</x:v>
      </x:c>
      <x:c r="B346" s="38" t="str">
        <x:v>Q009</x:v>
      </x:c>
      <x:c r="C346" s="91" t="str">
        <x:v>Which tablet is easy to use for reading, video calls, and web browsing?</x:v>
      </x:c>
      <x:c r="D346" s="38" t="n">
        <x:v>31</x:v>
      </x:c>
      <x:c r="E346" s="38" t="str">
        <x:v>B087B18YLJ</x:v>
      </x:c>
      <x:c r="F346" s="38" t="str">
        <x:v>review</x:v>
      </x:c>
      <x:c r="G346" s="38" t="str">
        <x:v>general</x:v>
      </x:c>
      <x:c r="H346" s="38" t="str">
        <x:v>Computers</x:v>
      </x:c>
      <x:c r="I346" s="91" t="str">
        <x:v>[Product: KuRoKo Slim Case Compatiable with Lenovo Tab M10 Plus TB-X606F/TB-X606X 10.3 Inch FHD Tablet 2020 Release | ASIN: B087B18YLJ] I primarily use this for reading, replacing an earlier Nook reader. However, it is great for zoom calls, streaming when away from home, and taking photos.</x:v>
      </x:c>
      <x:c r="J346" s="101" t="n">
        <x:v>0</x:v>
      </x:c>
      <x:c r="K346" s="92" t="str">
        <x:v>Human_Reviewer_01</x:v>
      </x:c>
      <x:c r="L346" s="92" t="str">
        <x:v>High</x:v>
      </x:c>
      <x:c r="M346" s="93" t="str">
        <x:v>The listed product is a tablet case; tablet-performance testimony is misattributed.</x:v>
      </x:c>
      <x:c r="N346" s="94"/>
      <x:c r="O346" s="94"/>
      <x:c r="P346" s="94"/>
      <x:c r="Q346" s="95"/>
      <x:c r="R346" s="96"/>
      <x:c r="S346" s="96"/>
      <x:c r="T346" s="97"/>
      <x:c r="U346" s="98" t="str">
        <x:f>IF(OR(J346="",N346=""),"",IF(J346=N346,"No","Yes"))</x:f>
      </x:c>
      <x:c r="V346" s="98" t="n">
        <x:v>0</x:v>
      </x:c>
    </x:row>
    <x:row r="347" ht="54" hidden="0" customHeight="1">
      <x:c r="A347" s="38" t="str">
        <x:v>Q009::B07VHJJCS1_review_2689426</x:v>
      </x:c>
      <x:c r="B347" s="38" t="str">
        <x:v>Q009</x:v>
      </x:c>
      <x:c r="C347" s="91" t="str">
        <x:v>Which tablet is easy to use for reading, video calls, and web browsing?</x:v>
      </x:c>
      <x:c r="D347" s="38" t="n">
        <x:v>32</x:v>
      </x:c>
      <x:c r="E347" s="38" t="str">
        <x:v>B07VHJJCS1</x:v>
      </x:c>
      <x:c r="F347" s="38" t="str">
        <x:v>review</x:v>
      </x:c>
      <x:c r="G347" s="38" t="str">
        <x:v>general</x:v>
      </x:c>
      <x:c r="H347" s="38" t="str">
        <x:v>Computers</x:v>
      </x:c>
      <x:c r="I347" s="91" t="str">
        <x:v>[Product: SAMSUNG SM-T290NZSAXAR, Galaxy Tab A 8.0" 32 GB Wifi Tablet Silver 2019 | ASIN: B07VHJJCS1] I gave this tablet a 5-star rating because it works as advertised. I knew what kind of tablet I wanted and this certainly fits the bill. It is also good for social media video chatting on Google Duo or Facebook Messenger or Zoom Etc. Much easier than using my cell phone. And easier to carry around than a larger tablet. This is not the tablet to do a lot of advanced or professional graphics. Make sure to get yourself a nice case to protect it and to provide you with a better grip. I suggest the Moko lightweight case which is under $10. The Amazon Fire HD tablet is nice as well but I wanted the full Android flexibity. So overall, this is a great entry level tablet for general use. And on the second day, it upgraded to Android 10. I recommend this tablet.</x:v>
      </x:c>
      <x:c r="J347" s="101" t="n">
        <x:v>2</x:v>
      </x:c>
      <x:c r="K347" s="92" t="str">
        <x:v>Human_Reviewer_01</x:v>
      </x:c>
      <x:c r="L347" s="92" t="str">
        <x:v>High</x:v>
      </x:c>
      <x:c r="M347" s="93" t="str">
        <x:v>Tablet supports straightforward Google Duo, Messenger, and Zoom calls and general use.</x:v>
      </x:c>
      <x:c r="N347" s="94"/>
      <x:c r="O347" s="94"/>
      <x:c r="P347" s="94"/>
      <x:c r="Q347" s="95"/>
      <x:c r="R347" s="96"/>
      <x:c r="S347" s="96"/>
      <x:c r="T347" s="97"/>
      <x:c r="U347" s="98" t="str">
        <x:f>IF(OR(J347="",N347=""),"",IF(J347=N347,"No","Yes"))</x:f>
      </x:c>
      <x:c r="V347" s="98" t="n">
        <x:v>2</x:v>
      </x:c>
    </x:row>
    <x:row r="348" ht="54" hidden="0" customHeight="1">
      <x:c r="A348" s="38" t="str">
        <x:v>Q009::B08J2QKX6W_review_3718523</x:v>
      </x:c>
      <x:c r="B348" s="38" t="str">
        <x:v>Q009</x:v>
      </x:c>
      <x:c r="C348" s="91" t="str">
        <x:v>Which tablet is easy to use for reading, video calls, and web browsing?</x:v>
      </x:c>
      <x:c r="D348" s="38" t="n">
        <x:v>33</x:v>
      </x:c>
      <x:c r="E348" s="38" t="str">
        <x:v>B08J2QKX6W</x:v>
      </x:c>
      <x:c r="F348" s="38" t="str">
        <x:v>review</x:v>
      </x:c>
      <x:c r="G348" s="38" t="str">
        <x:v>ease of use</x:v>
      </x:c>
      <x:c r="H348" s="38" t="str">
        <x:v>Computers</x:v>
      </x:c>
      <x:c r="I348" s="91" t="str">
        <x:v>[Product: Video Conference Lighting Kit for Remote Working, Video Conferencing, Zoom Calls, Self Broadcasting, Live Streaming，Adjustable Video Light for Laptop with Tripod Stand &amp; Suction Cup (Black) | ASIN: B08J2QKX6W] Easy to use, small and compact to store.</x:v>
      </x:c>
      <x:c r="J348" s="101" t="n">
        <x:v>0</x:v>
      </x:c>
      <x:c r="K348" s="92" t="str">
        <x:v>Human_Reviewer_01</x:v>
      </x:c>
      <x:c r="L348" s="92" t="str">
        <x:v>High</x:v>
      </x:c>
      <x:c r="M348" s="93" t="str">
        <x:v>This is a video-call lighting kit, not a tablet.</x:v>
      </x:c>
      <x:c r="N348" s="94"/>
      <x:c r="O348" s="94"/>
      <x:c r="P348" s="94"/>
      <x:c r="Q348" s="95"/>
      <x:c r="R348" s="96"/>
      <x:c r="S348" s="96"/>
      <x:c r="T348" s="97"/>
      <x:c r="U348" s="98" t="str">
        <x:f>IF(OR(J348="",N348=""),"",IF(J348=N348,"No","Yes"))</x:f>
      </x:c>
      <x:c r="V348" s="98" t="n">
        <x:v>0</x:v>
      </x:c>
    </x:row>
    <x:row r="349" ht="54" hidden="0" customHeight="1">
      <x:c r="A349" s="38" t="str">
        <x:v>Q009::B09BNHC4DB_review_4059493</x:v>
      </x:c>
      <x:c r="B349" s="38" t="str">
        <x:v>Q009</x:v>
      </x:c>
      <x:c r="C349" s="91" t="str">
        <x:v>Which tablet is easy to use for reading, video calls, and web browsing?</x:v>
      </x:c>
      <x:c r="D349" s="38" t="n">
        <x:v>34</x:v>
      </x:c>
      <x:c r="E349" s="38" t="str">
        <x:v>B09BNHC4DB</x:v>
      </x:c>
      <x:c r="F349" s="38" t="str">
        <x:v>review</x:v>
      </x:c>
      <x:c r="G349" s="38" t="str">
        <x:v>design/appearance</x:v>
      </x:c>
      <x:c r="H349" s="38" t="str">
        <x:v>Cell Phones &amp; Accessories</x:v>
      </x:c>
      <x:c r="I349" s="91" t="str">
        <x:v>[Product: KENOBEE Case for Amazon Fire HD 10 and Fire HD 10 Plus Tablet (Only Compatible with 11th Generation 2021 Release), Vertical Horizontal Stand Cover with Auto Wake/Sleep, Card Slot, Hand Strap, Gray | ASIN: B09BNHC4DB] I am very pleased with my purchase and highly recommend it to anyone looking for a cover/case for gaming, reading, video calls, or video watching.</x:v>
      </x:c>
      <x:c r="J349" s="101" t="n">
        <x:v>0</x:v>
      </x:c>
      <x:c r="K349" s="92" t="str">
        <x:v>Human_Reviewer_01</x:v>
      </x:c>
      <x:c r="L349" s="92" t="str">
        <x:v>High</x:v>
      </x:c>
      <x:c r="M349" s="93" t="str">
        <x:v>This is a tablet cover, not a tablet.</x:v>
      </x:c>
      <x:c r="N349" s="94"/>
      <x:c r="O349" s="94"/>
      <x:c r="P349" s="94"/>
      <x:c r="Q349" s="95"/>
      <x:c r="R349" s="96"/>
      <x:c r="S349" s="96"/>
      <x:c r="T349" s="97"/>
      <x:c r="U349" s="98" t="str">
        <x:f>IF(OR(J349="",N349=""),"",IF(J349=N349,"No","Yes"))</x:f>
      </x:c>
      <x:c r="V349" s="98" t="n">
        <x:v>0</x:v>
      </x:c>
    </x:row>
    <x:row r="350" ht="54" hidden="0" customHeight="1">
      <x:c r="A350" s="38" t="str">
        <x:v>Q009::B015ZD6ZH8_review_1255271</x:v>
      </x:c>
      <x:c r="B350" s="38" t="str">
        <x:v>Q009</x:v>
      </x:c>
      <x:c r="C350" s="91" t="str">
        <x:v>Which tablet is easy to use for reading, video calls, and web browsing?</x:v>
      </x:c>
      <x:c r="D350" s="38" t="n">
        <x:v>35</x:v>
      </x:c>
      <x:c r="E350" s="38" t="str">
        <x:v>B015ZD6ZH8</x:v>
      </x:c>
      <x:c r="F350" s="38" t="str">
        <x:v>review</x:v>
      </x:c>
      <x:c r="G350" s="38" t="str">
        <x:v>build quality</x:v>
      </x:c>
      <x:c r="H350" s="38" t="str">
        <x:v>Computers</x:v>
      </x:c>
      <x:c r="I350" s="91" t="str">
        <x:v>[Product: ASUS Chromebook 13 Inch HD with Gigabit WiFi, 16GB Storage &amp; 4GB RAM (Light Blue) | ASIN: B015ZD6ZH8] My iPad broke recently. I consider it somewhere between a computer and a tablet -- easy to use and browse the internet, but also easy to edit documents with.&lt;br /&gt;&lt;br /&gt;The keyboard, track pad, and frame are all a bit flimsy, but I do not really plan on wiggling it around in midair while trying to type up a manifesto.</x:v>
      </x:c>
      <x:c r="J350" s="101" t="n">
        <x:v>0</x:v>
      </x:c>
      <x:c r="K350" s="92" t="str">
        <x:v>Human_Reviewer_01</x:v>
      </x:c>
      <x:c r="L350" s="92" t="str">
        <x:v>High</x:v>
      </x:c>
      <x:c r="M350" s="93" t="str">
        <x:v>The product is a Chromebook laptop, not a tablet.</x:v>
      </x:c>
      <x:c r="N350" s="94"/>
      <x:c r="O350" s="94"/>
      <x:c r="P350" s="94"/>
      <x:c r="Q350" s="95"/>
      <x:c r="R350" s="96"/>
      <x:c r="S350" s="96"/>
      <x:c r="T350" s="97"/>
      <x:c r="U350" s="98" t="str">
        <x:f>IF(OR(J350="",N350=""),"",IF(J350=N350,"No","Yes"))</x:f>
      </x:c>
      <x:c r="V350" s="98" t="n">
        <x:v>0</x:v>
      </x:c>
    </x:row>
    <x:row r="351" ht="54" hidden="0" customHeight="1">
      <x:c r="A351" s="38" t="str">
        <x:v>Q009::B00CRXZPA8_review_2767555</x:v>
      </x:c>
      <x:c r="B351" s="38" t="str">
        <x:v>Q009</x:v>
      </x:c>
      <x:c r="C351" s="91" t="str">
        <x:v>Which tablet is easy to use for reading, video calls, and web browsing?</x:v>
      </x:c>
      <x:c r="D351" s="38" t="n">
        <x:v>36</x:v>
      </x:c>
      <x:c r="E351" s="38" t="str">
        <x:v>B00CRXZPA8</x:v>
      </x:c>
      <x:c r="F351" s="38" t="str">
        <x:v>review</x:v>
      </x:c>
      <x:c r="G351" s="38" t="str">
        <x:v>battery life</x:v>
      </x:c>
      <x:c r="H351" s="38" t="str">
        <x:v>Computers</x:v>
      </x:c>
      <x:c r="I351" s="91" t="str">
        <x:v>[Product: Lenovo Ideatab A1000 7-Inch 8GB Tablet (Black) | ASIN: B00CRXZPA8] The table is great for most things, Web surfing, email, pictures, and even video calls, however you cannot watch movies, and the charging port goes bad and it makes it difficult to charge.</x:v>
      </x:c>
      <x:c r="J351" s="101" t="n">
        <x:v>2</x:v>
      </x:c>
      <x:c r="K351" s="92" t="str">
        <x:v>Human_Reviewer_01</x:v>
      </x:c>
      <x:c r="L351" s="92" t="str">
        <x:v>High</x:v>
      </x:c>
      <x:c r="M351" s="93" t="str">
        <x:v>Tablet supports web browsing and video calls, with movie and charging-port limitations.</x:v>
      </x:c>
      <x:c r="N351" s="94"/>
      <x:c r="O351" s="94"/>
      <x:c r="P351" s="94"/>
      <x:c r="Q351" s="95"/>
      <x:c r="R351" s="96"/>
      <x:c r="S351" s="96"/>
      <x:c r="T351" s="97"/>
      <x:c r="U351" s="98" t="str">
        <x:f>IF(OR(J351="",N351=""),"",IF(J351=N351,"No","Yes"))</x:f>
      </x:c>
      <x:c r="V351" s="98" t="n">
        <x:v>2</x:v>
      </x:c>
    </x:row>
    <x:row r="352" ht="54" hidden="0" customHeight="1">
      <x:c r="A352" s="38" t="str">
        <x:v>Q009::B08GQ8NC56_review_3993947</x:v>
      </x:c>
      <x:c r="B352" s="38" t="str">
        <x:v>Q009</x:v>
      </x:c>
      <x:c r="C352" s="91" t="str">
        <x:v>Which tablet is easy to use for reading, video calls, and web browsing?</x:v>
      </x:c>
      <x:c r="D352" s="38" t="n">
        <x:v>37</x:v>
      </x:c>
      <x:c r="E352" s="38" t="str">
        <x:v>B08GQ8NC56</x:v>
      </x:c>
      <x:c r="F352" s="38" t="str">
        <x:v>review</x:v>
      </x:c>
      <x:c r="G352" s="38" t="str">
        <x:v>ease of use</x:v>
      </x:c>
      <x:c r="H352" s="38" t="str">
        <x:v>Camera &amp; Photo</x:v>
      </x:c>
      <x:c r="I352" s="91" t="str">
        <x:v>[Product: Burxoe Webcam with Microphone, 1080P HD Streaming Web Camera for Computer Desktop Laptop, USB PC Camera 110-Degree Wide Angle with Mic Privacy Cover Tripod for Conference, Video Calling, Study. | ASIN: B08GQ8NC56] It is very easy to use and very easy to move around. It is very easy to install.</x:v>
      </x:c>
      <x:c r="J352" s="101" t="n">
        <x:v>0</x:v>
      </x:c>
      <x:c r="K352" s="92" t="str">
        <x:v>Human_Reviewer_01</x:v>
      </x:c>
      <x:c r="L352" s="92" t="str">
        <x:v>High</x:v>
      </x:c>
      <x:c r="M352" s="93" t="str">
        <x:v>This is a webcam, not a tablet.</x:v>
      </x:c>
      <x:c r="N352" s="94"/>
      <x:c r="O352" s="94"/>
      <x:c r="P352" s="94"/>
      <x:c r="Q352" s="95"/>
      <x:c r="R352" s="96"/>
      <x:c r="S352" s="96"/>
      <x:c r="T352" s="97"/>
      <x:c r="U352" s="98" t="str">
        <x:f>IF(OR(J352="",N352=""),"",IF(J352=N352,"No","Yes"))</x:f>
      </x:c>
      <x:c r="V352" s="98" t="n">
        <x:v>0</x:v>
      </x:c>
    </x:row>
    <x:row r="353" ht="54" hidden="0" customHeight="1">
      <x:c r="A353" s="38" t="str">
        <x:v>Q009::B0089SZ8PM_review_4097738</x:v>
      </x:c>
      <x:c r="B353" s="38" t="str">
        <x:v>Q009</x:v>
      </x:c>
      <x:c r="C353" s="91" t="str">
        <x:v>Which tablet is easy to use for reading, video calls, and web browsing?</x:v>
      </x:c>
      <x:c r="D353" s="38" t="n">
        <x:v>38</x:v>
      </x:c>
      <x:c r="E353" s="38" t="str">
        <x:v>B0089SZ8PM</x:v>
      </x:c>
      <x:c r="F353" s="38" t="str">
        <x:v>review</x:v>
      </x:c>
      <x:c r="G353" s="38" t="str">
        <x:v>screen/display</x:v>
      </x:c>
      <x:c r="H353" s="38" t="str">
        <x:v>Computers</x:v>
      </x:c>
      <x:c r="I353" s="91" t="str">
        <x:v>[Product: Lenovo Idea Tablet S2109 9.7-Inch 16 GB Tablet (Black) | ASIN: B0089SZ8PM] /&gt;The Nexus is fine for email and reading, but I find that the larger IdeaTab 9.7" screen to be much more enjoyable for general web browsing.&lt;br /&gt;&lt;br /&gt;The</x:v>
      </x:c>
      <x:c r="J353" s="101" t="n">
        <x:v>2</x:v>
      </x:c>
      <x:c r="K353" s="92" t="str">
        <x:v>Human_Reviewer_01</x:v>
      </x:c>
      <x:c r="L353" s="92" t="str">
        <x:v>High</x:v>
      </x:c>
      <x:c r="M353" s="93" t="str">
        <x:v>Tablet's larger screen improves general web browsing in a model-specific comparison.</x:v>
      </x:c>
      <x:c r="N353" s="94"/>
      <x:c r="O353" s="94"/>
      <x:c r="P353" s="94"/>
      <x:c r="Q353" s="95"/>
      <x:c r="R353" s="96"/>
      <x:c r="S353" s="96"/>
      <x:c r="T353" s="97"/>
      <x:c r="U353" s="98" t="str">
        <x:f>IF(OR(J353="",N353=""),"",IF(J353=N353,"No","Yes"))</x:f>
      </x:c>
      <x:c r="V353" s="98" t="n">
        <x:v>2</x:v>
      </x:c>
    </x:row>
    <x:row r="354" ht="54" hidden="0" customHeight="1">
      <x:c r="A354" s="38" t="str">
        <x:v>Q009::B004U9USEA_review_865188</x:v>
      </x:c>
      <x:c r="B354" s="38" t="str">
        <x:v>Q009</x:v>
      </x:c>
      <x:c r="C354" s="91" t="str">
        <x:v>Which tablet is easy to use for reading, video calls, and web browsing?</x:v>
      </x:c>
      <x:c r="D354" s="38" t="n">
        <x:v>39</x:v>
      </x:c>
      <x:c r="E354" s="38" t="str">
        <x:v>B004U9USEA</x:v>
      </x:c>
      <x:c r="F354" s="38" t="str">
        <x:v>review</x:v>
      </x:c>
      <x:c r="G354" s="38" t="str">
        <x:v>connectivity</x:v>
      </x:c>
      <x:c r="H354" s="38" t="str">
        <x:v>Computers</x:v>
      </x:c>
      <x:c r="I354" s="91" t="str">
        <x:v>[Product: Samsung Galaxy Tab (7-inch, 16GB, Wi-Fi) | ASIN: B004U9USEA] My personal choice is still to use my kindle as it still seems lighter but the point, yes there is one, is that you can read any book on this tablet as if you had your paperback with you, minus the destruction of zillions..and yes..zillions is a word-of trees.&lt;br /&gt;&lt;br /&gt;I synced all my photos, music and videos from my computer onto the tablet via usb. Using bluetooth would be easier if explained better.&lt;br /&gt;&lt;br /&gt;Viewing utube, movies and clips online from any site is near-perfect. You have a great portable, lightweight computer, WIFI system,ebook reader, music and radio player, camera and recorder plus a long lasting battery.</x:v>
      </x:c>
      <x:c r="J354" s="101" t="n">
        <x:v>2</x:v>
      </x:c>
      <x:c r="K354" s="92" t="str">
        <x:v>Human_Reviewer_01</x:v>
      </x:c>
      <x:c r="L354" s="92" t="str">
        <x:v>High</x:v>
      </x:c>
      <x:c r="M354" s="93" t="str">
        <x:v>Tablet supports book reading and online video, with setup and transfer usability details.</x:v>
      </x:c>
      <x:c r="N354" s="94"/>
      <x:c r="O354" s="94"/>
      <x:c r="P354" s="94"/>
      <x:c r="Q354" s="95"/>
      <x:c r="R354" s="96"/>
      <x:c r="S354" s="96"/>
      <x:c r="T354" s="97"/>
      <x:c r="U354" s="98" t="str">
        <x:f>IF(OR(J354="",N354=""),"",IF(J354=N354,"No","Yes"))</x:f>
      </x:c>
      <x:c r="V354" s="98" t="n">
        <x:v>2</x:v>
      </x:c>
    </x:row>
    <x:row r="355" ht="54" hidden="0" customHeight="1">
      <x:c r="A355" s="38" t="str">
        <x:v>Q010::B072JD1N12_review_4017943</x:v>
      </x:c>
      <x:c r="B355" s="38" t="str">
        <x:v>Q010</x:v>
      </x:c>
      <x:c r="C355" s="91" t="str">
        <x:v>Find a protective tablet case that is durable but not bulky.</x:v>
      </x:c>
      <x:c r="D355" s="38" t="n">
        <x:v>1</x:v>
      </x:c>
      <x:c r="E355" s="38" t="str">
        <x:v>B072JD1N12</x:v>
      </x:c>
      <x:c r="F355" s="38" t="str">
        <x:v>review</x:v>
      </x:c>
      <x:c r="G355" s="38" t="str">
        <x:v>build quality</x:v>
      </x:c>
      <x:c r="H355" s="38" t="str">
        <x:v>Computers</x:v>
      </x:c>
      <x:c r="I355" s="91" t="str">
        <x:v>[Product: YHB for 9.7-inch iPad Air 2th Case (A1566,A1567, 2014 Release), Premium PU Leather Slim Folio Stand Shell Multiple Viewing Angles Full Body Protective Cover, Bald Eagle American Flag | ASIN: B072JD1N12] It appears to be durable but not too bulky.</x:v>
      </x:c>
      <x:c r="J355" s="101" t="n">
        <x:v>2</x:v>
      </x:c>
      <x:c r="K355" s="92" t="str">
        <x:v>Human_Reviewer_01</x:v>
      </x:c>
      <x:c r="L355" s="92" t="str">
        <x:v>Medium</x:v>
      </x:c>
      <x:c r="M355" s="93" t="str">
        <x:v>Tablet case appears durable and not bulky; durability is an impression rather than a long-term test.</x:v>
      </x:c>
      <x:c r="N355" s="94"/>
      <x:c r="O355" s="94"/>
      <x:c r="P355" s="94"/>
      <x:c r="Q355" s="95"/>
      <x:c r="R355" s="96"/>
      <x:c r="S355" s="96"/>
      <x:c r="T355" s="97"/>
      <x:c r="U355" s="98" t="str">
        <x:f>IF(OR(J355="",N355=""),"",IF(J355=N355,"No","Yes"))</x:f>
      </x:c>
      <x:c r="V355" s="98" t="n">
        <x:v>2</x:v>
      </x:c>
    </x:row>
    <x:row r="356" ht="54" hidden="0" customHeight="1">
      <x:c r="A356" s="38" t="str">
        <x:v>Q010::B01BUHLOL0_review_1282964</x:v>
      </x:c>
      <x:c r="B356" s="38" t="str">
        <x:v>Q010</x:v>
      </x:c>
      <x:c r="C356" s="91" t="str">
        <x:v>Find a protective tablet case that is durable but not bulky.</x:v>
      </x:c>
      <x:c r="D356" s="38" t="n">
        <x:v>2</x:v>
      </x:c>
      <x:c r="E356" s="38" t="str">
        <x:v>B01BUHLOL0</x:v>
      </x:c>
      <x:c r="F356" s="38" t="str">
        <x:v>review</x:v>
      </x:c>
      <x:c r="G356" s="38" t="str">
        <x:v>design/appearance</x:v>
      </x:c>
      <x:c r="H356" s="38" t="str">
        <x:v>Computers</x:v>
      </x:c>
      <x:c r="I356" s="91" t="str">
        <x:v>[Product: Incase CL60684 Slim Sleeve Durable 300D Heathered Weave Ecoya Eco-Dyed Poly Case for MacBook Pro Retina 13in - Heather Black | ASIN: B01BUHLOL0] But that being said this uses closed-cell foam and will be very protective without being bulky.</x:v>
      </x:c>
      <x:c r="J356" s="101" t="n">
        <x:v>0</x:v>
      </x:c>
      <x:c r="K356" s="92" t="str">
        <x:v>Human_Reviewer_01</x:v>
      </x:c>
      <x:c r="L356" s="92" t="str">
        <x:v>High</x:v>
      </x:c>
      <x:c r="M356" s="93" t="str">
        <x:v>This is a MacBook sleeve, not a tablet case.</x:v>
      </x:c>
      <x:c r="N356" s="94"/>
      <x:c r="O356" s="94"/>
      <x:c r="P356" s="94"/>
      <x:c r="Q356" s="95"/>
      <x:c r="R356" s="96"/>
      <x:c r="S356" s="96"/>
      <x:c r="T356" s="97"/>
      <x:c r="U356" s="98" t="str">
        <x:f>IF(OR(J356="",N356=""),"",IF(J356=N356,"No","Yes"))</x:f>
      </x:c>
      <x:c r="V356" s="98" t="n">
        <x:v>0</x:v>
      </x:c>
    </x:row>
    <x:row r="357" ht="54" hidden="0" customHeight="1">
      <x:c r="A357" s="38" t="str">
        <x:v>Q010::B09GJVWDYP_review_2522118</x:v>
      </x:c>
      <x:c r="B357" s="38" t="str">
        <x:v>Q010</x:v>
      </x:c>
      <x:c r="C357" s="91" t="str">
        <x:v>Find a protective tablet case that is durable but not bulky.</x:v>
      </x:c>
      <x:c r="D357" s="38" t="n">
        <x:v>3</x:v>
      </x:c>
      <x:c r="E357" s="38" t="str">
        <x:v>B09GJVWDYP</x:v>
      </x:c>
      <x:c r="F357" s="38" t="str">
        <x:v>review</x:v>
      </x:c>
      <x:c r="G357" s="38" t="str">
        <x:v>price/value</x:v>
      </x:c>
      <x:c r="H357" s="38" t="str">
        <x:v>Cell Phones &amp; Accessories</x:v>
      </x:c>
      <x:c r="I357" s="91" t="str">
        <x:v>[Product: Tablet Protective Case for Moderness 10.1 Inch Android Tablet 2021 Release, Black | ASIN: B09GJVWDYP] What I expected for the price, sturdy but not what I consider a heavy-duty case.</x:v>
      </x:c>
      <x:c r="J357" s="101" t="n">
        <x:v>2</x:v>
      </x:c>
      <x:c r="K357" s="92" t="str">
        <x:v>Human_Reviewer_01</x:v>
      </x:c>
      <x:c r="L357" s="92" t="str">
        <x:v>High</x:v>
      </x:c>
      <x:c r="M357" s="93" t="str">
        <x:v>Tablet case is sturdy but not heavy-duty; bulk is untested.</x:v>
      </x:c>
      <x:c r="N357" s="94"/>
      <x:c r="O357" s="94"/>
      <x:c r="P357" s="94"/>
      <x:c r="Q357" s="95"/>
      <x:c r="R357" s="96"/>
      <x:c r="S357" s="96"/>
      <x:c r="T357" s="97"/>
      <x:c r="U357" s="98" t="str">
        <x:f>IF(OR(J357="",N357=""),"",IF(J357=N357,"No","Yes"))</x:f>
      </x:c>
      <x:c r="V357" s="98" t="n">
        <x:v>2</x:v>
      </x:c>
    </x:row>
    <x:row r="358" ht="54" hidden="0" customHeight="1">
      <x:c r="A358" s="38" t="str">
        <x:v>Q010::B0080NLCP6_review_4057224</x:v>
      </x:c>
      <x:c r="B358" s="38" t="str">
        <x:v>Q010</x:v>
      </x:c>
      <x:c r="C358" s="91" t="str">
        <x:v>Find a protective tablet case that is durable but not bulky.</x:v>
      </x:c>
      <x:c r="D358" s="38" t="n">
        <x:v>4</x:v>
      </x:c>
      <x:c r="E358" s="38" t="str">
        <x:v>B0080NLCP6</x:v>
      </x:c>
      <x:c r="F358" s="38" t="str">
        <x:v>review</x:v>
      </x:c>
      <x:c r="G358" s="38" t="str">
        <x:v>build quality</x:v>
      </x:c>
      <x:c r="H358" s="38" t="str">
        <x:v>Cell Phones &amp; Accessories</x:v>
      </x:c>
      <x:c r="I358" s="91" t="str">
        <x:v>[Product: Speck Products Fitfolio Case for Nook Tablet (SPK-A1131) | ASIN: B0080NLCP6] The cover is durable and protects without being too bulky.</x:v>
      </x:c>
      <x:c r="J358" s="101" t="n">
        <x:v>2</x:v>
      </x:c>
      <x:c r="K358" s="92" t="str">
        <x:v>Human_Reviewer_01</x:v>
      </x:c>
      <x:c r="L358" s="92" t="str">
        <x:v>High</x:v>
      </x:c>
      <x:c r="M358" s="93" t="str">
        <x:v>Tablet cover is durable and protective without excess bulk.</x:v>
      </x:c>
      <x:c r="N358" s="94"/>
      <x:c r="O358" s="94"/>
      <x:c r="P358" s="94"/>
      <x:c r="Q358" s="95"/>
      <x:c r="R358" s="96"/>
      <x:c r="S358" s="96"/>
      <x:c r="T358" s="97"/>
      <x:c r="U358" s="98" t="str">
        <x:f>IF(OR(J358="",N358=""),"",IF(J358=N358,"No","Yes"))</x:f>
      </x:c>
      <x:c r="V358" s="98" t="n">
        <x:v>2</x:v>
      </x:c>
    </x:row>
    <x:row r="359" ht="54" hidden="0" customHeight="1">
      <x:c r="A359" s="38" t="str">
        <x:v>Q010::B007N9ENCW_review_3357004</x:v>
      </x:c>
      <x:c r="B359" s="38" t="str">
        <x:v>Q010</x:v>
      </x:c>
      <x:c r="C359" s="91" t="str">
        <x:v>Find a protective tablet case that is durable but not bulky.</x:v>
      </x:c>
      <x:c r="D359" s="38" t="n">
        <x:v>5</x:v>
      </x:c>
      <x:c r="E359" s="38" t="str">
        <x:v>B007N9ENCW</x:v>
      </x:c>
      <x:c r="F359" s="38" t="str">
        <x:v>review</x:v>
      </x:c>
      <x:c r="G359" s="38" t="str">
        <x:v>build quality</x:v>
      </x:c>
      <x:c r="H359" s="38" t="str">
        <x:v>Computers</x:v>
      </x:c>
      <x:c r="I359" s="91" t="str">
        <x:v>[Product: Acer Iconia 10-Inch Tablet Foldable Protective Portfolio Case | ASIN: B007N9ENCW] It serves the purpose but is a little flimsy for any extra protection against dropping.</x:v>
      </x:c>
      <x:c r="J359" s="101" t="n">
        <x:v>2</x:v>
      </x:c>
      <x:c r="K359" s="92" t="str">
        <x:v>Human_Reviewer_01</x:v>
      </x:c>
      <x:c r="L359" s="92" t="str">
        <x:v>High</x:v>
      </x:c>
      <x:c r="M359" s="93" t="str">
        <x:v>Tablet case is too flimsy for extra drop protection; useful negative evidence.</x:v>
      </x:c>
      <x:c r="N359" s="94"/>
      <x:c r="O359" s="94"/>
      <x:c r="P359" s="94"/>
      <x:c r="Q359" s="95"/>
      <x:c r="R359" s="96"/>
      <x:c r="S359" s="96"/>
      <x:c r="T359" s="97"/>
      <x:c r="U359" s="98" t="str">
        <x:f>IF(OR(J359="",N359=""),"",IF(J359=N359,"No","Yes"))</x:f>
      </x:c>
      <x:c r="V359" s="98" t="n">
        <x:v>2</x:v>
      </x:c>
    </x:row>
    <x:row r="360" ht="54" hidden="0" customHeight="1">
      <x:c r="A360" s="38" t="str">
        <x:v>Q010::B09JFZ2PZJ_review_2780948</x:v>
      </x:c>
      <x:c r="B360" s="38" t="str">
        <x:v>Q010</x:v>
      </x:c>
      <x:c r="C360" s="91" t="str">
        <x:v>Find a protective tablet case that is durable but not bulky.</x:v>
      </x:c>
      <x:c r="D360" s="38" t="n">
        <x:v>6</x:v>
      </x:c>
      <x:c r="E360" s="38" t="str">
        <x:v>B09JFZ2PZJ</x:v>
      </x:c>
      <x:c r="F360" s="38" t="str">
        <x:v>review</x:v>
      </x:c>
      <x:c r="G360" s="38" t="str">
        <x:v>design/appearance</x:v>
      </x:c>
      <x:c r="H360" s="38" t="str">
        <x:v>Cell Phones &amp; Accessories</x:v>
      </x:c>
      <x:c r="I360" s="91" t="str">
        <x:v>[Product: TOOTON Tablet Case for 10.1 inch, Full Protective Tablet Case, Anti-Slip Anti-Collision Leather Case with Stand, Compatible with TOOTON 10.1 Inch Tablet TT-10, Ultra Thin Lightweight | ASIN: B09JFZ2PZJ] A nice sleek case that fit the tablet well. It was not bulky.</x:v>
      </x:c>
      <x:c r="J360" s="101" t="n">
        <x:v>2</x:v>
      </x:c>
      <x:c r="K360" s="92" t="str">
        <x:v>Human_Reviewer_01</x:v>
      </x:c>
      <x:c r="L360" s="92" t="str">
        <x:v>High</x:v>
      </x:c>
      <x:c r="M360" s="93" t="str">
        <x:v>Tablet case fits well and is explicitly not bulky.</x:v>
      </x:c>
      <x:c r="N360" s="94"/>
      <x:c r="O360" s="94"/>
      <x:c r="P360" s="94"/>
      <x:c r="Q360" s="95"/>
      <x:c r="R360" s="96"/>
      <x:c r="S360" s="96"/>
      <x:c r="T360" s="97"/>
      <x:c r="U360" s="98" t="str">
        <x:f>IF(OR(J360="",N360=""),"",IF(J360=N360,"No","Yes"))</x:f>
      </x:c>
      <x:c r="V360" s="98" t="n">
        <x:v>2</x:v>
      </x:c>
    </x:row>
    <x:row r="361" ht="54" hidden="0" customHeight="1">
      <x:c r="A361" s="38" t="str">
        <x:v>Q010::B094Q22CSW_review_2627598</x:v>
      </x:c>
      <x:c r="B361" s="38" t="str">
        <x:v>Q010</x:v>
      </x:c>
      <x:c r="C361" s="91" t="str">
        <x:v>Find a protective tablet case that is durable but not bulky.</x:v>
      </x:c>
      <x:c r="D361" s="38" t="n">
        <x:v>7</x:v>
      </x:c>
      <x:c r="E361" s="38" t="str">
        <x:v>B094Q22CSW</x:v>
      </x:c>
      <x:c r="F361" s="38" t="str">
        <x:v>review</x:v>
      </x:c>
      <x:c r="G361" s="38" t="str">
        <x:v>design/appearance</x:v>
      </x:c>
      <x:c r="H361" s="38" t="str">
        <x:v>Cell Phones &amp; Accessories</x:v>
      </x:c>
      <x:c r="I361" s="91" t="str">
        <x:v>[Product: 2Can Smarty Case for Apple TV 4K Remote 5th, 4th Gen, Smart Case with Tracker for Apple TV 4k, Find Your Lost Apple TV Remote with 2Can Smarty Silicone Case, Shock Absorption, Protective Case (Black) | ASIN: B094Q22CSW] It makes the remote easier to hold but not too bulky.</x:v>
      </x:c>
      <x:c r="J361" s="101" t="n">
        <x:v>0</x:v>
      </x:c>
      <x:c r="K361" s="92" t="str">
        <x:v>Human_Reviewer_01</x:v>
      </x:c>
      <x:c r="L361" s="92" t="str">
        <x:v>High</x:v>
      </x:c>
      <x:c r="M361" s="93" t="str">
        <x:v>This is a television-remote case, not a tablet case.</x:v>
      </x:c>
      <x:c r="N361" s="94"/>
      <x:c r="O361" s="94"/>
      <x:c r="P361" s="94"/>
      <x:c r="Q361" s="95"/>
      <x:c r="R361" s="96"/>
      <x:c r="S361" s="96"/>
      <x:c r="T361" s="97"/>
      <x:c r="U361" s="98" t="str">
        <x:f>IF(OR(J361="",N361=""),"",IF(J361=N361,"No","Yes"))</x:f>
      </x:c>
      <x:c r="V361" s="98" t="n">
        <x:v>0</x:v>
      </x:c>
    </x:row>
    <x:row r="362" ht="54" hidden="0" customHeight="1">
      <x:c r="A362" s="38" t="str">
        <x:v>Q010::B003SE6I7O_review_3769299</x:v>
      </x:c>
      <x:c r="B362" s="38" t="str">
        <x:v>Q010</x:v>
      </x:c>
      <x:c r="C362" s="91" t="str">
        <x:v>Find a protective tablet case that is durable but not bulky.</x:v>
      </x:c>
      <x:c r="D362" s="38" t="n">
        <x:v>8</x:v>
      </x:c>
      <x:c r="E362" s="38" t="str">
        <x:v>B003SE6I7O</x:v>
      </x:c>
      <x:c r="F362" s="38" t="str">
        <x:v>review</x:v>
      </x:c>
      <x:c r="G362" s="38" t="str">
        <x:v>build quality</x:v>
      </x:c>
      <x:c r="H362" s="38" t="str">
        <x:v>Computers</x:v>
      </x:c>
      <x:c r="I362" s="91" t="str">
        <x:v>[Product: Archos 501538 Protective Case for Archos 7 Home Tablet - Black | ASIN: B003SE6I7O] The case itself is sturdy, without being too bulky.</x:v>
      </x:c>
      <x:c r="J362" s="101" t="n">
        <x:v>2</x:v>
      </x:c>
      <x:c r="K362" s="92" t="str">
        <x:v>Human_Reviewer_01</x:v>
      </x:c>
      <x:c r="L362" s="92" t="str">
        <x:v>High</x:v>
      </x:c>
      <x:c r="M362" s="93" t="str">
        <x:v>Tablet case is sturdy without excess bulk.</x:v>
      </x:c>
      <x:c r="N362" s="94"/>
      <x:c r="O362" s="94"/>
      <x:c r="P362" s="94"/>
      <x:c r="Q362" s="95"/>
      <x:c r="R362" s="96"/>
      <x:c r="S362" s="96"/>
      <x:c r="T362" s="97"/>
      <x:c r="U362" s="98" t="str">
        <x:f>IF(OR(J362="",N362=""),"",IF(J362=N362,"No","Yes"))</x:f>
      </x:c>
      <x:c r="V362" s="98" t="n">
        <x:v>2</x:v>
      </x:c>
    </x:row>
    <x:row r="363" ht="54" hidden="0" customHeight="1">
      <x:c r="A363" s="38" t="str">
        <x:v>Q010::B00CPRRDGK_review_2499537</x:v>
      </x:c>
      <x:c r="B363" s="38" t="str">
        <x:v>Q010</x:v>
      </x:c>
      <x:c r="C363" s="91" t="str">
        <x:v>Find a protective tablet case that is durable but not bulky.</x:v>
      </x:c>
      <x:c r="D363" s="38" t="n">
        <x:v>9</x:v>
      </x:c>
      <x:c r="E363" s="38" t="str">
        <x:v>B00CPRRDGK</x:v>
      </x:c>
      <x:c r="F363" s="38" t="str">
        <x:v>review</x:v>
      </x:c>
      <x:c r="G363" s="38" t="str">
        <x:v>general</x:v>
      </x:c>
      <x:c r="H363" s="38" t="str">
        <x:v>Computers</x:v>
      </x:c>
      <x:c r="I363" s="91" t="str">
        <x:v>[Product: Semi Rugged Drop Proof Case for Lenovo Ideatab A2107 A | ASIN: B00CPRRDGK] rugged case wish i could say the same for the tablet,did not get a year out of it crashed and never restarted</x:v>
      </x:c>
      <x:c r="J363" s="101" t="n">
        <x:v>2</x:v>
      </x:c>
      <x:c r="K363" s="92" t="str">
        <x:v>Human_Reviewer_01</x:v>
      </x:c>
      <x:c r="L363" s="92" t="str">
        <x:v>High</x:v>
      </x:c>
      <x:c r="M363" s="93" t="str">
        <x:v>Case is explicitly rugged; the tablet failure is a separate observation.</x:v>
      </x:c>
      <x:c r="N363" s="94"/>
      <x:c r="O363" s="94"/>
      <x:c r="P363" s="94"/>
      <x:c r="Q363" s="95"/>
      <x:c r="R363" s="96"/>
      <x:c r="S363" s="96"/>
      <x:c r="T363" s="97"/>
      <x:c r="U363" s="98" t="str">
        <x:f>IF(OR(J363="",N363=""),"",IF(J363=N363,"No","Yes"))</x:f>
      </x:c>
      <x:c r="V363" s="98" t="n">
        <x:v>2</x:v>
      </x:c>
    </x:row>
    <x:row r="364" ht="54" hidden="0" customHeight="1">
      <x:c r="A364" s="38" t="str">
        <x:v>Q010::B08P74ZXB6_review_156242</x:v>
      </x:c>
      <x:c r="B364" s="38" t="str">
        <x:v>Q010</x:v>
      </x:c>
      <x:c r="C364" s="91" t="str">
        <x:v>Find a protective tablet case that is durable but not bulky.</x:v>
      </x:c>
      <x:c r="D364" s="38" t="n">
        <x:v>10</x:v>
      </x:c>
      <x:c r="E364" s="38" t="str">
        <x:v>B08P74ZXB6</x:v>
      </x:c>
      <x:c r="F364" s="38" t="str">
        <x:v>review</x:v>
      </x:c>
      <x:c r="G364" s="38" t="str">
        <x:v>design/appearance</x:v>
      </x:c>
      <x:c r="H364" s="38" t="str">
        <x:v>Computers</x:v>
      </x:c>
      <x:c r="I364" s="91" t="str">
        <x:v>[Product: BENTOBEN Samsung Galaxy Tab A 10.1 Case 2019, Heavy Duty Rugged 3 Layers Hybrid Shockproof Kickstand Durable Protective Tablet Cover for Samsung Galaxy Tab A 10.1 inch 2019 SM-T510/T515/T517, Black | ASIN: B08P74ZXB6] I like the way the case looks on the tablet, very sturdy but not overly bulky.</x:v>
      </x:c>
      <x:c r="J364" s="101" t="n">
        <x:v>2</x:v>
      </x:c>
      <x:c r="K364" s="92" t="str">
        <x:v>Human_Reviewer_01</x:v>
      </x:c>
      <x:c r="L364" s="92" t="str">
        <x:v>High</x:v>
      </x:c>
      <x:c r="M364" s="93" t="str">
        <x:v>Tablet case is sturdy without excessive bulk.</x:v>
      </x:c>
      <x:c r="N364" s="94"/>
      <x:c r="O364" s="94"/>
      <x:c r="P364" s="94"/>
      <x:c r="Q364" s="95"/>
      <x:c r="R364" s="96"/>
      <x:c r="S364" s="96"/>
      <x:c r="T364" s="97"/>
      <x:c r="U364" s="98" t="str">
        <x:f>IF(OR(J364="",N364=""),"",IF(J364=N364,"No","Yes"))</x:f>
      </x:c>
      <x:c r="V364" s="98" t="n">
        <x:v>2</x:v>
      </x:c>
    </x:row>
    <x:row r="365" ht="54" hidden="0" customHeight="1">
      <x:c r="A365" s="38" t="str">
        <x:v>Q010::B007N9ENCW_review_3357005</x:v>
      </x:c>
      <x:c r="B365" s="38" t="str">
        <x:v>Q010</x:v>
      </x:c>
      <x:c r="C365" s="91" t="str">
        <x:v>Find a protective tablet case that is durable but not bulky.</x:v>
      </x:c>
      <x:c r="D365" s="38" t="n">
        <x:v>11</x:v>
      </x:c>
      <x:c r="E365" s="38" t="str">
        <x:v>B007N9ENCW</x:v>
      </x:c>
      <x:c r="F365" s="38" t="str">
        <x:v>review</x:v>
      </x:c>
      <x:c r="G365" s="38" t="str">
        <x:v>general</x:v>
      </x:c>
      <x:c r="H365" s="38" t="str">
        <x:v>Computers</x:v>
      </x:c>
      <x:c r="I365" s="91" t="str">
        <x:v>[Product: Acer Iconia 10-Inch Tablet Foldable Protective Portfolio Case | ASIN: B007N9ENCW] It will protect against scratches.</x:v>
      </x:c>
      <x:c r="J365" s="101" t="n">
        <x:v>2</x:v>
      </x:c>
      <x:c r="K365" s="92" t="str">
        <x:v>Human_Reviewer_01</x:v>
      </x:c>
      <x:c r="L365" s="92" t="str">
        <x:v>High</x:v>
      </x:c>
      <x:c r="M365" s="93" t="str">
        <x:v>Tablet case explicitly protects against scratches, one central protection need.</x:v>
      </x:c>
      <x:c r="N365" s="94"/>
      <x:c r="O365" s="94"/>
      <x:c r="P365" s="94"/>
      <x:c r="Q365" s="95"/>
      <x:c r="R365" s="96"/>
      <x:c r="S365" s="96"/>
      <x:c r="T365" s="97"/>
      <x:c r="U365" s="98" t="str">
        <x:f>IF(OR(J365="",N365=""),"",IF(J365=N365,"No","Yes"))</x:f>
      </x:c>
      <x:c r="V365" s="98" t="n">
        <x:v>2</x:v>
      </x:c>
    </x:row>
    <x:row r="366" ht="54" hidden="0" customHeight="1">
      <x:c r="A366" s="38" t="str">
        <x:v>Q010::B007N9FIL2_review_396396</x:v>
      </x:c>
      <x:c r="B366" s="38" t="str">
        <x:v>Q010</x:v>
      </x:c>
      <x:c r="C366" s="91" t="str">
        <x:v>Find a protective tablet case that is durable but not bulky.</x:v>
      </x:c>
      <x:c r="D366" s="38" t="n">
        <x:v>12</x:v>
      </x:c>
      <x:c r="E366" s="38" t="str">
        <x:v>B007N9FIL2</x:v>
      </x:c>
      <x:c r="F366" s="38" t="str">
        <x:v>review</x:v>
      </x:c>
      <x:c r="G366" s="38" t="str">
        <x:v>general</x:v>
      </x:c>
      <x:c r="H366" s="38" t="str">
        <x:v>Computers</x:v>
      </x:c>
      <x:c r="I366" s="91" t="str">
        <x:v>[Product: Toshiba Portfolio Duo Case for Tablet (PA1511U-1TPD) | ASIN: B007N9FIL2] It cusions and protects without adding much bulk or weight.</x:v>
      </x:c>
      <x:c r="J366" s="101" t="n">
        <x:v>2</x:v>
      </x:c>
      <x:c r="K366" s="92" t="str">
        <x:v>Human_Reviewer_01</x:v>
      </x:c>
      <x:c r="L366" s="92" t="str">
        <x:v>High</x:v>
      </x:c>
      <x:c r="M366" s="93" t="str">
        <x:v>Tablet case cushions and protects without much added bulk or weight.</x:v>
      </x:c>
      <x:c r="N366" s="94"/>
      <x:c r="O366" s="94"/>
      <x:c r="P366" s="94"/>
      <x:c r="Q366" s="95"/>
      <x:c r="R366" s="96"/>
      <x:c r="S366" s="96"/>
      <x:c r="T366" s="97"/>
      <x:c r="U366" s="98" t="str">
        <x:f>IF(OR(J366="",N366=""),"",IF(J366=N366,"No","Yes"))</x:f>
      </x:c>
      <x:c r="V366" s="98" t="n">
        <x:v>2</x:v>
      </x:c>
    </x:row>
    <x:row r="367" ht="54" hidden="0" customHeight="1">
      <x:c r="A367" s="38" t="str">
        <x:v>Q010::B076JL51GL_review_1867853</x:v>
      </x:c>
      <x:c r="B367" s="38" t="str">
        <x:v>Q010</x:v>
      </x:c>
      <x:c r="C367" s="91" t="str">
        <x:v>Find a protective tablet case that is durable but not bulky.</x:v>
      </x:c>
      <x:c r="D367" s="38" t="n">
        <x:v>13</x:v>
      </x:c>
      <x:c r="E367" s="38" t="str">
        <x:v>B076JL51GL</x:v>
      </x:c>
      <x:c r="F367" s="38" t="str">
        <x:v>review</x:v>
      </x:c>
      <x:c r="G367" s="38" t="str">
        <x:v>price/value</x:v>
      </x:c>
      <x:c r="H367" s="38" t="str">
        <x:v>Computers</x:v>
      </x:c>
      <x:c r="I367" s="91" t="str">
        <x:v>[Product: URBAN ARMOR GEAR [UAG] Rugged Exoskeleton Universal Android Tablet Case [White] with Stand and Pen Holder for 9 &amp; 10-inch Tablets Including Galaxy Tab S3, Tab S2, Tab A, Tab E &amp; More | ASIN: B076JL51GL] /&gt;If it had come with a protective cover to hold against the front of the tablet it would have some value, but it does not. But my Supcase is less expensive and actually protects my tablet.&lt;br /&gt;&lt;br</x:v>
      </x:c>
      <x:c r="J367" s="101" t="n">
        <x:v>2</x:v>
      </x:c>
      <x:c r="K367" s="92" t="str">
        <x:v>Human_Reviewer_01</x:v>
      </x:c>
      <x:c r="L367" s="92" t="str">
        <x:v>High</x:v>
      </x:c>
      <x:c r="M367" s="93" t="str">
        <x:v>Tablet case lacks front protection; comparison indicates a protection limitation.</x:v>
      </x:c>
      <x:c r="N367" s="94"/>
      <x:c r="O367" s="94"/>
      <x:c r="P367" s="94"/>
      <x:c r="Q367" s="95"/>
      <x:c r="R367" s="96"/>
      <x:c r="S367" s="96"/>
      <x:c r="T367" s="97"/>
      <x:c r="U367" s="98" t="str">
        <x:f>IF(OR(J367="",N367=""),"",IF(J367=N367,"No","Yes"))</x:f>
      </x:c>
      <x:c r="V367" s="98" t="n">
        <x:v>2</x:v>
      </x:c>
    </x:row>
    <x:row r="368" ht="54" hidden="0" customHeight="1">
      <x:c r="A368" s="38" t="str">
        <x:v>Q010::B07V2MBKPR_review_507361</x:v>
      </x:c>
      <x:c r="B368" s="38" t="str">
        <x:v>Q010</x:v>
      </x:c>
      <x:c r="C368" s="91" t="str">
        <x:v>Find a protective tablet case that is durable but not bulky.</x:v>
      </x:c>
      <x:c r="D368" s="38" t="n">
        <x:v>14</x:v>
      </x:c>
      <x:c r="E368" s="38" t="str">
        <x:v>B07V2MBKPR</x:v>
      </x:c>
      <x:c r="F368" s="38" t="str">
        <x:v>review</x:v>
      </x:c>
      <x:c r="G368" s="38" t="str">
        <x:v>design/appearance</x:v>
      </x:c>
      <x:c r="H368" s="38" t="str">
        <x:v>Cell Phones &amp; Accessories</x:v>
      </x:c>
      <x:c r="I368" s="91" t="str">
        <x:v>[Product: J&amp;D AirPods PU-Leather Case Protective Cover, Portable AirPods Case Cover with Durable Metal Keychain for AirPods 1 / Airpods 2 Cases - Brown | ASIN: B07V2MBKPR] It is nice but very bulky.</x:v>
      </x:c>
      <x:c r="J368" s="101" t="n">
        <x:v>0</x:v>
      </x:c>
      <x:c r="K368" s="92" t="str">
        <x:v>Human_Reviewer_01</x:v>
      </x:c>
      <x:c r="L368" s="92" t="str">
        <x:v>High</x:v>
      </x:c>
      <x:c r="M368" s="93" t="str">
        <x:v>This is an AirPods case, not a tablet case.</x:v>
      </x:c>
      <x:c r="N368" s="94"/>
      <x:c r="O368" s="94"/>
      <x:c r="P368" s="94"/>
      <x:c r="Q368" s="95"/>
      <x:c r="R368" s="96"/>
      <x:c r="S368" s="96"/>
      <x:c r="T368" s="97"/>
      <x:c r="U368" s="98" t="str">
        <x:f>IF(OR(J368="",N368=""),"",IF(J368=N368,"No","Yes"))</x:f>
      </x:c>
      <x:c r="V368" s="98" t="n">
        <x:v>0</x:v>
      </x:c>
    </x:row>
    <x:row r="369" ht="54" hidden="0" customHeight="1">
      <x:c r="A369" s="38" t="str">
        <x:v>Q010::B00XIO06P4_review_2933872</x:v>
      </x:c>
      <x:c r="B369" s="38" t="str">
        <x:v>Q010</x:v>
      </x:c>
      <x:c r="C369" s="91" t="str">
        <x:v>Find a protective tablet case that is durable but not bulky.</x:v>
      </x:c>
      <x:c r="D369" s="38" t="n">
        <x:v>15</x:v>
      </x:c>
      <x:c r="E369" s="38" t="str">
        <x:v>B00XIO06P4</x:v>
      </x:c>
      <x:c r="F369" s="38" t="str">
        <x:v>review</x:v>
      </x:c>
      <x:c r="G369" s="38" t="str">
        <x:v>build quality</x:v>
      </x:c>
      <x:c r="H369" s="38" t="str">
        <x:v>Portable Audio &amp; Accessories</x:v>
      </x:c>
      <x:c r="I369" s="91" t="str">
        <x:v>[Product: IPAD AIR 2 CASE, E LV iPad Air 2 Case Cover, Hybrid Dual Layer Armor Defender Protective Case Cover with 1 Black Stylus for iPad Air 2 - [BLACK/TEAL] | ASIN: B00XIO06P4] Durable yet not too bulky.</x:v>
      </x:c>
      <x:c r="J369" s="101" t="n">
        <x:v>2</x:v>
      </x:c>
      <x:c r="K369" s="92" t="str">
        <x:v>Human_Reviewer_01</x:v>
      </x:c>
      <x:c r="L369" s="92" t="str">
        <x:v>High</x:v>
      </x:c>
      <x:c r="M369" s="93" t="str">
        <x:v>Tablet case is durable without excessive bulk.</x:v>
      </x:c>
      <x:c r="N369" s="94"/>
      <x:c r="O369" s="94"/>
      <x:c r="P369" s="94"/>
      <x:c r="Q369" s="95"/>
      <x:c r="R369" s="96"/>
      <x:c r="S369" s="96"/>
      <x:c r="T369" s="97"/>
      <x:c r="U369" s="98" t="str">
        <x:f>IF(OR(J369="",N369=""),"",IF(J369=N369,"No","Yes"))</x:f>
      </x:c>
      <x:c r="V369" s="98" t="n">
        <x:v>2</x:v>
      </x:c>
    </x:row>
    <x:row r="370" ht="54" hidden="0" customHeight="1">
      <x:c r="A370" s="38" t="str">
        <x:v>Q010::B0BYF619HH_review_2977564</x:v>
      </x:c>
      <x:c r="B370" s="38" t="str">
        <x:v>Q010</x:v>
      </x:c>
      <x:c r="C370" s="91" t="str">
        <x:v>Find a protective tablet case that is durable but not bulky.</x:v>
      </x:c>
      <x:c r="D370" s="38" t="n">
        <x:v>16</x:v>
      </x:c>
      <x:c r="E370" s="38" t="str">
        <x:v>B0BYF619HH</x:v>
      </x:c>
      <x:c r="F370" s="38" t="str">
        <x:v>review</x:v>
      </x:c>
      <x:c r="G370" s="38" t="str">
        <x:v>build quality</x:v>
      </x:c>
      <x:c r="H370" s="38" t="str">
        <x:v>Cell Phones &amp; Accessories</x:v>
      </x:c>
      <x:c r="I370" s="91" t="str">
        <x:v>[Product: Artyond Universal Case for 9.0-10.5 Inch Tablet, PU Leather Stand Folio Protective with Card Slots Case for iPad/Samsung/Kindle/Huawei/Lenovo/Android 9.0 9.6 9.7 10.1 10.4 10.5 Inch, Blue Owl | ASIN: B0BYF619HH] But it is not the most durable. A lil flimsy.</x:v>
      </x:c>
      <x:c r="J370" s="101" t="n">
        <x:v>2</x:v>
      </x:c>
      <x:c r="K370" s="92" t="str">
        <x:v>Human_Reviewer_01</x:v>
      </x:c>
      <x:c r="L370" s="92" t="str">
        <x:v>High</x:v>
      </x:c>
      <x:c r="M370" s="93" t="str">
        <x:v>Tablet case is explicitly flimsy and insufficiently durable.</x:v>
      </x:c>
      <x:c r="N370" s="94"/>
      <x:c r="O370" s="94"/>
      <x:c r="P370" s="94"/>
      <x:c r="Q370" s="95"/>
      <x:c r="R370" s="96"/>
      <x:c r="S370" s="96"/>
      <x:c r="T370" s="97"/>
      <x:c r="U370" s="98" t="str">
        <x:f>IF(OR(J370="",N370=""),"",IF(J370=N370,"No","Yes"))</x:f>
      </x:c>
      <x:c r="V370" s="98" t="n">
        <x:v>2</x:v>
      </x:c>
    </x:row>
    <x:row r="371" ht="54" hidden="0" customHeight="1">
      <x:c r="A371" s="38" t="str">
        <x:v>Q010::B09FPR1LST_review_4058246</x:v>
      </x:c>
      <x:c r="B371" s="38" t="str">
        <x:v>Q010</x:v>
      </x:c>
      <x:c r="C371" s="91" t="str">
        <x:v>Find a protective tablet case that is durable but not bulky.</x:v>
      </x:c>
      <x:c r="D371" s="38" t="n">
        <x:v>17</x:v>
      </x:c>
      <x:c r="E371" s="38" t="str">
        <x:v>B09FPR1LST</x:v>
      </x:c>
      <x:c r="F371" s="38" t="str">
        <x:v>review</x:v>
      </x:c>
      <x:c r="G371" s="38" t="str">
        <x:v>build quality</x:v>
      </x:c>
      <x:c r="H371" s="38" t="str">
        <x:v>Cell Phones &amp; Accessories</x:v>
      </x:c>
      <x:c r="I371" s="91" t="str">
        <x:v>[Product: Transwon Case for Moderness Tablet 10.1/ Smart Life Within Reach Tablet 10.1 MB1001 Cases/Okaysea OKS10014 10.1 Case/JUNINKE Tablet Case 10/ Mouikei MKE1001 10 Inch Case/aipro Tablet Case - Black | ASIN: B09FPR1LST] Not looking for bells and whistles, but need one that is durable and will protect my tablet that gets handled less than delicately.</x:v>
      </x:c>
      <x:c r="J371" s="101" t="n">
        <x:v>1</x:v>
      </x:c>
      <x:c r="K371" s="92" t="str">
        <x:v>Human_Reviewer_01</x:v>
      </x:c>
      <x:c r="L371" s="92" t="str">
        <x:v>High</x:v>
      </x:c>
      <x:c r="M371" s="93" t="str">
        <x:v>Reviewer states durability needs without reporting that the case meets them.</x:v>
      </x:c>
      <x:c r="N371" s="94"/>
      <x:c r="O371" s="94"/>
      <x:c r="P371" s="94"/>
      <x:c r="Q371" s="95"/>
      <x:c r="R371" s="96"/>
      <x:c r="S371" s="96"/>
      <x:c r="T371" s="97"/>
      <x:c r="U371" s="98" t="str">
        <x:f>IF(OR(J371="",N371=""),"",IF(J371=N371,"No","Yes"))</x:f>
      </x:c>
      <x:c r="V371" s="98" t="n">
        <x:v>1</x:v>
      </x:c>
    </x:row>
    <x:row r="372" ht="54" hidden="0" customHeight="1">
      <x:c r="A372" s="38" t="str">
        <x:v>Q010::B00MBDUVWQ_review_1021104</x:v>
      </x:c>
      <x:c r="B372" s="38" t="str">
        <x:v>Q010</x:v>
      </x:c>
      <x:c r="C372" s="91" t="str">
        <x:v>Find a protective tablet case that is durable but not bulky.</x:v>
      </x:c>
      <x:c r="D372" s="38" t="n">
        <x:v>18</x:v>
      </x:c>
      <x:c r="E372" s="38" t="str">
        <x:v>B00MBDUVWQ</x:v>
      </x:c>
      <x:c r="F372" s="38" t="str">
        <x:v>review</x:v>
      </x:c>
      <x:c r="G372" s="38" t="str">
        <x:v>build quality</x:v>
      </x:c>
      <x:c r="H372" s="38" t="str">
        <x:v>Cell Phones &amp; Accessories</x:v>
      </x:c>
      <x:c r="I372" s="91" t="str">
        <x:v>[Product: 10.1 inch Tablet Protective Case,Stand Holder,Portable Foldable and Solid Stand Case,Compatible with All Universal 10.1 inch 16:9 Tablets PC(Purple) | ASIN: B00MBDUVWQ] Not very sturdy.</x:v>
      </x:c>
      <x:c r="J372" s="101" t="n">
        <x:v>2</x:v>
      </x:c>
      <x:c r="K372" s="92" t="str">
        <x:v>Human_Reviewer_01</x:v>
      </x:c>
      <x:c r="L372" s="92" t="str">
        <x:v>High</x:v>
      </x:c>
      <x:c r="M372" s="93" t="str">
        <x:v>Tablet case is explicitly not sturdy.</x:v>
      </x:c>
      <x:c r="N372" s="94"/>
      <x:c r="O372" s="94"/>
      <x:c r="P372" s="94"/>
      <x:c r="Q372" s="95"/>
      <x:c r="R372" s="96"/>
      <x:c r="S372" s="96"/>
      <x:c r="T372" s="97"/>
      <x:c r="U372" s="98" t="str">
        <x:f>IF(OR(J372="",N372=""),"",IF(J372=N372,"No","Yes"))</x:f>
      </x:c>
      <x:c r="V372" s="98" t="n">
        <x:v>2</x:v>
      </x:c>
    </x:row>
    <x:row r="373" ht="54" hidden="0" customHeight="1">
      <x:c r="A373" s="38" t="str">
        <x:v>Q010::B00GJVVU9O_review_2417550</x:v>
      </x:c>
      <x:c r="B373" s="38" t="str">
        <x:v>Q010</x:v>
      </x:c>
      <x:c r="C373" s="91" t="str">
        <x:v>Find a protective tablet case that is durable but not bulky.</x:v>
      </x:c>
      <x:c r="D373" s="38" t="n">
        <x:v>19</x:v>
      </x:c>
      <x:c r="E373" s="38" t="str">
        <x:v>B00GJVVU9O</x:v>
      </x:c>
      <x:c r="F373" s="38" t="str">
        <x:v>review</x:v>
      </x:c>
      <x:c r="G373" s="38" t="str">
        <x:v>general</x:v>
      </x:c>
      <x:c r="H373" s="38" t="str">
        <x:v>Computers</x:v>
      </x:c>
      <x:c r="I373" s="91" t="str">
        <x:v>[Product: Thule Tablet Case for iPad and 7-Inch Tablets (TESP-113) | ASIN: B00GJVVU9O] Does not wear comfortably with slightly heavy items</x:v>
      </x:c>
      <x:c r="J373" s="101" t="n">
        <x:v>1</x:v>
      </x:c>
      <x:c r="K373" s="92" t="str">
        <x:v>Human_Reviewer_01</x:v>
      </x:c>
      <x:c r="L373" s="92" t="str">
        <x:v>Low</x:v>
      </x:c>
      <x:c r="M373" s="93" t="str">
        <x:v>Wear comfort is secondary and the wearable-item wording is unclear for this tablet case.</x:v>
      </x:c>
      <x:c r="N373" s="94"/>
      <x:c r="O373" s="94"/>
      <x:c r="P373" s="94"/>
      <x:c r="Q373" s="95"/>
      <x:c r="R373" s="96"/>
      <x:c r="S373" s="96"/>
      <x:c r="T373" s="97"/>
      <x:c r="U373" s="98" t="str">
        <x:f>IF(OR(J373="",N373=""),"",IF(J373=N373,"No","Yes"))</x:f>
      </x:c>
      <x:c r="V373" s="98" t="n">
        <x:v>1</x:v>
      </x:c>
    </x:row>
    <x:row r="374" ht="54" hidden="0" customHeight="1">
      <x:c r="A374" s="38" t="str">
        <x:v>Q010::B00AAKHBZ2_review_2043781</x:v>
      </x:c>
      <x:c r="B374" s="38" t="str">
        <x:v>Q010</x:v>
      </x:c>
      <x:c r="C374" s="91" t="str">
        <x:v>Find a protective tablet case that is durable but not bulky.</x:v>
      </x:c>
      <x:c r="D374" s="38" t="n">
        <x:v>20</x:v>
      </x:c>
      <x:c r="E374" s="38" t="str">
        <x:v>B00AAKHBZ2</x:v>
      </x:c>
      <x:c r="F374" s="38" t="str">
        <x:v>review</x:v>
      </x:c>
      <x:c r="G374" s="38" t="str">
        <x:v>build quality</x:v>
      </x:c>
      <x:c r="H374" s="38" t="str">
        <x:v>Computers</x:v>
      </x:c>
      <x:c r="I374" s="91" t="str">
        <x:v>[Product: OtterBox Defender Series Hybrid Case for Samsung Galaxy Tab 2 10.1 - Black | ASIN: B00AAKHBZ2] Durable and safe for tablet!</x:v>
      </x:c>
      <x:c r="J374" s="101" t="n">
        <x:v>2</x:v>
      </x:c>
      <x:c r="K374" s="92" t="str">
        <x:v>Human_Reviewer_01</x:v>
      </x:c>
      <x:c r="L374" s="92" t="str">
        <x:v>High</x:v>
      </x:c>
      <x:c r="M374" s="93" t="str">
        <x:v>Tablet case is explicitly durable and protective.</x:v>
      </x:c>
      <x:c r="N374" s="94"/>
      <x:c r="O374" s="94"/>
      <x:c r="P374" s="94"/>
      <x:c r="Q374" s="95"/>
      <x:c r="R374" s="96"/>
      <x:c r="S374" s="96"/>
      <x:c r="T374" s="97"/>
      <x:c r="U374" s="98" t="str">
        <x:f>IF(OR(J374="",N374=""),"",IF(J374=N374,"No","Yes"))</x:f>
      </x:c>
      <x:c r="V374" s="98" t="n">
        <x:v>2</x:v>
      </x:c>
    </x:row>
    <x:row r="375" ht="54" hidden="0" customHeight="1">
      <x:c r="A375" s="38" t="str">
        <x:v>Q010::B008SSOFR0_review_3061716</x:v>
      </x:c>
      <x:c r="B375" s="38" t="str">
        <x:v>Q010</x:v>
      </x:c>
      <x:c r="C375" s="91" t="str">
        <x:v>Find a protective tablet case that is durable but not bulky.</x:v>
      </x:c>
      <x:c r="D375" s="38" t="n">
        <x:v>21</x:v>
      </x:c>
      <x:c r="E375" s="38" t="str">
        <x:v>B008SSOFR0</x:v>
      </x:c>
      <x:c r="F375" s="38" t="str">
        <x:v>review</x:v>
      </x:c>
      <x:c r="G375" s="38" t="str">
        <x:v>general</x:v>
      </x:c>
      <x:c r="H375" s="38" t="str">
        <x:v>Computers</x:v>
      </x:c>
      <x:c r="I375" s="91" t="str">
        <x:v>[Product: Coby Protective Case for Up To 8-Inch Tablet, Black (MPACASE8BLK) | ASIN: B008SSOFR0] Wanted something that I could use when I traveled.</x:v>
      </x:c>
      <x:c r="J375" s="101" t="n">
        <x:v>1</x:v>
      </x:c>
      <x:c r="K375" s="92" t="str">
        <x:v>Human_Reviewer_01</x:v>
      </x:c>
      <x:c r="L375" s="92" t="str">
        <x:v>High</x:v>
      </x:c>
      <x:c r="M375" s="93" t="str">
        <x:v>Travel purchase intent does not establish case durability, protection, or bulk.</x:v>
      </x:c>
      <x:c r="N375" s="94"/>
      <x:c r="O375" s="94"/>
      <x:c r="P375" s="94"/>
      <x:c r="Q375" s="95"/>
      <x:c r="R375" s="96"/>
      <x:c r="S375" s="96"/>
      <x:c r="T375" s="97"/>
      <x:c r="U375" s="98" t="str">
        <x:f>IF(OR(J375="",N375=""),"",IF(J375=N375,"No","Yes"))</x:f>
      </x:c>
      <x:c r="V375" s="98" t="n">
        <x:v>1</x:v>
      </x:c>
    </x:row>
    <x:row r="376" ht="54" hidden="0" customHeight="1">
      <x:c r="A376" s="38" t="str">
        <x:v>Q010::B00Q3MIRSQ_review_1912389</x:v>
      </x:c>
      <x:c r="B376" s="38" t="str">
        <x:v>Q010</x:v>
      </x:c>
      <x:c r="C376" s="91" t="str">
        <x:v>Find a protective tablet case that is durable but not bulky.</x:v>
      </x:c>
      <x:c r="D376" s="38" t="n">
        <x:v>22</x:v>
      </x:c>
      <x:c r="E376" s="38" t="str">
        <x:v>B00Q3MIRSQ</x:v>
      </x:c>
      <x:c r="F376" s="38" t="str">
        <x:v>review</x:v>
      </x:c>
      <x:c r="G376" s="38" t="str">
        <x:v>design/appearance</x:v>
      </x:c>
      <x:c r="H376" s="38" t="str">
        <x:v>Computers</x:v>
      </x:c>
      <x:c r="I376" s="91" t="str">
        <x:v>[Product: Made2Go Backstrap Universal Tablet Case | ASIN: B00Q3MIRSQ] I will be looking for another type that I can use for this purpose</x:v>
      </x:c>
      <x:c r="J376" s="101" t="n">
        <x:v>1</x:v>
      </x:c>
      <x:c r="K376" s="92" t="str">
        <x:v>Human_Reviewer_01</x:v>
      </x:c>
      <x:c r="L376" s="92" t="str">
        <x:v>High</x:v>
      </x:c>
      <x:c r="M376" s="93" t="str">
        <x:v>Reviewer plans a replacement, but the specific protection or bulk problem is omitted.</x:v>
      </x:c>
      <x:c r="N376" s="94"/>
      <x:c r="O376" s="94"/>
      <x:c r="P376" s="94"/>
      <x:c r="Q376" s="95"/>
      <x:c r="R376" s="96"/>
      <x:c r="S376" s="96"/>
      <x:c r="T376" s="97"/>
      <x:c r="U376" s="98" t="str">
        <x:f>IF(OR(J376="",N376=""),"",IF(J376=N376,"No","Yes"))</x:f>
      </x:c>
      <x:c r="V376" s="98" t="n">
        <x:v>1</x:v>
      </x:c>
    </x:row>
    <x:row r="377" ht="54" hidden="0" customHeight="1">
      <x:c r="A377" s="38" t="str">
        <x:v>Q010::B00IDV38NY_review_1955200</x:v>
      </x:c>
      <x:c r="B377" s="38" t="str">
        <x:v>Q010</x:v>
      </x:c>
      <x:c r="C377" s="91" t="str">
        <x:v>Find a protective tablet case that is durable but not bulky.</x:v>
      </x:c>
      <x:c r="D377" s="38" t="n">
        <x:v>23</x:v>
      </x:c>
      <x:c r="E377" s="38" t="str">
        <x:v>B00IDV38NY</x:v>
      </x:c>
      <x:c r="F377" s="38" t="str">
        <x:v>review</x:v>
      </x:c>
      <x:c r="G377" s="38" t="str">
        <x:v>general</x:v>
      </x:c>
      <x:c r="H377" s="38" t="str">
        <x:v>Computers</x:v>
      </x:c>
      <x:c r="I377" s="91" t="str">
        <x:v>[Product: I BLASON GTPRO10-EXE-BLACK Executive Carrying Case (Flip) for 10.1" Tablet, Black, Slip/Scratch Resistant, Microfiber, Td | ASIN: B00IDV38NY] Very simply, this case protects my tablet just fine. That being said, the two front notches for holding the tablet at an angle in landscape mode will wear over time and become difficult to use. I use my tablet for several hours a day, and at this point the wear is enough that I cannot use the front two notches. Additionally, the material on the cover is easily frayed or torn so if you buy this product take care.&lt;br /&gt;&lt;br /&gt;I would probably not buy this product again, although it does serve its primary purpose of protecting my tablet.</x:v>
      </x:c>
      <x:c r="J377" s="101" t="n">
        <x:v>2</x:v>
      </x:c>
      <x:c r="K377" s="92" t="str">
        <x:v>Human_Reviewer_01</x:v>
      </x:c>
      <x:c r="L377" s="92" t="str">
        <x:v>High</x:v>
      </x:c>
      <x:c r="M377" s="93" t="str">
        <x:v>Tablet case protects but its stand notches wear and cover material frays or tears.</x:v>
      </x:c>
      <x:c r="N377" s="94"/>
      <x:c r="O377" s="94"/>
      <x:c r="P377" s="94"/>
      <x:c r="Q377" s="95"/>
      <x:c r="R377" s="96"/>
      <x:c r="S377" s="96"/>
      <x:c r="T377" s="97"/>
      <x:c r="U377" s="98" t="str">
        <x:f>IF(OR(J377="",N377=""),"",IF(J377=N377,"No","Yes"))</x:f>
      </x:c>
      <x:c r="V377" s="98" t="n">
        <x:v>2</x:v>
      </x:c>
    </x:row>
    <x:row r="378" ht="54" hidden="0" customHeight="1">
      <x:c r="A378" s="38" t="str">
        <x:v>Q010::B0195629D0_review_3204778</x:v>
      </x:c>
      <x:c r="B378" s="38" t="str">
        <x:v>Q010</x:v>
      </x:c>
      <x:c r="C378" s="91" t="str">
        <x:v>Find a protective tablet case that is durable but not bulky.</x:v>
      </x:c>
      <x:c r="D378" s="38" t="n">
        <x:v>24</x:v>
      </x:c>
      <x:c r="E378" s="38" t="str">
        <x:v>B0195629D0</x:v>
      </x:c>
      <x:c r="F378" s="38" t="str">
        <x:v>review</x:v>
      </x:c>
      <x:c r="G378" s="38" t="str">
        <x:v>design/appearance</x:v>
      </x:c>
      <x:c r="H378" s="38" t="str">
        <x:v>Computers</x:v>
      </x:c>
      <x:c r="I378" s="91" t="str">
        <x:v>[Product: iPad Mini 4 Case, Cambond Slim Fit/Auto Wake/Sleep Smart Stand Protective Durable PU Leather Tablet Cover (Laser Cutting &amp; Exquisite Craftsmanship) for Apple iPad Mini 4 (Black) | ASIN: B0195629D0] Not too thick or bulky.</x:v>
      </x:c>
      <x:c r="J378" s="101" t="n">
        <x:v>2</x:v>
      </x:c>
      <x:c r="K378" s="92" t="str">
        <x:v>Human_Reviewer_01</x:v>
      </x:c>
      <x:c r="L378" s="92" t="str">
        <x:v>High</x:v>
      </x:c>
      <x:c r="M378" s="93" t="str">
        <x:v>Tablet case is explicitly not thick or bulky.</x:v>
      </x:c>
      <x:c r="N378" s="94"/>
      <x:c r="O378" s="94"/>
      <x:c r="P378" s="94"/>
      <x:c r="Q378" s="95"/>
      <x:c r="R378" s="96"/>
      <x:c r="S378" s="96"/>
      <x:c r="T378" s="97"/>
      <x:c r="U378" s="98" t="str">
        <x:f>IF(OR(J378="",N378=""),"",IF(J378=N378,"No","Yes"))</x:f>
      </x:c>
      <x:c r="V378" s="98" t="n">
        <x:v>2</x:v>
      </x:c>
    </x:row>
    <x:row r="379" ht="54" hidden="0" customHeight="1">
      <x:c r="A379" s="38" t="str">
        <x:v>Q010::B01I4KNPGI_review_3367290</x:v>
      </x:c>
      <x:c r="B379" s="38" t="str">
        <x:v>Q010</x:v>
      </x:c>
      <x:c r="C379" s="91" t="str">
        <x:v>Find a protective tablet case that is durable but not bulky.</x:v>
      </x:c>
      <x:c r="D379" s="38" t="n">
        <x:v>25</x:v>
      </x:c>
      <x:c r="E379" s="38" t="str">
        <x:v>B01I4KNPGI</x:v>
      </x:c>
      <x:c r="F379" s="38" t="str">
        <x:v>review</x:v>
      </x:c>
      <x:c r="G379" s="38" t="str">
        <x:v>design/appearance</x:v>
      </x:c>
      <x:c r="H379" s="38" t="str">
        <x:v>Computers</x:v>
      </x:c>
      <x:c r="I379" s="91" t="str">
        <x:v>[Product: Lavievert 13-13.3 Inch MacBook Air/MacBook Pro/Pro Retina Sleeve Case Felt Portable Laptop Notebook Protective Bag with Pocket | ASIN: B01I4KNPGI] It can be hard to find a sleeve that has enough extra room for adapters but is not really bulky.</x:v>
      </x:c>
      <x:c r="J379" s="101" t="n">
        <x:v>0</x:v>
      </x:c>
      <x:c r="K379" s="92" t="str">
        <x:v>Human_Reviewer_01</x:v>
      </x:c>
      <x:c r="L379" s="92" t="str">
        <x:v>High</x:v>
      </x:c>
      <x:c r="M379" s="93" t="str">
        <x:v>This is a laptop sleeve, not a tablet case.</x:v>
      </x:c>
      <x:c r="N379" s="94"/>
      <x:c r="O379" s="94"/>
      <x:c r="P379" s="94"/>
      <x:c r="Q379" s="95"/>
      <x:c r="R379" s="96"/>
      <x:c r="S379" s="96"/>
      <x:c r="T379" s="97"/>
      <x:c r="U379" s="98" t="str">
        <x:f>IF(OR(J379="",N379=""),"",IF(J379=N379,"No","Yes"))</x:f>
      </x:c>
      <x:c r="V379" s="98" t="n">
        <x:v>0</x:v>
      </x:c>
    </x:row>
    <x:row r="380" ht="54" hidden="0" customHeight="1">
      <x:c r="A380" s="38" t="str">
        <x:v>Q010::B00OCC9CTC_review_3146366</x:v>
      </x:c>
      <x:c r="B380" s="38" t="str">
        <x:v>Q010</x:v>
      </x:c>
      <x:c r="C380" s="91" t="str">
        <x:v>Find a protective tablet case that is durable but not bulky.</x:v>
      </x:c>
      <x:c r="D380" s="38" t="n">
        <x:v>26</x:v>
      </x:c>
      <x:c r="E380" s="38" t="str">
        <x:v>B00OCC9CTC</x:v>
      </x:c>
      <x:c r="F380" s="38" t="str">
        <x:v>review</x:v>
      </x:c>
      <x:c r="G380" s="38" t="str">
        <x:v>design/appearance</x:v>
      </x:c>
      <x:c r="H380" s="38" t="str">
        <x:v>Computers</x:v>
      </x:c>
      <x:c r="I380" s="91" t="str">
        <x:v>[Product: IRULU PU Leather Slim Tablet Folio Protective Cover Case with Stand for 7" Tablet - Brown | ASIN: B00OCC9CTC] Good fit, nice look, good protection. However a tad bulky.</x:v>
      </x:c>
      <x:c r="J380" s="101" t="n">
        <x:v>2</x:v>
      </x:c>
      <x:c r="K380" s="92" t="str">
        <x:v>Human_Reviewer_01</x:v>
      </x:c>
      <x:c r="L380" s="92" t="str">
        <x:v>High</x:v>
      </x:c>
      <x:c r="M380" s="93" t="str">
        <x:v>Tablet case protects well but adds some bulk.</x:v>
      </x:c>
      <x:c r="N380" s="94"/>
      <x:c r="O380" s="94"/>
      <x:c r="P380" s="94"/>
      <x:c r="Q380" s="95"/>
      <x:c r="R380" s="96"/>
      <x:c r="S380" s="96"/>
      <x:c r="T380" s="97"/>
      <x:c r="U380" s="98" t="str">
        <x:f>IF(OR(J380="",N380=""),"",IF(J380=N380,"No","Yes"))</x:f>
      </x:c>
      <x:c r="V380" s="98" t="n">
        <x:v>2</x:v>
      </x:c>
    </x:row>
    <x:row r="381" ht="54" hidden="0" customHeight="1">
      <x:c r="A381" s="38" t="str">
        <x:v>Q010::B07L9PLQKZ_review_1960166</x:v>
      </x:c>
      <x:c r="B381" s="38" t="str">
        <x:v>Q010</x:v>
      </x:c>
      <x:c r="C381" s="91" t="str">
        <x:v>Find a protective tablet case that is durable but not bulky.</x:v>
      </x:c>
      <x:c r="D381" s="38" t="n">
        <x:v>27</x:v>
      </x:c>
      <x:c r="E381" s="38" t="str">
        <x:v>B07L9PLQKZ</x:v>
      </x:c>
      <x:c r="F381" s="38" t="str">
        <x:v>review</x:v>
      </x:c>
      <x:c r="G381" s="38" t="str">
        <x:v>general</x:v>
      </x:c>
      <x:c r="H381" s="38" t="str">
        <x:v>Computers</x:v>
      </x:c>
      <x:c r="I381" s="91" t="str">
        <x:v>[Product: Universal Case for 9.0"-10.5" Tablet, Artyond PU Leather Folio Stand Cover with Cards Slots Case for All 9.0" 9.6" 9.7" 10.1" 10.4" 10.5" Android iOS and More 9.0-10.5 inch Tablet (Gray) | ASIN: B07L9PLQKZ] Not made well. Corners break.crack easily</x:v>
      </x:c>
      <x:c r="J381" s="101" t="n">
        <x:v>2</x:v>
      </x:c>
      <x:c r="K381" s="92" t="str">
        <x:v>Human_Reviewer_01</x:v>
      </x:c>
      <x:c r="L381" s="92" t="str">
        <x:v>High</x:v>
      </x:c>
      <x:c r="M381" s="93" t="str">
        <x:v>Tablet case corners crack and break easily.</x:v>
      </x:c>
      <x:c r="N381" s="94"/>
      <x:c r="O381" s="94"/>
      <x:c r="P381" s="94"/>
      <x:c r="Q381" s="95"/>
      <x:c r="R381" s="96"/>
      <x:c r="S381" s="96"/>
      <x:c r="T381" s="97"/>
      <x:c r="U381" s="98" t="str">
        <x:f>IF(OR(J381="",N381=""),"",IF(J381=N381,"No","Yes"))</x:f>
      </x:c>
      <x:c r="V381" s="98" t="n">
        <x:v>2</x:v>
      </x:c>
    </x:row>
    <x:row r="382" ht="54" hidden="0" customHeight="1">
      <x:c r="A382" s="38" t="str">
        <x:v>Q010::B081DV1QMV_review_4082167</x:v>
      </x:c>
      <x:c r="B382" s="38" t="str">
        <x:v>Q010</x:v>
      </x:c>
      <x:c r="C382" s="91" t="str">
        <x:v>Find a protective tablet case that is durable but not bulky.</x:v>
      </x:c>
      <x:c r="D382" s="38" t="n">
        <x:v>28</x:v>
      </x:c>
      <x:c r="E382" s="38" t="str">
        <x:v>B081DV1QMV</x:v>
      </x:c>
      <x:c r="F382" s="38" t="str">
        <x:v>review</x:v>
      </x:c>
      <x:c r="G382" s="38" t="str">
        <x:v>build quality</x:v>
      </x:c>
      <x:c r="H382" s="38" t="str">
        <x:v>Computers</x:v>
      </x:c>
      <x:c r="I382" s="91" t="str">
        <x:v>[Product: Fire HD 10 Case - for All-New Amazon Fire HD 10 Tablet (9th/7th Generation, 2019/2017 Release) Slim Tri-Fold with Microfiber Inner Auto Wake/Sleep Protective Case for Fire HD 10.1" (The Starry Night) | ASIN: B081DV1QMV] Looks exactly as it appears in the picture and it is both durable and sturdy without being bulky.</x:v>
      </x:c>
      <x:c r="J382" s="101" t="n">
        <x:v>2</x:v>
      </x:c>
      <x:c r="K382" s="92" t="str">
        <x:v>Human_Reviewer_01</x:v>
      </x:c>
      <x:c r="L382" s="92" t="str">
        <x:v>High</x:v>
      </x:c>
      <x:c r="M382" s="93" t="str">
        <x:v>Tablet case is durable and sturdy without bulk.</x:v>
      </x:c>
      <x:c r="N382" s="94"/>
      <x:c r="O382" s="94"/>
      <x:c r="P382" s="94"/>
      <x:c r="Q382" s="95"/>
      <x:c r="R382" s="96"/>
      <x:c r="S382" s="96"/>
      <x:c r="T382" s="97"/>
      <x:c r="U382" s="98" t="str">
        <x:f>IF(OR(J382="",N382=""),"",IF(J382=N382,"No","Yes"))</x:f>
      </x:c>
      <x:c r="V382" s="98" t="n">
        <x:v>2</x:v>
      </x:c>
    </x:row>
    <x:row r="383" ht="54" hidden="0" customHeight="1">
      <x:c r="A383" s="38" t="str">
        <x:v>Q010::B09JFZ2PZJ_review_2780960</x:v>
      </x:c>
      <x:c r="B383" s="38" t="str">
        <x:v>Q010</x:v>
      </x:c>
      <x:c r="C383" s="91" t="str">
        <x:v>Find a protective tablet case that is durable but not bulky.</x:v>
      </x:c>
      <x:c r="D383" s="38" t="n">
        <x:v>29</x:v>
      </x:c>
      <x:c r="E383" s="38" t="str">
        <x:v>B09JFZ2PZJ</x:v>
      </x:c>
      <x:c r="F383" s="38" t="str">
        <x:v>review</x:v>
      </x:c>
      <x:c r="G383" s="38" t="str">
        <x:v>build quality</x:v>
      </x:c>
      <x:c r="H383" s="38" t="str">
        <x:v>Cell Phones &amp; Accessories</x:v>
      </x:c>
      <x:c r="I383" s="91" t="str">
        <x:v>[Product: TOOTON Tablet Case for 10.1 inch, Full Protective Tablet Case, Anti-Slip Anti-Collision Leather Case with Stand, Compatible with TOOTON 10.1 Inch Tablet TT-10, Ultra Thin Lightweight | ASIN: B09JFZ2PZJ] Heavy &amp;durable</x:v>
      </x:c>
      <x:c r="J383" s="101" t="n">
        <x:v>2</x:v>
      </x:c>
      <x:c r="K383" s="92" t="str">
        <x:v>Human_Reviewer_01</x:v>
      </x:c>
      <x:c r="L383" s="92" t="str">
        <x:v>High</x:v>
      </x:c>
      <x:c r="M383" s="93" t="str">
        <x:v>Tablet case is explicitly durable but heavy.</x:v>
      </x:c>
      <x:c r="N383" s="94"/>
      <x:c r="O383" s="94"/>
      <x:c r="P383" s="94"/>
      <x:c r="Q383" s="95"/>
      <x:c r="R383" s="96"/>
      <x:c r="S383" s="96"/>
      <x:c r="T383" s="97"/>
      <x:c r="U383" s="98" t="str">
        <x:f>IF(OR(J383="",N383=""),"",IF(J383=N383,"No","Yes"))</x:f>
      </x:c>
      <x:c r="V383" s="98" t="n">
        <x:v>2</x:v>
      </x:c>
    </x:row>
    <x:row r="384" ht="54" hidden="0" customHeight="1">
      <x:c r="A384" s="38" t="str">
        <x:v>Q010::B0717BLK8H_review_1402526</x:v>
      </x:c>
      <x:c r="B384" s="38" t="str">
        <x:v>Q010</x:v>
      </x:c>
      <x:c r="C384" s="91" t="str">
        <x:v>Find a protective tablet case that is durable but not bulky.</x:v>
      </x:c>
      <x:c r="D384" s="38" t="n">
        <x:v>30</x:v>
      </x:c>
      <x:c r="E384" s="38" t="str">
        <x:v>B0717BLK8H</x:v>
      </x:c>
      <x:c r="F384" s="38" t="str">
        <x:v>review</x:v>
      </x:c>
      <x:c r="G384" s="38" t="str">
        <x:v>design/appearance</x:v>
      </x:c>
      <x:c r="H384" s="38" t="str">
        <x:v>Computers</x:v>
      </x:c>
      <x:c r="I384" s="91" t="str">
        <x:v>[Product: HCHA iPad Kids Case Kid Proof Shockproof 3D Cartoon Butterfly Light Weight Durable Protective Case Non-Toxic EVA for iPad Air 2, iPad Air, New iPad 2017 9.7-Inch, 9.7 Inch iPad Pro (Purple) | ASIN: B0717BLK8H] The case is big and bulky.</x:v>
      </x:c>
      <x:c r="J384" s="101" t="n">
        <x:v>2</x:v>
      </x:c>
      <x:c r="K384" s="92" t="str">
        <x:v>Human_Reviewer_01</x:v>
      </x:c>
      <x:c r="L384" s="92" t="str">
        <x:v>High</x:v>
      </x:c>
      <x:c r="M384" s="93" t="str">
        <x:v>Tablet case is explicitly big and bulky; useful negative evidence.</x:v>
      </x:c>
      <x:c r="N384" s="94"/>
      <x:c r="O384" s="94"/>
      <x:c r="P384" s="94"/>
      <x:c r="Q384" s="95"/>
      <x:c r="R384" s="96"/>
      <x:c r="S384" s="96"/>
      <x:c r="T384" s="97"/>
      <x:c r="U384" s="98" t="str">
        <x:f>IF(OR(J384="",N384=""),"",IF(J384=N384,"No","Yes"))</x:f>
      </x:c>
      <x:c r="V384" s="98" t="n">
        <x:v>2</x:v>
      </x:c>
    </x:row>
    <x:row r="385" ht="54" hidden="0" customHeight="1">
      <x:c r="A385" s="38" t="str">
        <x:v>Q010::B0897HG7TY_review_2951530</x:v>
      </x:c>
      <x:c r="B385" s="38" t="str">
        <x:v>Q010</x:v>
      </x:c>
      <x:c r="C385" s="91" t="str">
        <x:v>Find a protective tablet case that is durable but not bulky.</x:v>
      </x:c>
      <x:c r="D385" s="38" t="n">
        <x:v>31</x:v>
      </x:c>
      <x:c r="E385" s="38" t="str">
        <x:v>B0897HG7TY</x:v>
      </x:c>
      <x:c r="F385" s="38" t="str">
        <x:v>review</x:v>
      </x:c>
      <x:c r="G385" s="38" t="str">
        <x:v>build quality</x:v>
      </x:c>
      <x:c r="H385" s="38" t="str">
        <x:v>Computers</x:v>
      </x:c>
      <x:c r="I385" s="91" t="str">
        <x:v>[Product: Fintie Silicone Case for All-New Kindle Fire HD 8 Tablet and Fire HD 8 Plus Tablet (10th Generation, 2020 Release) - [Honey Comb Series] [Kids Friendly] Light Weight Shock Proof Back Cover, Blue | ASIN: B0897HG7TY] The case is quite durable and not too bulky. I am definitely planning to upgrade to a durable case with a built-in stand case by another company when more become available for purchase, but this item was a good stand-in for the time that I needed it.</x:v>
      </x:c>
      <x:c r="J385" s="101" t="n">
        <x:v>2</x:v>
      </x:c>
      <x:c r="K385" s="92" t="str">
        <x:v>Human_Reviewer_01</x:v>
      </x:c>
      <x:c r="L385" s="92" t="str">
        <x:v>High</x:v>
      </x:c>
      <x:c r="M385" s="93" t="str">
        <x:v>Tablet case is durable without excess bulk; the desired stand is a separate feature.</x:v>
      </x:c>
      <x:c r="N385" s="94"/>
      <x:c r="O385" s="94"/>
      <x:c r="P385" s="94"/>
      <x:c r="Q385" s="95"/>
      <x:c r="R385" s="96"/>
      <x:c r="S385" s="96"/>
      <x:c r="T385" s="97"/>
      <x:c r="U385" s="98" t="str">
        <x:f>IF(OR(J385="",N385=""),"",IF(J385=N385,"No","Yes"))</x:f>
      </x:c>
      <x:c r="V385" s="98" t="n">
        <x:v>2</x:v>
      </x:c>
    </x:row>
    <x:row r="386" ht="54" hidden="0" customHeight="1">
      <x:c r="A386" s="38" t="str">
        <x:v>Q010::B076JL51GL_review_1867885</x:v>
      </x:c>
      <x:c r="B386" s="38" t="str">
        <x:v>Q010</x:v>
      </x:c>
      <x:c r="C386" s="91" t="str">
        <x:v>Find a protective tablet case that is durable but not bulky.</x:v>
      </x:c>
      <x:c r="D386" s="38" t="n">
        <x:v>32</x:v>
      </x:c>
      <x:c r="E386" s="38" t="str">
        <x:v>B076JL51GL</x:v>
      </x:c>
      <x:c r="F386" s="38" t="str">
        <x:v>review</x:v>
      </x:c>
      <x:c r="G386" s="38" t="str">
        <x:v>general</x:v>
      </x:c>
      <x:c r="H386" s="38" t="str">
        <x:v>Computers</x:v>
      </x:c>
      <x:c r="I386" s="91" t="str">
        <x:v>[Product: URBAN ARMOR GEAR [UAG] Rugged Exoskeleton Universal Android Tablet Case [White] with Stand and Pen Holder for 9 &amp; 10-inch Tablets Including Galaxy Tab S3, Tab S2, Tab A, Tab E &amp; More | ASIN: B076JL51GL] The protective rubber corners shear off over time making the product unusable. 2 out of the 3 cases I have purchased have had this happen. Very disappointing as these are one of the few cases out there that enable use with a docking station - as with my kids Lenovo Smart Tab M10 Plus (2nd Gen) with the Google Assistant.</x:v>
      </x:c>
      <x:c r="J386" s="101" t="n">
        <x:v>2</x:v>
      </x:c>
      <x:c r="K386" s="92" t="str">
        <x:v>Human_Reviewer_01</x:v>
      </x:c>
      <x:c r="L386" s="92" t="str">
        <x:v>High</x:v>
      </x:c>
      <x:c r="M386" s="93" t="str">
        <x:v>Tablet case protective corners shear off over time, making it unusable.</x:v>
      </x:c>
      <x:c r="N386" s="94"/>
      <x:c r="O386" s="94"/>
      <x:c r="P386" s="94"/>
      <x:c r="Q386" s="95"/>
      <x:c r="R386" s="96"/>
      <x:c r="S386" s="96"/>
      <x:c r="T386" s="97"/>
      <x:c r="U386" s="98" t="str">
        <x:f>IF(OR(J386="",N386=""),"",IF(J386=N386,"No","Yes"))</x:f>
      </x:c>
      <x:c r="V386" s="98" t="n">
        <x:v>2</x:v>
      </x:c>
    </x:row>
    <x:row r="387" ht="54" hidden="0" customHeight="1">
      <x:c r="A387" s="38" t="str">
        <x:v>Q010::B07L2DRHCJ_review_1664854</x:v>
      </x:c>
      <x:c r="B387" s="38" t="str">
        <x:v>Q010</x:v>
      </x:c>
      <x:c r="C387" s="91" t="str">
        <x:v>Find a protective tablet case that is durable but not bulky.</x:v>
      </x:c>
      <x:c r="D387" s="38" t="n">
        <x:v>33</x:v>
      </x:c>
      <x:c r="E387" s="38" t="str">
        <x:v>B07L2DRHCJ</x:v>
      </x:c>
      <x:c r="F387" s="38" t="str">
        <x:v>review</x:v>
      </x:c>
      <x:c r="G387" s="38" t="str">
        <x:v>design/appearance</x:v>
      </x:c>
      <x:c r="H387" s="38" t="str">
        <x:v>Cell Phones &amp; Accessories</x:v>
      </x:c>
      <x:c r="I387" s="91" t="str">
        <x:v>[Product: Ereader for Sleeve Case Bag for 6 inch Ereader Tablet Protective Cover Pouch | ASIN: B07L2DRHCJ] The front pocket would not hold much or anything bulky.</x:v>
      </x:c>
      <x:c r="J387" s="101" t="n">
        <x:v>1</x:v>
      </x:c>
      <x:c r="K387" s="92" t="str">
        <x:v>Human_Reviewer_01</x:v>
      </x:c>
      <x:c r="L387" s="92" t="str">
        <x:v>High</x:v>
      </x:c>
      <x:c r="M387" s="93" t="str">
        <x:v>Pocket capacity is described rather than case thickness or durability.</x:v>
      </x:c>
      <x:c r="N387" s="94"/>
      <x:c r="O387" s="94"/>
      <x:c r="P387" s="94"/>
      <x:c r="Q387" s="95"/>
      <x:c r="R387" s="96"/>
      <x:c r="S387" s="96"/>
      <x:c r="T387" s="97"/>
      <x:c r="U387" s="98" t="str">
        <x:f>IF(OR(J387="",N387=""),"",IF(J387=N387,"No","Yes"))</x:f>
      </x:c>
      <x:c r="V387" s="98" t="n">
        <x:v>1</x:v>
      </x:c>
    </x:row>
    <x:row r="388" ht="54" hidden="0" customHeight="1">
      <x:c r="A388" s="38" t="str">
        <x:v>Q010::B07QQQR8ZY_review_3610698</x:v>
      </x:c>
      <x:c r="B388" s="38" t="str">
        <x:v>Q010</x:v>
      </x:c>
      <x:c r="C388" s="91" t="str">
        <x:v>Find a protective tablet case that is durable but not bulky.</x:v>
      </x:c>
      <x:c r="D388" s="38" t="n">
        <x:v>34</x:v>
      </x:c>
      <x:c r="E388" s="38" t="str">
        <x:v>B07QQQR8ZY</x:v>
      </x:c>
      <x:c r="F388" s="38" t="str">
        <x:v>review</x:v>
      </x:c>
      <x:c r="G388" s="38" t="str">
        <x:v>design/appearance</x:v>
      </x:c>
      <x:c r="H388" s="38" t="str">
        <x:v>Computers</x:v>
      </x:c>
      <x:c r="I388" s="91" t="str">
        <x:v>[Product: iShoppingdeals Compatible Protective TPU Case Replacement for T-Mobile Alcatel 3T 8-inch Tablet 9027W 2018 Released (Black TPU) | ASIN: B07QQQR8ZY] It fits great low profile and is not bulky.</x:v>
      </x:c>
      <x:c r="J388" s="101" t="n">
        <x:v>2</x:v>
      </x:c>
      <x:c r="K388" s="92" t="str">
        <x:v>Human_Reviewer_01</x:v>
      </x:c>
      <x:c r="L388" s="92" t="str">
        <x:v>High</x:v>
      </x:c>
      <x:c r="M388" s="93" t="str">
        <x:v>Tablet case fits well and has a low profile without bulk.</x:v>
      </x:c>
      <x:c r="N388" s="94"/>
      <x:c r="O388" s="94"/>
      <x:c r="P388" s="94"/>
      <x:c r="Q388" s="95"/>
      <x:c r="R388" s="96"/>
      <x:c r="S388" s="96"/>
      <x:c r="T388" s="97"/>
      <x:c r="U388" s="98" t="str">
        <x:f>IF(OR(J388="",N388=""),"",IF(J388=N388,"No","Yes"))</x:f>
      </x:c>
      <x:c r="V388" s="98" t="n">
        <x:v>2</x:v>
      </x:c>
    </x:row>
    <x:row r="389" ht="54" hidden="0" customHeight="1">
      <x:c r="A389" s="38" t="str">
        <x:v>Q010::B00YMVB61U_review_172796</x:v>
      </x:c>
      <x:c r="B389" s="38" t="str">
        <x:v>Q010</x:v>
      </x:c>
      <x:c r="C389" s="91" t="str">
        <x:v>Find a protective tablet case that is durable but not bulky.</x:v>
      </x:c>
      <x:c r="D389" s="38" t="n">
        <x:v>35</x:v>
      </x:c>
      <x:c r="E389" s="38" t="str">
        <x:v>B00YMVB61U</x:v>
      </x:c>
      <x:c r="F389" s="38" t="str">
        <x:v>review</x:v>
      </x:c>
      <x:c r="G389" s="38" t="str">
        <x:v>design/appearance</x:v>
      </x:c>
      <x:c r="H389" s="38" t="str">
        <x:v>Cell Phones &amp; Accessories</x:v>
      </x:c>
      <x:c r="I389" s="91" t="str">
        <x:v>[Product: ACdream PU Leather Folio Protective Case for RCA 10 Viking Pro Tablet - Dark Blue | ASIN: B00YMVB61U] Makes the tablet too bulky.</x:v>
      </x:c>
      <x:c r="J389" s="101" t="n">
        <x:v>2</x:v>
      </x:c>
      <x:c r="K389" s="92" t="str">
        <x:v>Human_Reviewer_01</x:v>
      </x:c>
      <x:c r="L389" s="92" t="str">
        <x:v>High</x:v>
      </x:c>
      <x:c r="M389" s="93" t="str">
        <x:v>Tablet case explicitly makes the device too bulky.</x:v>
      </x:c>
      <x:c r="N389" s="94"/>
      <x:c r="O389" s="94"/>
      <x:c r="P389" s="94"/>
      <x:c r="Q389" s="95"/>
      <x:c r="R389" s="96"/>
      <x:c r="S389" s="96"/>
      <x:c r="T389" s="97"/>
      <x:c r="U389" s="98" t="str">
        <x:f>IF(OR(J389="",N389=""),"",IF(J389=N389,"No","Yes"))</x:f>
      </x:c>
      <x:c r="V389" s="98" t="n">
        <x:v>2</x:v>
      </x:c>
    </x:row>
    <x:row r="390" ht="54" hidden="0" customHeight="1">
      <x:c r="A390" s="38" t="str">
        <x:v>Q010::B07Z8QKZTP_review_983784</x:v>
      </x:c>
      <x:c r="B390" s="38" t="str">
        <x:v>Q010</x:v>
      </x:c>
      <x:c r="C390" s="91" t="str">
        <x:v>Find a protective tablet case that is durable but not bulky.</x:v>
      </x:c>
      <x:c r="D390" s="38" t="n">
        <x:v>36</x:v>
      </x:c>
      <x:c r="E390" s="38" t="str">
        <x:v>B07Z8QKZTP</x:v>
      </x:c>
      <x:c r="F390" s="38" t="str">
        <x:v>review</x:v>
      </x:c>
      <x:c r="G390" s="38" t="str">
        <x:v>general</x:v>
      </x:c>
      <x:c r="H390" s="38" t="str">
        <x:v>Cell Phones &amp; Accessories</x:v>
      </x:c>
      <x:c r="I390" s="91" t="str">
        <x:v>[Product: Tablet Case for 10.1 inch Tablets TPZ/Victbing, Slim Tablet Stand Protective Case 10.1’’, Shockproof Stand Case, Smart Cases Tablet Cover 10 inch, Hard Back Shell, Grey | ASIN: B07Z8QKZTP] I need something I can use as a phone as</x:v>
      </x:c>
      <x:c r="J390" s="101" t="n">
        <x:v>0</x:v>
      </x:c>
      <x:c r="K390" s="92" t="str">
        <x:v>Human_Reviewer_01</x:v>
      </x:c>
      <x:c r="L390" s="92" t="str">
        <x:v>High</x:v>
      </x:c>
      <x:c r="M390" s="93" t="str">
        <x:v>Fragment about needing phone functionality gives no useful case evidence.</x:v>
      </x:c>
      <x:c r="N390" s="94"/>
      <x:c r="O390" s="94"/>
      <x:c r="P390" s="94"/>
      <x:c r="Q390" s="95"/>
      <x:c r="R390" s="96"/>
      <x:c r="S390" s="96"/>
      <x:c r="T390" s="97"/>
      <x:c r="U390" s="98" t="str">
        <x:f>IF(OR(J390="",N390=""),"",IF(J390=N390,"No","Yes"))</x:f>
      </x:c>
      <x:c r="V390" s="98" t="n">
        <x:v>0</x:v>
      </x:c>
    </x:row>
    <x:row r="391" ht="54" hidden="0" customHeight="1">
      <x:c r="A391" s="38" t="str">
        <x:v>Q010::B00PLPRWBY_review_222146</x:v>
      </x:c>
      <x:c r="B391" s="38" t="str">
        <x:v>Q010</x:v>
      </x:c>
      <x:c r="C391" s="91" t="str">
        <x:v>Find a protective tablet case that is durable but not bulky.</x:v>
      </x:c>
      <x:c r="D391" s="38" t="n">
        <x:v>37</x:v>
      </x:c>
      <x:c r="E391" s="38" t="str">
        <x:v>B00PLPRWBY</x:v>
      </x:c>
      <x:c r="F391" s="38" t="str">
        <x:v>review</x:v>
      </x:c>
      <x:c r="G391" s="38" t="str">
        <x:v>build quality</x:v>
      </x:c>
      <x:c r="H391" s="38" t="str">
        <x:v>Computers</x:v>
      </x:c>
      <x:c r="I391" s="91" t="str">
        <x:v>[Product: ULAK iPad Air 2 Case, Hybrid Dual Layer Shockproof Kid-Proof Heavy Duty Protective Case with Universal Kickstand | ASIN: B00PLPRWBY] Very durable and not too bulky.</x:v>
      </x:c>
      <x:c r="J391" s="101" t="n">
        <x:v>2</x:v>
      </x:c>
      <x:c r="K391" s="92" t="str">
        <x:v>Human_Reviewer_01</x:v>
      </x:c>
      <x:c r="L391" s="92" t="str">
        <x:v>High</x:v>
      </x:c>
      <x:c r="M391" s="93" t="str">
        <x:v>Tablet case is very durable without excess bulk.</x:v>
      </x:c>
      <x:c r="N391" s="94"/>
      <x:c r="O391" s="94"/>
      <x:c r="P391" s="94"/>
      <x:c r="Q391" s="95"/>
      <x:c r="R391" s="96"/>
      <x:c r="S391" s="96"/>
      <x:c r="T391" s="97"/>
      <x:c r="U391" s="98" t="str">
        <x:f>IF(OR(J391="",N391=""),"",IF(J391=N391,"No","Yes"))</x:f>
      </x:c>
      <x:c r="V391" s="98" t="n">
        <x:v>2</x:v>
      </x:c>
    </x:row>
    <x:row r="392" ht="54" hidden="0" customHeight="1">
      <x:c r="A392" s="38" t="str">
        <x:v>Q010::B00AW5E7CU_review_3869545</x:v>
      </x:c>
      <x:c r="B392" s="38" t="str">
        <x:v>Q010</x:v>
      </x:c>
      <x:c r="C392" s="91" t="str">
        <x:v>Find a protective tablet case that is durable but not bulky.</x:v>
      </x:c>
      <x:c r="D392" s="38" t="n">
        <x:v>38</x:v>
      </x:c>
      <x:c r="E392" s="38" t="str">
        <x:v>B00AW5E7CU</x:v>
      </x:c>
      <x:c r="F392" s="38" t="str">
        <x:v>review</x:v>
      </x:c>
      <x:c r="G392" s="38" t="str">
        <x:v>build quality</x:v>
      </x:c>
      <x:c r="H392" s="38" t="str">
        <x:v>Computers</x:v>
      </x:c>
      <x:c r="I392" s="91" t="str">
        <x:v>[Product: Speck Products CandyShell Case for iPad mini - Black/Slate (SPK-A1953) | ASIN: B00AW5E7CU] It is very durable but not bulky.</x:v>
      </x:c>
      <x:c r="J392" s="101" t="n">
        <x:v>2</x:v>
      </x:c>
      <x:c r="K392" s="92" t="str">
        <x:v>Human_Reviewer_01</x:v>
      </x:c>
      <x:c r="L392" s="92" t="str">
        <x:v>High</x:v>
      </x:c>
      <x:c r="M392" s="93" t="str">
        <x:v>Tablet case is very durable without bulk.</x:v>
      </x:c>
      <x:c r="N392" s="94"/>
      <x:c r="O392" s="94"/>
      <x:c r="P392" s="94"/>
      <x:c r="Q392" s="95"/>
      <x:c r="R392" s="96"/>
      <x:c r="S392" s="96"/>
      <x:c r="T392" s="97"/>
      <x:c r="U392" s="98" t="str">
        <x:f>IF(OR(J392="",N392=""),"",IF(J392=N392,"No","Yes"))</x:f>
      </x:c>
      <x:c r="V392" s="98" t="n">
        <x:v>2</x:v>
      </x:c>
    </x:row>
    <x:row r="393" ht="54" hidden="0" customHeight="1">
      <x:c r="A393" s="38" t="str">
        <x:v>Q010::B00742T0PS_review_3314646</x:v>
      </x:c>
      <x:c r="B393" s="38" t="str">
        <x:v>Q010</x:v>
      </x:c>
      <x:c r="C393" s="91" t="str">
        <x:v>Find a protective tablet case that is durable but not bulky.</x:v>
      </x:c>
      <x:c r="D393" s="38" t="n">
        <x:v>39</x:v>
      </x:c>
      <x:c r="E393" s="38" t="str">
        <x:v>B00742T0PS</x:v>
      </x:c>
      <x:c r="F393" s="38" t="str">
        <x:v>review</x:v>
      </x:c>
      <x:c r="G393" s="38" t="str">
        <x:v>build quality</x:v>
      </x:c>
      <x:c r="H393" s="38" t="str">
        <x:v>Computers</x:v>
      </x:c>
      <x:c r="I393" s="91" t="str">
        <x:v>[Product: Acer Iconia Tab A200 Foldable Protective Case - Black (A200C01) | ASIN: B00742T0PS] It seems durable.</x:v>
      </x:c>
      <x:c r="J393" s="101" t="n">
        <x:v>2</x:v>
      </x:c>
      <x:c r="K393" s="92" t="str">
        <x:v>Human_Reviewer_01</x:v>
      </x:c>
      <x:c r="L393" s="92" t="str">
        <x:v>Medium</x:v>
      </x:c>
      <x:c r="M393" s="93" t="str">
        <x:v>Tablet case appears durable, but the statement is tentative.</x:v>
      </x:c>
      <x:c r="N393" s="94"/>
      <x:c r="O393" s="94"/>
      <x:c r="P393" s="94"/>
      <x:c r="Q393" s="95"/>
      <x:c r="R393" s="96"/>
      <x:c r="S393" s="96"/>
      <x:c r="T393" s="97"/>
      <x:c r="U393" s="98" t="str">
        <x:f>IF(OR(J393="",N393=""),"",IF(J393=N393,"No","Yes"))</x:f>
      </x:c>
      <x:c r="V393" s="98" t="n">
        <x:v>2</x:v>
      </x:c>
    </x:row>
    <x:row r="394" ht="54" hidden="0" customHeight="1">
      <x:c r="A394" s="38" t="str">
        <x:v>Q010::B08X9XFW57_review_3521047</x:v>
      </x:c>
      <x:c r="B394" s="38" t="str">
        <x:v>Q010</x:v>
      </x:c>
      <x:c r="C394" s="91" t="str">
        <x:v>Find a protective tablet case that is durable but not bulky.</x:v>
      </x:c>
      <x:c r="D394" s="38" t="n">
        <x:v>40</x:v>
      </x:c>
      <x:c r="E394" s="38" t="str">
        <x:v>B08X9XFW57</x:v>
      </x:c>
      <x:c r="F394" s="38" t="str">
        <x:v>review</x:v>
      </x:c>
      <x:c r="G394" s="38" t="str">
        <x:v>general</x:v>
      </x:c>
      <x:c r="H394" s="38" t="str">
        <x:v>Computers</x:v>
      </x:c>
      <x:c r="I394" s="91" t="str">
        <x:v>[Product: Universal 9.5-10.5 Inch Tablet Case, Techcircle Slim Lightweight PU Leather Flip Stand Wallet Protective Cover Case for iPad 9.7" 10.2", Galaxy Tab A 10.1, Fire HD 10, Lenovo Tab 10, Cherry Blossom | ASIN: B08X9XFW57] The sides are not firm they are very soft and it does not seem to be very heavy duty and I would not recommend this for anything outside of casual use.</x:v>
      </x:c>
      <x:c r="J394" s="101" t="n">
        <x:v>2</x:v>
      </x:c>
      <x:c r="K394" s="92" t="str">
        <x:v>Human_Reviewer_01</x:v>
      </x:c>
      <x:c r="L394" s="92" t="str">
        <x:v>High</x:v>
      </x:c>
      <x:c r="M394" s="93" t="str">
        <x:v>Tablet case has soft unsupported sides and is unsuitable for heavy-duty use.</x:v>
      </x:c>
      <x:c r="N394" s="94"/>
      <x:c r="O394" s="94"/>
      <x:c r="P394" s="94"/>
      <x:c r="Q394" s="95"/>
      <x:c r="R394" s="96"/>
      <x:c r="S394" s="96"/>
      <x:c r="T394" s="97"/>
      <x:c r="U394" s="98" t="str">
        <x:f>IF(OR(J394="",N394=""),"",IF(J394=N394,"No","Yes"))</x:f>
      </x:c>
      <x:c r="V394" s="98" t="n">
        <x:v>2</x:v>
      </x:c>
    </x:row>
    <x:row r="395" ht="54" hidden="0" customHeight="1">
      <x:c r="A395" s="38" t="str">
        <x:v>Q011::B06Y4FMNSJ_review_1696369</x:v>
      </x:c>
      <x:c r="B395" s="38" t="str">
        <x:v>Q011</x:v>
      </x:c>
      <x:c r="C395" s="91" t="str">
        <x:v>Which security camera provides clear night images and reliable wireless connectivity?</x:v>
      </x:c>
      <x:c r="D395" s="38" t="n">
        <x:v>1</x:v>
      </x:c>
      <x:c r="E395" s="38" t="str">
        <x:v>B06Y4FMNSJ</x:v>
      </x:c>
      <x:c r="F395" s="38" t="str">
        <x:v>review</x:v>
      </x:c>
      <x:c r="G395" s="38" t="str">
        <x:v>screen/display</x:v>
      </x:c>
      <x:c r="H395" s="38" t="str">
        <x:v>Camera &amp; Photo</x:v>
      </x:c>
      <x:c r="I395" s="91" t="str">
        <x:v>[Product: Amcrest 2K 3MP Wireless Outdoor Security Camera ProHD 1080P / 1296P (2304TVL) Bullet IP WiFi Outdoor Camera - Full HD 1080P @ 30fps and 1296P @ 20fps, IP67, 98ft Night Vision, IP3M-943S (Silver) | ASIN: B06Y4FMNSJ] What initially attracted me to this camera was the high Megapixel count which provides very crisp videos and images in my opinion. The higher resolution of the camera definitely aids in that.</x:v>
      </x:c>
      <x:c r="J395" s="101" t="n">
        <x:v>1</x:v>
      </x:c>
      <x:c r="K395" s="92" t="str">
        <x:v>Human_Reviewer_01</x:v>
      </x:c>
      <x:c r="L395" s="92" t="str">
        <x:v>High</x:v>
      </x:c>
      <x:c r="M395" s="93" t="str">
        <x:v>Wireless security camera has crisp general images, but night clarity and connection reliability are not tested.</x:v>
      </x:c>
      <x:c r="N395" s="94"/>
      <x:c r="O395" s="94"/>
      <x:c r="P395" s="94"/>
      <x:c r="Q395" s="95"/>
      <x:c r="R395" s="96"/>
      <x:c r="S395" s="96"/>
      <x:c r="T395" s="97"/>
      <x:c r="U395" s="98" t="str">
        <x:f>IF(OR(J395="",N395=""),"",IF(J395=N395,"No","Yes"))</x:f>
      </x:c>
      <x:c r="V395" s="98" t="n">
        <x:v>1</x:v>
      </x:c>
    </x:row>
    <x:row r="396" ht="54" hidden="0" customHeight="1">
      <x:c r="A396" s="38" t="str">
        <x:v>Q011::B003LY2NF2_review_1940992</x:v>
      </x:c>
      <x:c r="B396" s="38" t="str">
        <x:v>Q011</x:v>
      </x:c>
      <x:c r="C396" s="91" t="str">
        <x:v>Which security camera provides clear night images and reliable wireless connectivity?</x:v>
      </x:c>
      <x:c r="D396" s="38" t="n">
        <x:v>2</x:v>
      </x:c>
      <x:c r="E396" s="38" t="str">
        <x:v>B003LY2NF2</x:v>
      </x:c>
      <x:c r="F396" s="38" t="str">
        <x:v>review</x:v>
      </x:c>
      <x:c r="G396" s="38" t="str">
        <x:v>price/value</x:v>
      </x:c>
      <x:c r="H396" s="38" t="str">
        <x:v>Camera &amp; Photo</x:v>
      </x:c>
      <x:c r="I396" s="91" t="str">
        <x:v>[Product: Zmodo CM-I12316GY Night Vision Wireless IP Network Surveillance Security Camera | ASIN: B003LY2NF2] /&gt;However, if you want to keep an eye on an area even in the dark - this is a very cool affordable way to do it!</x:v>
      </x:c>
      <x:c r="J396" s="101" t="n">
        <x:v>2</x:v>
      </x:c>
      <x:c r="K396" s="92" t="str">
        <x:v>Human_Reviewer_01</x:v>
      </x:c>
      <x:c r="L396" s="92" t="str">
        <x:v>Medium</x:v>
      </x:c>
      <x:c r="M396" s="93" t="str">
        <x:v>Wireless surveillance camera is explicitly useful for observing an area in darkness; clarity detail is limited.</x:v>
      </x:c>
      <x:c r="N396" s="94"/>
      <x:c r="O396" s="94"/>
      <x:c r="P396" s="94"/>
      <x:c r="Q396" s="95"/>
      <x:c r="R396" s="96"/>
      <x:c r="S396" s="96"/>
      <x:c r="T396" s="97"/>
      <x:c r="U396" s="98" t="str">
        <x:f>IF(OR(J396="",N396=""),"",IF(J396=N396,"No","Yes"))</x:f>
      </x:c>
      <x:c r="V396" s="98" t="n">
        <x:v>2</x:v>
      </x:c>
    </x:row>
    <x:row r="397" ht="54" hidden="0" customHeight="1">
      <x:c r="A397" s="38" t="str">
        <x:v>Q011::B09NLLW9HN_review_880608</x:v>
      </x:c>
      <x:c r="B397" s="38" t="str">
        <x:v>Q011</x:v>
      </x:c>
      <x:c r="C397" s="91" t="str">
        <x:v>Which security camera provides clear night images and reliable wireless connectivity?</x:v>
      </x:c>
      <x:c r="D397" s="38" t="n">
        <x:v>3</x:v>
      </x:c>
      <x:c r="E397" s="38" t="str">
        <x:v>B09NLLW9HN</x:v>
      </x:c>
      <x:c r="F397" s="38" t="str">
        <x:v>review</x:v>
      </x:c>
      <x:c r="G397" s="38" t="str">
        <x:v>general</x:v>
      </x:c>
      <x:c r="H397" s="38" t="str">
        <x:v>Camera &amp; Photo</x:v>
      </x:c>
      <x:c r="I397" s="91" t="str">
        <x:v>[Product: Maysly 1080P Outdoor Security Camera Home WiFi Camera Rechargeable Battery Wireless IP Camera with IP65 Waterproof, Night Vision, Motion Detection, 2-Way Audio, Cloud/SD Storage | ASIN: B09NLLW9HN] No card with camera and the images are not clear enough</x:v>
      </x:c>
      <x:c r="J397" s="101" t="n">
        <x:v>1</x:v>
      </x:c>
      <x:c r="K397" s="92" t="str">
        <x:v>Human_Reviewer_01</x:v>
      </x:c>
      <x:c r="L397" s="92" t="str">
        <x:v>High</x:v>
      </x:c>
      <x:c r="M397" s="93" t="str">
        <x:v>Wireless camera images are unclear, but night-specific performance and stability are unspecified.</x:v>
      </x:c>
      <x:c r="N397" s="94"/>
      <x:c r="O397" s="94"/>
      <x:c r="P397" s="94"/>
      <x:c r="Q397" s="95"/>
      <x:c r="R397" s="96"/>
      <x:c r="S397" s="96"/>
      <x:c r="T397" s="97"/>
      <x:c r="U397" s="98" t="str">
        <x:f>IF(OR(J397="",N397=""),"",IF(J397=N397,"No","Yes"))</x:f>
      </x:c>
      <x:c r="V397" s="98" t="n">
        <x:v>1</x:v>
      </x:c>
    </x:row>
    <x:row r="398" ht="54" hidden="0" customHeight="1">
      <x:c r="A398" s="38" t="str">
        <x:v>Q011::B013P0HQKI_review_67265</x:v>
      </x:c>
      <x:c r="B398" s="38" t="str">
        <x:v>Q011</x:v>
      </x:c>
      <x:c r="C398" s="91" t="str">
        <x:v>Which security camera provides clear night images and reliable wireless connectivity?</x:v>
      </x:c>
      <x:c r="D398" s="38" t="n">
        <x:v>4</x:v>
      </x:c>
      <x:c r="E398" s="38" t="str">
        <x:v>B013P0HQKI</x:v>
      </x:c>
      <x:c r="F398" s="38" t="str">
        <x:v>review</x:v>
      </x:c>
      <x:c r="G398" s="38" t="str">
        <x:v>price/value</x:v>
      </x:c>
      <x:c r="H398" s="38" t="str">
        <x:v>Computers</x:v>
      </x:c>
      <x:c r="I398" s="91" t="str">
        <x:v>[Product: Indoor Wireless Security Surveillance IP Camera with Motion Detection and Night Vision - Connect to Your Home WiFi Network for Remote Access to Live Video - PIPCAM12 | ASIN: B013P0HQKI] Great camera for the price.</x:v>
      </x:c>
      <x:c r="J398" s="101" t="n">
        <x:v>1</x:v>
      </x:c>
      <x:c r="K398" s="92" t="str">
        <x:v>Human_Reviewer_01</x:v>
      </x:c>
      <x:c r="L398" s="92" t="str">
        <x:v>High</x:v>
      </x:c>
      <x:c r="M398" s="93" t="str">
        <x:v>Generic value praise does not establish night clarity or wireless reliability.</x:v>
      </x:c>
      <x:c r="N398" s="94"/>
      <x:c r="O398" s="94"/>
      <x:c r="P398" s="94"/>
      <x:c r="Q398" s="95"/>
      <x:c r="R398" s="96"/>
      <x:c r="S398" s="96"/>
      <x:c r="T398" s="97"/>
      <x:c r="U398" s="98" t="str">
        <x:f>IF(OR(J398="",N398=""),"",IF(J398=N398,"No","Yes"))</x:f>
      </x:c>
      <x:c r="V398" s="98" t="n">
        <x:v>1</x:v>
      </x:c>
    </x:row>
    <x:row r="399" ht="54" hidden="0" customHeight="1">
      <x:c r="A399" s="38" t="str">
        <x:v>Q011::B013P0HQKI_review_67277</x:v>
      </x:c>
      <x:c r="B399" s="38" t="str">
        <x:v>Q011</x:v>
      </x:c>
      <x:c r="C399" s="91" t="str">
        <x:v>Which security camera provides clear night images and reliable wireless connectivity?</x:v>
      </x:c>
      <x:c r="D399" s="38" t="n">
        <x:v>5</x:v>
      </x:c>
      <x:c r="E399" s="38" t="str">
        <x:v>B013P0HQKI</x:v>
      </x:c>
      <x:c r="F399" s="38" t="str">
        <x:v>review</x:v>
      </x:c>
      <x:c r="G399" s="38" t="str">
        <x:v>connectivity</x:v>
      </x:c>
      <x:c r="H399" s="38" t="str">
        <x:v>Computers</x:v>
      </x:c>
      <x:c r="I399" s="91" t="str">
        <x:v>[Product: Indoor Wireless Security Surveillance IP Camera with Motion Detection and Night Vision - Connect to Your Home WiFi Network for Remote Access to Live Video - PIPCAM12 | ASIN: B013P0HQKI] Camera connected easily and images are very good.</x:v>
      </x:c>
      <x:c r="J399" s="101" t="n">
        <x:v>1</x:v>
      </x:c>
      <x:c r="K399" s="92" t="str">
        <x:v>Human_Reviewer_01</x:v>
      </x:c>
      <x:c r="L399" s="92" t="str">
        <x:v>High</x:v>
      </x:c>
      <x:c r="M399" s="93" t="str">
        <x:v>Camera connects easily and has good images; sustained stability and night clarity are untested.</x:v>
      </x:c>
      <x:c r="N399" s="94"/>
      <x:c r="O399" s="94"/>
      <x:c r="P399" s="94"/>
      <x:c r="Q399" s="95"/>
      <x:c r="R399" s="96"/>
      <x:c r="S399" s="96"/>
      <x:c r="T399" s="97"/>
      <x:c r="U399" s="98" t="str">
        <x:f>IF(OR(J399="",N399=""),"",IF(J399=N399,"No","Yes"))</x:f>
      </x:c>
      <x:c r="V399" s="98" t="n">
        <x:v>1</x:v>
      </x:c>
    </x:row>
    <x:row r="400" ht="54" hidden="0" customHeight="1">
      <x:c r="A400" s="38" t="str">
        <x:v>Q011::B07VBKHZL1_review_2780198</x:v>
      </x:c>
      <x:c r="B400" s="38" t="str">
        <x:v>Q011</x:v>
      </x:c>
      <x:c r="C400" s="91" t="str">
        <x:v>Which security camera provides clear night images and reliable wireless connectivity?</x:v>
      </x:c>
      <x:c r="D400" s="38" t="n">
        <x:v>6</x:v>
      </x:c>
      <x:c r="E400" s="38" t="str">
        <x:v>B07VBKHZL1</x:v>
      </x:c>
      <x:c r="F400" s="38" t="str">
        <x:v>review</x:v>
      </x:c>
      <x:c r="G400" s="38" t="str">
        <x:v>design/appearance</x:v>
      </x:c>
      <x:c r="H400" s="38" t="str">
        <x:v>Camera &amp; Photo</x:v>
      </x:c>
      <x:c r="I400" s="91" t="str">
        <x:v>[Product: WiFi Camera-1080P Security Camera System Wireless Camera Indoor 2.4Ghz Home Camera with 2 Way Audio Night Vision, Auto-Cruise, Motion Tracker, Activity Alert,Support iOS/Android/Windows | ASIN: B07VBKHZL1] The color during daylight is really sharp and clear.</x:v>
      </x:c>
      <x:c r="J400" s="101" t="n">
        <x:v>1</x:v>
      </x:c>
      <x:c r="K400" s="92" t="str">
        <x:v>Human_Reviewer_01</x:v>
      </x:c>
      <x:c r="L400" s="92" t="str">
        <x:v>High</x:v>
      </x:c>
      <x:c r="M400" s="93" t="str">
        <x:v>Clear daytime images do not establish night performance or connection reliability.</x:v>
      </x:c>
      <x:c r="N400" s="94"/>
      <x:c r="O400" s="94"/>
      <x:c r="P400" s="94"/>
      <x:c r="Q400" s="95"/>
      <x:c r="R400" s="96"/>
      <x:c r="S400" s="96"/>
      <x:c r="T400" s="97"/>
      <x:c r="U400" s="98" t="str">
        <x:f>IF(OR(J400="",N400=""),"",IF(J400=N400,"No","Yes"))</x:f>
      </x:c>
      <x:c r="V400" s="98" t="n">
        <x:v>1</x:v>
      </x:c>
    </x:row>
    <x:row r="401" ht="54" hidden="0" customHeight="1">
      <x:c r="A401" s="38" t="str">
        <x:v>Q011::B003LY2NF2_review_1940995</x:v>
      </x:c>
      <x:c r="B401" s="38" t="str">
        <x:v>Q011</x:v>
      </x:c>
      <x:c r="C401" s="91" t="str">
        <x:v>Which security camera provides clear night images and reliable wireless connectivity?</x:v>
      </x:c>
      <x:c r="D401" s="38" t="n">
        <x:v>7</x:v>
      </x:c>
      <x:c r="E401" s="38" t="str">
        <x:v>B003LY2NF2</x:v>
      </x:c>
      <x:c r="F401" s="38" t="str">
        <x:v>review</x:v>
      </x:c>
      <x:c r="G401" s="38" t="str">
        <x:v>build quality</x:v>
      </x:c>
      <x:c r="H401" s="38" t="str">
        <x:v>Camera &amp; Photo</x:v>
      </x:c>
      <x:c r="I401" s="91" t="str">
        <x:v>[Product: Zmodo CM-I12316GY Night Vision Wireless IP Network Surveillance Security Camera | ASIN: B003LY2NF2] The picture quality is adequate.</x:v>
      </x:c>
      <x:c r="J401" s="101" t="n">
        <x:v>1</x:v>
      </x:c>
      <x:c r="K401" s="92" t="str">
        <x:v>Human_Reviewer_01</x:v>
      </x:c>
      <x:c r="L401" s="92" t="str">
        <x:v>High</x:v>
      </x:c>
      <x:c r="M401" s="93" t="str">
        <x:v>General picture adequacy does not establish night clarity or connection stability.</x:v>
      </x:c>
      <x:c r="N401" s="94"/>
      <x:c r="O401" s="94"/>
      <x:c r="P401" s="94"/>
      <x:c r="Q401" s="95"/>
      <x:c r="R401" s="96"/>
      <x:c r="S401" s="96"/>
      <x:c r="T401" s="97"/>
      <x:c r="U401" s="98" t="str">
        <x:f>IF(OR(J401="",N401=""),"",IF(J401=N401,"No","Yes"))</x:f>
      </x:c>
      <x:c r="V401" s="98" t="n">
        <x:v>1</x:v>
      </x:c>
    </x:row>
    <x:row r="402" ht="54" hidden="0" customHeight="1">
      <x:c r="A402" s="38" t="str">
        <x:v>Q011::B01NAFYYF6_review_649427</x:v>
      </x:c>
      <x:c r="B402" s="38" t="str">
        <x:v>Q011</x:v>
      </x:c>
      <x:c r="C402" s="91" t="str">
        <x:v>Which security camera provides clear night images and reliable wireless connectivity?</x:v>
      </x:c>
      <x:c r="D402" s="38" t="n">
        <x:v>8</x:v>
      </x:c>
      <x:c r="E402" s="38" t="str">
        <x:v>B01NAFYYF6</x:v>
      </x:c>
      <x:c r="F402" s="38" t="str">
        <x:v>review</x:v>
      </x:c>
      <x:c r="G402" s="38" t="str">
        <x:v>screen/display</x:v>
      </x:c>
      <x:c r="H402" s="38" t="str">
        <x:v>Camera &amp; Photo</x:v>
      </x:c>
      <x:c r="I402" s="91" t="str">
        <x:v>[Product: Amcrest 960H Video Security System Four 800+TVL Weatherproof Cameras, 65ft Night Vision, 984ft Transmit Range, 500GB HDD (Renewed) | ASIN: B01NAFYYF6] The camera images on screen are clear and crisp.</x:v>
      </x:c>
      <x:c r="J402" s="101" t="n">
        <x:v>1</x:v>
      </x:c>
      <x:c r="K402" s="92" t="str">
        <x:v>Human_Reviewer_01</x:v>
      </x:c>
      <x:c r="L402" s="92" t="str">
        <x:v>High</x:v>
      </x:c>
      <x:c r="M402" s="93" t="str">
        <x:v>Security system has clear general images; wireless capability and night clarity are not established.</x:v>
      </x:c>
      <x:c r="N402" s="94"/>
      <x:c r="O402" s="94"/>
      <x:c r="P402" s="94"/>
      <x:c r="Q402" s="95"/>
      <x:c r="R402" s="96"/>
      <x:c r="S402" s="96"/>
      <x:c r="T402" s="97"/>
      <x:c r="U402" s="98" t="str">
        <x:f>IF(OR(J402="",N402=""),"",IF(J402=N402,"No","Yes"))</x:f>
      </x:c>
      <x:c r="V402" s="98" t="n">
        <x:v>1</x:v>
      </x:c>
    </x:row>
    <x:row r="403" ht="54" hidden="0" customHeight="1">
      <x:c r="A403" s="38" t="str">
        <x:v>Q011::B08L7D4N84_review_280055</x:v>
      </x:c>
      <x:c r="B403" s="38" t="str">
        <x:v>Q011</x:v>
      </x:c>
      <x:c r="C403" s="91" t="str">
        <x:v>Which security camera provides clear night images and reliable wireless connectivity?</x:v>
      </x:c>
      <x:c r="D403" s="38" t="n">
        <x:v>9</x:v>
      </x:c>
      <x:c r="E403" s="38" t="str">
        <x:v>B08L7D4N84</x:v>
      </x:c>
      <x:c r="F403" s="38" t="str">
        <x:v>review</x:v>
      </x:c>
      <x:c r="G403" s="38" t="str">
        <x:v>general</x:v>
      </x:c>
      <x:c r="H403" s="38" t="str">
        <x:v>Camera &amp; Photo</x:v>
      </x:c>
      <x:c r="I403" s="91" t="str">
        <x:v>[Product: PHIMIS Outdoor Security Salor 1080P HD Camera Wireless Rechargeble Battery, Visual Intercom Night Vision PIR Motion Detection SD Slot | Argus Pro with Solar Panel，Waterproof 65. | ASIN: B08L7D4N84] Works very well and very reliable and clear picture.</x:v>
      </x:c>
      <x:c r="J403" s="101" t="n">
        <x:v>1</x:v>
      </x:c>
      <x:c r="K403" s="92" t="str">
        <x:v>Human_Reviewer_01</x:v>
      </x:c>
      <x:c r="L403" s="92" t="str">
        <x:v>High</x:v>
      </x:c>
      <x:c r="M403" s="93" t="str">
        <x:v>Wireless camera is generally reliable with clear pictures, but neither night performance nor network stability is isolated.</x:v>
      </x:c>
      <x:c r="N403" s="94"/>
      <x:c r="O403" s="94"/>
      <x:c r="P403" s="94"/>
      <x:c r="Q403" s="95"/>
      <x:c r="R403" s="96"/>
      <x:c r="S403" s="96"/>
      <x:c r="T403" s="97"/>
      <x:c r="U403" s="98" t="str">
        <x:f>IF(OR(J403="",N403=""),"",IF(J403=N403,"No","Yes"))</x:f>
      </x:c>
      <x:c r="V403" s="98" t="n">
        <x:v>1</x:v>
      </x:c>
    </x:row>
    <x:row r="404" ht="54" hidden="0" customHeight="1">
      <x:c r="A404" s="38" t="str">
        <x:v>Q011::B001UTCQKC_review_2922045</x:v>
      </x:c>
      <x:c r="B404" s="38" t="str">
        <x:v>Q011</x:v>
      </x:c>
      <x:c r="C404" s="91" t="str">
        <x:v>Which security camera provides clear night images and reliable wireless connectivity?</x:v>
      </x:c>
      <x:c r="D404" s="38" t="n">
        <x:v>10</x:v>
      </x:c>
      <x:c r="E404" s="38" t="str">
        <x:v>B001UTCQKC</x:v>
      </x:c>
      <x:c r="F404" s="38" t="str">
        <x:v>review</x:v>
      </x:c>
      <x:c r="G404" s="38" t="str">
        <x:v>general</x:v>
      </x:c>
      <x:c r="H404" s="38" t="str">
        <x:v>Camera &amp; Photo</x:v>
      </x:c>
      <x:c r="I404" s="91" t="str">
        <x:v>[Product: Airlink101 AICN500W SkyIPCam500W Wireless Night Vision Network Camera | ASIN: B001UTCQKC] The night vision feature works really well though and images are clear and well defined up to 8-10ft away.</x:v>
      </x:c>
      <x:c r="J404" s="101" t="n">
        <x:v>2</x:v>
      </x:c>
      <x:c r="K404" s="92" t="str">
        <x:v>Human_Reviewer_01</x:v>
      </x:c>
      <x:c r="L404" s="92" t="str">
        <x:v>High</x:v>
      </x:c>
      <x:c r="M404" s="93" t="str">
        <x:v>Wireless camera has clear night images at a specified eight-to-ten-foot range.</x:v>
      </x:c>
      <x:c r="N404" s="94"/>
      <x:c r="O404" s="94"/>
      <x:c r="P404" s="94"/>
      <x:c r="Q404" s="95"/>
      <x:c r="R404" s="96"/>
      <x:c r="S404" s="96"/>
      <x:c r="T404" s="97"/>
      <x:c r="U404" s="98" t="str">
        <x:f>IF(OR(J404="",N404=""),"",IF(J404=N404,"No","Yes"))</x:f>
      </x:c>
      <x:c r="V404" s="98" t="n">
        <x:v>2</x:v>
      </x:c>
    </x:row>
    <x:row r="405" ht="54" hidden="0" customHeight="1">
      <x:c r="A405" s="38" t="str">
        <x:v>Q011::B00L62PDOE_review_2436532</x:v>
      </x:c>
      <x:c r="B405" s="38" t="str">
        <x:v>Q011</x:v>
      </x:c>
      <x:c r="C405" s="91" t="str">
        <x:v>Which security camera provides clear night images and reliable wireless connectivity?</x:v>
      </x:c>
      <x:c r="D405" s="38" t="n">
        <x:v>11</x:v>
      </x:c>
      <x:c r="E405" s="38" t="str">
        <x:v>B00L62PDOE</x:v>
      </x:c>
      <x:c r="F405" s="38" t="str">
        <x:v>review</x:v>
      </x:c>
      <x:c r="G405" s="38" t="str">
        <x:v>build quality</x:v>
      </x:c>
      <x:c r="H405" s="38" t="str">
        <x:v>Camera &amp; Photo</x:v>
      </x:c>
      <x:c r="I405" s="91" t="str">
        <x:v>[Product: First Alert DWIP-720 HD Internet Protocol Wi-Fi Indoor Security Camera (White/Black) | ASIN: B00L62PDOE] Picture quality is great and night vision works great as well.</x:v>
      </x:c>
      <x:c r="J405" s="101" t="n">
        <x:v>2</x:v>
      </x:c>
      <x:c r="K405" s="92" t="str">
        <x:v>Human_Reviewer_01</x:v>
      </x:c>
      <x:c r="L405" s="92" t="str">
        <x:v>High</x:v>
      </x:c>
      <x:c r="M405" s="93" t="str">
        <x:v>Wi-Fi security camera explicitly has good night vision and picture quality.</x:v>
      </x:c>
      <x:c r="N405" s="94"/>
      <x:c r="O405" s="94"/>
      <x:c r="P405" s="94"/>
      <x:c r="Q405" s="95"/>
      <x:c r="R405" s="96"/>
      <x:c r="S405" s="96"/>
      <x:c r="T405" s="97"/>
      <x:c r="U405" s="98" t="str">
        <x:f>IF(OR(J405="",N405=""),"",IF(J405=N405,"No","Yes"))</x:f>
      </x:c>
      <x:c r="V405" s="98" t="n">
        <x:v>2</x:v>
      </x:c>
    </x:row>
    <x:row r="406" ht="54" hidden="0" customHeight="1">
      <x:c r="A406" s="38" t="str">
        <x:v>Q011::B003WOMD7O_review_4029365</x:v>
      </x:c>
      <x:c r="B406" s="38" t="str">
        <x:v>Q011</x:v>
      </x:c>
      <x:c r="C406" s="91" t="str">
        <x:v>Which security camera provides clear night images and reliable wireless connectivity?</x:v>
      </x:c>
      <x:c r="D406" s="38" t="n">
        <x:v>12</x:v>
      </x:c>
      <x:c r="E406" s="38" t="str">
        <x:v>B003WOMD7O</x:v>
      </x:c>
      <x:c r="F406" s="38" t="str">
        <x:v>review</x:v>
      </x:c>
      <x:c r="G406" s="38" t="str">
        <x:v>ease of use</x:v>
      </x:c>
      <x:c r="H406" s="38" t="str">
        <x:v>Camera &amp; Photo</x:v>
      </x:c>
      <x:c r="I406" s="91" t="str">
        <x:v>[Product: SVAT GX301-010 Digital Wireless DVR Security System with 7" LCD Monitor, SD Card Recording and Long Range Night Vision Surveillance Camera | ASIN: B003WOMD7O] Simple to set up and provides a clear picture.</x:v>
      </x:c>
      <x:c r="J406" s="101" t="n">
        <x:v>1</x:v>
      </x:c>
      <x:c r="K406" s="92" t="str">
        <x:v>Human_Reviewer_01</x:v>
      </x:c>
      <x:c r="L406" s="92" t="str">
        <x:v>High</x:v>
      </x:c>
      <x:c r="M406" s="93" t="str">
        <x:v>Wireless system has clear general pictures and simple setup; night performance is untested.</x:v>
      </x:c>
      <x:c r="N406" s="94"/>
      <x:c r="O406" s="94"/>
      <x:c r="P406" s="94"/>
      <x:c r="Q406" s="95"/>
      <x:c r="R406" s="96"/>
      <x:c r="S406" s="96"/>
      <x:c r="T406" s="97"/>
      <x:c r="U406" s="98" t="str">
        <x:f>IF(OR(J406="",N406=""),"",IF(J406=N406,"No","Yes"))</x:f>
      </x:c>
      <x:c r="V406" s="98" t="n">
        <x:v>1</x:v>
      </x:c>
    </x:row>
    <x:row r="407" ht="54" hidden="0" customHeight="1">
      <x:c r="A407" s="38" t="str">
        <x:v>Q011::B09MVZDJMM_review_982441</x:v>
      </x:c>
      <x:c r="B407" s="38" t="str">
        <x:v>Q011</x:v>
      </x:c>
      <x:c r="C407" s="91" t="str">
        <x:v>Which security camera provides clear night images and reliable wireless connectivity?</x:v>
      </x:c>
      <x:c r="D407" s="38" t="n">
        <x:v>13</x:v>
      </x:c>
      <x:c r="E407" s="38" t="str">
        <x:v>B09MVZDJMM</x:v>
      </x:c>
      <x:c r="F407" s="38" t="str">
        <x:v>review</x:v>
      </x:c>
      <x:c r="G407" s="38" t="str">
        <x:v>general</x:v>
      </x:c>
      <x:c r="H407" s="38" t="str">
        <x:v>Camera &amp; Photo</x:v>
      </x:c>
      <x:c r="I407" s="91" t="str">
        <x:v>[Product: GMK Wireless Security Video Doorbell Camera WiFi Rechargeable Battery Bullet Camera | ASIN: B09MVZDJMM] Clear pictures. Day and night options.</x:v>
      </x:c>
      <x:c r="J407" s="101" t="n">
        <x:v>1</x:v>
      </x:c>
      <x:c r="K407" s="92" t="str">
        <x:v>Human_Reviewer_01</x:v>
      </x:c>
      <x:c r="L407" s="92" t="str">
        <x:v>Medium</x:v>
      </x:c>
      <x:c r="M407" s="93" t="str">
        <x:v>Wireless camera has clear pictures and day/night modes, but the chunk does not explicitly establish clarity in night mode or wireless reliability.</x:v>
      </x:c>
      <x:c r="N407" s="94"/>
      <x:c r="O407" s="94"/>
      <x:c r="P407" s="94"/>
      <x:c r="Q407" s="95"/>
      <x:c r="R407" s="96"/>
      <x:c r="S407" s="96"/>
      <x:c r="T407" s="97"/>
      <x:c r="U407" s="98" t="str">
        <x:f>IF(OR(J407="",N407=""),"",IF(J407=N407,"No","Yes"))</x:f>
      </x:c>
      <x:c r="V407" s="98" t="n">
        <x:v>1</x:v>
      </x:c>
    </x:row>
    <x:row r="408" ht="54" hidden="0" customHeight="1">
      <x:c r="A408" s="38" t="str">
        <x:v>Q011::B083FSG3LZ_review_3670035</x:v>
      </x:c>
      <x:c r="B408" s="38" t="str">
        <x:v>Q011</x:v>
      </x:c>
      <x:c r="C408" s="91" t="str">
        <x:v>Which security camera provides clear night images and reliable wireless connectivity?</x:v>
      </x:c>
      <x:c r="D408" s="38" t="n">
        <x:v>14</x:v>
      </x:c>
      <x:c r="E408" s="38" t="str">
        <x:v>B083FSG3LZ</x:v>
      </x:c>
      <x:c r="F408" s="38" t="str">
        <x:v>review</x:v>
      </x:c>
      <x:c r="G408" s="38" t="str">
        <x:v>ease of use</x:v>
      </x:c>
      <x:c r="H408" s="38" t="str">
        <x:v>Camera &amp; Photo</x:v>
      </x:c>
      <x:c r="I408" s="91" t="str">
        <x:v>[Product: Funlux 720p HD WiFi Wireless Smart Home Security Camera System (2 Pack) Indoor Two-Way Audio Night Vision Motion Detection 115 Degree Viewing Angle(Renewed) | ASIN: B083FSG3LZ] The images are very clear day or night and very easy to setup.</x:v>
      </x:c>
      <x:c r="J408" s="101" t="n">
        <x:v>2</x:v>
      </x:c>
      <x:c r="K408" s="92" t="str">
        <x:v>Human_Reviewer_01</x:v>
      </x:c>
      <x:c r="L408" s="92" t="str">
        <x:v>High</x:v>
      </x:c>
      <x:c r="M408" s="93" t="str">
        <x:v>Wi-Fi cameras explicitly provide clear images both day and night.</x:v>
      </x:c>
      <x:c r="N408" s="94"/>
      <x:c r="O408" s="94"/>
      <x:c r="P408" s="94"/>
      <x:c r="Q408" s="95"/>
      <x:c r="R408" s="96"/>
      <x:c r="S408" s="96"/>
      <x:c r="T408" s="97"/>
      <x:c r="U408" s="98" t="str">
        <x:f>IF(OR(J408="",N408=""),"",IF(J408=N408,"No","Yes"))</x:f>
      </x:c>
      <x:c r="V408" s="98" t="n">
        <x:v>2</x:v>
      </x:c>
    </x:row>
    <x:row r="409" ht="54" hidden="0" customHeight="1">
      <x:c r="A409" s="38" t="str">
        <x:v>Q011::B07DQDGG53_review_563276</x:v>
      </x:c>
      <x:c r="B409" s="38" t="str">
        <x:v>Q011</x:v>
      </x:c>
      <x:c r="C409" s="91" t="str">
        <x:v>Which security camera provides clear night images and reliable wireless connectivity?</x:v>
      </x:c>
      <x:c r="D409" s="38" t="n">
        <x:v>15</x:v>
      </x:c>
      <x:c r="E409" s="38" t="str">
        <x:v>B07DQDGG53</x:v>
      </x:c>
      <x:c r="F409" s="38" t="str">
        <x:v>review</x:v>
      </x:c>
      <x:c r="G409" s="38" t="str">
        <x:v>general</x:v>
      </x:c>
      <x:c r="H409" s="38" t="str">
        <x:v>Camera &amp; Photo</x:v>
      </x:c>
      <x:c r="I409" s="91" t="str">
        <x:v>[Product: Add-on Camera | xmartO WB2054 Wireless Security Camera, H.265+ 1080p Full HD Wireless Security Surveillance Camera Indoor/Outdoor with Night Vision and 4mm Lens, Power Supply Included | ASIN: B07DQDGG53] Crystal clear picture with excellent night vision.</x:v>
      </x:c>
      <x:c r="J409" s="101" t="n">
        <x:v>2</x:v>
      </x:c>
      <x:c r="K409" s="92" t="str">
        <x:v>Human_Reviewer_01</x:v>
      </x:c>
      <x:c r="L409" s="92" t="str">
        <x:v>High</x:v>
      </x:c>
      <x:c r="M409" s="93" t="str">
        <x:v>Wireless security camera explicitly provides clear pictures and excellent night vision.</x:v>
      </x:c>
      <x:c r="N409" s="94"/>
      <x:c r="O409" s="94"/>
      <x:c r="P409" s="94"/>
      <x:c r="Q409" s="95"/>
      <x:c r="R409" s="96"/>
      <x:c r="S409" s="96"/>
      <x:c r="T409" s="97"/>
      <x:c r="U409" s="98" t="str">
        <x:f>IF(OR(J409="",N409=""),"",IF(J409=N409,"No","Yes"))</x:f>
      </x:c>
      <x:c r="V409" s="98" t="n">
        <x:v>2</x:v>
      </x:c>
    </x:row>
    <x:row r="410" ht="54" hidden="0" customHeight="1">
      <x:c r="A410" s="38" t="str">
        <x:v>Q011::B00D8XN61G_review_1987520</x:v>
      </x:c>
      <x:c r="B410" s="38" t="str">
        <x:v>Q011</x:v>
      </x:c>
      <x:c r="C410" s="91" t="str">
        <x:v>Which security camera provides clear night images and reliable wireless connectivity?</x:v>
      </x:c>
      <x:c r="D410" s="38" t="n">
        <x:v>16</x:v>
      </x:c>
      <x:c r="E410" s="38" t="str">
        <x:v>B00D8XN61G</x:v>
      </x:c>
      <x:c r="F410" s="38" t="str">
        <x:v>review</x:v>
      </x:c>
      <x:c r="G410" s="38" t="str">
        <x:v>design/appearance</x:v>
      </x:c>
      <x:c r="H410" s="38" t="str">
        <x:v>Camera &amp; Photo</x:v>
      </x:c>
      <x:c r="I410" s="91" t="str">
        <x:v>[Product: Lorex LH018501C4WF Vantage 8-Channel Video Security System with 4 Wireless Security Cameras (Black and White) | ASIN: B00D8XN61G] Images are great, color is clear and helpful.</x:v>
      </x:c>
      <x:c r="J410" s="101" t="n">
        <x:v>1</x:v>
      </x:c>
      <x:c r="K410" s="92" t="str">
        <x:v>Human_Reviewer_01</x:v>
      </x:c>
      <x:c r="L410" s="92" t="str">
        <x:v>High</x:v>
      </x:c>
      <x:c r="M410" s="93" t="str">
        <x:v>Wireless cameras have clear color images, but night quality and network stability are absent.</x:v>
      </x:c>
      <x:c r="N410" s="94"/>
      <x:c r="O410" s="94"/>
      <x:c r="P410" s="94"/>
      <x:c r="Q410" s="95"/>
      <x:c r="R410" s="96"/>
      <x:c r="S410" s="96"/>
      <x:c r="T410" s="97"/>
      <x:c r="U410" s="98" t="str">
        <x:f>IF(OR(J410="",N410=""),"",IF(J410=N410,"No","Yes"))</x:f>
      </x:c>
      <x:c r="V410" s="98" t="n">
        <x:v>1</x:v>
      </x:c>
    </x:row>
    <x:row r="411" ht="54" hidden="0" customHeight="1">
      <x:c r="A411" s="38" t="str">
        <x:v>Q011::B00LN0ODRC_review_3617272</x:v>
      </x:c>
      <x:c r="B411" s="38" t="str">
        <x:v>Q011</x:v>
      </x:c>
      <x:c r="C411" s="91" t="str">
        <x:v>Which security camera provides clear night images and reliable wireless connectivity?</x:v>
      </x:c>
      <x:c r="D411" s="38" t="n">
        <x:v>17</x:v>
      </x:c>
      <x:c r="E411" s="38" t="str">
        <x:v>B00LN0ODRC</x:v>
      </x:c>
      <x:c r="F411" s="38" t="str">
        <x:v>review</x:v>
      </x:c>
      <x:c r="G411" s="38" t="str">
        <x:v>build quality</x:v>
      </x:c>
      <x:c r="H411" s="38" t="str">
        <x:v>Camera &amp; Photo</x:v>
      </x:c>
      <x:c r="I411" s="91" t="str">
        <x:v>[Product: Outdoor Wireless Home Security Surveillance IP Camera with Weatherproof Aluminum Body and Night Vision - Connect Wifi for Remote Access to Live Video from Desktop or Mobile App | ASIN: B00LN0ODRC] The picture quality on it is pretty good.</x:v>
      </x:c>
      <x:c r="J411" s="101" t="n">
        <x:v>1</x:v>
      </x:c>
      <x:c r="K411" s="92" t="str">
        <x:v>Human_Reviewer_01</x:v>
      </x:c>
      <x:c r="L411" s="92" t="str">
        <x:v>High</x:v>
      </x:c>
      <x:c r="M411" s="93" t="str">
        <x:v>Wireless camera general picture quality is good, but night clarity and stability are untested.</x:v>
      </x:c>
      <x:c r="N411" s="94"/>
      <x:c r="O411" s="94"/>
      <x:c r="P411" s="94"/>
      <x:c r="Q411" s="95"/>
      <x:c r="R411" s="96"/>
      <x:c r="S411" s="96"/>
      <x:c r="T411" s="97"/>
      <x:c r="U411" s="98" t="str">
        <x:f>IF(OR(J411="",N411=""),"",IF(J411=N411,"No","Yes"))</x:f>
      </x:c>
      <x:c r="V411" s="98" t="n">
        <x:v>1</x:v>
      </x:c>
    </x:row>
    <x:row r="412" ht="54" hidden="0" customHeight="1">
      <x:c r="A412" s="38" t="str">
        <x:v>Q011::B013P0HQKI_review_67271</x:v>
      </x:c>
      <x:c r="B412" s="38" t="str">
        <x:v>Q011</x:v>
      </x:c>
      <x:c r="C412" s="91" t="str">
        <x:v>Which security camera provides clear night images and reliable wireless connectivity?</x:v>
      </x:c>
      <x:c r="D412" s="38" t="n">
        <x:v>18</x:v>
      </x:c>
      <x:c r="E412" s="38" t="str">
        <x:v>B013P0HQKI</x:v>
      </x:c>
      <x:c r="F412" s="38" t="str">
        <x:v>review</x:v>
      </x:c>
      <x:c r="G412" s="38" t="str">
        <x:v>build quality</x:v>
      </x:c>
      <x:c r="H412" s="38" t="str">
        <x:v>Computers</x:v>
      </x:c>
      <x:c r="I412" s="91" t="str">
        <x:v>[Product: Indoor Wireless Security Surveillance IP Camera with Motion Detection and Night Vision - Connect to Your Home WiFi Network for Remote Access to Live Video - PIPCAM12 | ASIN: B013P0HQKI] The camera is about 50' from my nearest router and the picture quality is fine.</x:v>
      </x:c>
      <x:c r="J412" s="101" t="n">
        <x:v>2</x:v>
      </x:c>
      <x:c r="K412" s="92" t="str">
        <x:v>Human_Reviewer_01</x:v>
      </x:c>
      <x:c r="L412" s="92" t="str">
        <x:v>High</x:v>
      </x:c>
      <x:c r="M412" s="93" t="str">
        <x:v>Camera provides usable images about fifty feet from the router, directly supporting wireless reach.</x:v>
      </x:c>
      <x:c r="N412" s="94"/>
      <x:c r="O412" s="94"/>
      <x:c r="P412" s="94"/>
      <x:c r="Q412" s="95"/>
      <x:c r="R412" s="96"/>
      <x:c r="S412" s="96"/>
      <x:c r="T412" s="97"/>
      <x:c r="U412" s="98" t="str">
        <x:f>IF(OR(J412="",N412=""),"",IF(J412=N412,"No","Yes"))</x:f>
      </x:c>
      <x:c r="V412" s="98" t="n">
        <x:v>2</x:v>
      </x:c>
    </x:row>
    <x:row r="413" ht="54" hidden="0" customHeight="1">
      <x:c r="A413" s="38" t="str">
        <x:v>Q011::B09BCSRRXH_review_1688021</x:v>
      </x:c>
      <x:c r="B413" s="38" t="str">
        <x:v>Q011</x:v>
      </x:c>
      <x:c r="C413" s="91" t="str">
        <x:v>Which security camera provides clear night images and reliable wireless connectivity?</x:v>
      </x:c>
      <x:c r="D413" s="38" t="n">
        <x:v>19</x:v>
      </x:c>
      <x:c r="E413" s="38" t="str">
        <x:v>B09BCSRRXH</x:v>
      </x:c>
      <x:c r="F413" s="38" t="str">
        <x:v>review</x:v>
      </x:c>
      <x:c r="G413" s="38" t="str">
        <x:v>price/value</x:v>
      </x:c>
      <x:c r="H413" s="38" t="str">
        <x:v>Camera &amp; Photo</x:v>
      </x:c>
      <x:c r="I413" s="91" t="str">
        <x:v>[Product: TIENCIY Home WiFi Light Camera, Full HD 1080P Wireless Camera 2.4GHz 360 Bird View Wi-Fi Security IP Camera Remote Viewing Camera Night Vision Motion Detection for Home/Office/Baby/Pet | ASIN: B09BCSRRXH] Not worth the money, has no practical use and it is a security issue as it provides no good images and it can easily be hacked.</x:v>
      </x:c>
      <x:c r="J413" s="101" t="n">
        <x:v>1</x:v>
      </x:c>
      <x:c r="K413" s="92" t="str">
        <x:v>Human_Reviewer_01</x:v>
      </x:c>
      <x:c r="L413" s="92" t="str">
        <x:v>High</x:v>
      </x:c>
      <x:c r="M413" s="93" t="str">
        <x:v>Camera has poor general images and a security complaint, without night or stability detail.</x:v>
      </x:c>
      <x:c r="N413" s="94"/>
      <x:c r="O413" s="94"/>
      <x:c r="P413" s="94"/>
      <x:c r="Q413" s="95"/>
      <x:c r="R413" s="96"/>
      <x:c r="S413" s="96"/>
      <x:c r="T413" s="97"/>
      <x:c r="U413" s="98" t="str">
        <x:f>IF(OR(J413="",N413=""),"",IF(J413=N413,"No","Yes"))</x:f>
      </x:c>
      <x:c r="V413" s="98" t="n">
        <x:v>1</x:v>
      </x:c>
    </x:row>
    <x:row r="414" ht="54" hidden="0" customHeight="1">
      <x:c r="A414" s="38" t="str">
        <x:v>Q011::B0BNQ3Q4HH_review_3766010</x:v>
      </x:c>
      <x:c r="B414" s="38" t="str">
        <x:v>Q011</x:v>
      </x:c>
      <x:c r="C414" s="91" t="str">
        <x:v>Which security camera provides clear night images and reliable wireless connectivity?</x:v>
      </x:c>
      <x:c r="D414" s="38" t="n">
        <x:v>20</x:v>
      </x:c>
      <x:c r="E414" s="38" t="str">
        <x:v>B0BNQ3Q4HH</x:v>
      </x:c>
      <x:c r="F414" s="38" t="str">
        <x:v>review</x:v>
      </x:c>
      <x:c r="G414" s="38" t="str">
        <x:v>general</x:v>
      </x:c>
      <x:c r="H414" s="38" t="str">
        <x:v>Camera &amp; Photo</x:v>
      </x:c>
      <x:c r="I414" s="91" t="str">
        <x:v>[Product: CURISEE Security Cameras Wireless Outdoor Solar Powered, WiFi Camera, 2K with Color Night Vision, IP65, Detection AI, 2-Way Audio, 2.4 GHz WiFi | ASIN: B0BNQ3Q4HH] This is a very good security camera with clear vision. I like it.</x:v>
      </x:c>
      <x:c r="J414" s="101" t="n">
        <x:v>1</x:v>
      </x:c>
      <x:c r="K414" s="92" t="str">
        <x:v>Human_Reviewer_01</x:v>
      </x:c>
      <x:c r="L414" s="92" t="str">
        <x:v>High</x:v>
      </x:c>
      <x:c r="M414" s="93" t="str">
        <x:v>Clear general vision is praised; night clarity and stability are not directly tested.</x:v>
      </x:c>
      <x:c r="N414" s="94"/>
      <x:c r="O414" s="94"/>
      <x:c r="P414" s="94"/>
      <x:c r="Q414" s="95"/>
      <x:c r="R414" s="96"/>
      <x:c r="S414" s="96"/>
      <x:c r="T414" s="97"/>
      <x:c r="U414" s="98" t="str">
        <x:f>IF(OR(J414="",N414=""),"",IF(J414=N414,"No","Yes"))</x:f>
      </x:c>
      <x:c r="V414" s="98" t="n">
        <x:v>1</x:v>
      </x:c>
    </x:row>
    <x:row r="415" ht="54" hidden="0" customHeight="1">
      <x:c r="A415" s="38" t="str">
        <x:v>Q011::B01L9VCC18_review_3731807</x:v>
      </x:c>
      <x:c r="B415" s="38" t="str">
        <x:v>Q011</x:v>
      </x:c>
      <x:c r="C415" s="91" t="str">
        <x:v>Which security camera provides clear night images and reliable wireless connectivity?</x:v>
      </x:c>
      <x:c r="D415" s="38" t="n">
        <x:v>21</x:v>
      </x:c>
      <x:c r="E415" s="38" t="str">
        <x:v>B01L9VCC18</x:v>
      </x:c>
      <x:c r="F415" s="38" t="str">
        <x:v>review</x:v>
      </x:c>
      <x:c r="G415" s="38" t="str">
        <x:v>general</x:v>
      </x:c>
      <x:c r="H415" s="38" t="str">
        <x:v>Camera &amp; Photo</x:v>
      </x:c>
      <x:c r="I415" s="91" t="str">
        <x:v>[Product: Amcrest ProHD Fixed Outdoor 1.3 Megapixel Wi-Fi Vandal Dome IP Security Camera - IP67 Weatherproof, IK10 Vandal-Proof, 1.3MP (1280x960 TVL), IPM-751B (Black) | ASIN: B01L9VCC18] Excellent outdoor IP cam. The cams video and images are crisp and clear, the night view images are clear as well.</x:v>
      </x:c>
      <x:c r="J415" s="101" t="n">
        <x:v>2</x:v>
      </x:c>
      <x:c r="K415" s="92" t="str">
        <x:v>Human_Reviewer_01</x:v>
      </x:c>
      <x:c r="L415" s="92" t="str">
        <x:v>High</x:v>
      </x:c>
      <x:c r="M415" s="93" t="str">
        <x:v>Wi-Fi security camera explicitly provides clear night images.</x:v>
      </x:c>
      <x:c r="N415" s="94"/>
      <x:c r="O415" s="94"/>
      <x:c r="P415" s="94"/>
      <x:c r="Q415" s="95"/>
      <x:c r="R415" s="96"/>
      <x:c r="S415" s="96"/>
      <x:c r="T415" s="97"/>
      <x:c r="U415" s="98" t="str">
        <x:f>IF(OR(J415="",N415=""),"",IF(J415=N415,"No","Yes"))</x:f>
      </x:c>
      <x:c r="V415" s="98" t="n">
        <x:v>2</x:v>
      </x:c>
    </x:row>
    <x:row r="416" ht="54" hidden="0" customHeight="1">
      <x:c r="A416" s="38" t="str">
        <x:v>Q011::B09M6YY8K7_review_3945445</x:v>
      </x:c>
      <x:c r="B416" s="38" t="str">
        <x:v>Q011</x:v>
      </x:c>
      <x:c r="C416" s="91" t="str">
        <x:v>Which security camera provides clear night images and reliable wireless connectivity?</x:v>
      </x:c>
      <x:c r="D416" s="38" t="n">
        <x:v>22</x:v>
      </x:c>
      <x:c r="E416" s="38" t="str">
        <x:v>B09M6YY8K7</x:v>
      </x:c>
      <x:c r="F416" s="38" t="str">
        <x:v>review</x:v>
      </x:c>
      <x:c r="G416" s="38" t="str">
        <x:v>general</x:v>
      </x:c>
      <x:c r="H416" s="38" t="str">
        <x:v>Camera &amp; Photo</x:v>
      </x:c>
      <x:c r="I416" s="91" t="str">
        <x:v>[Product: 【with Solar Panel】 Security Camera Wireless Outdoor,with Rechargeable Battery Powered WiFi Camera,Upgraded Night Vision Home Security Camera,2-Way Audio and SD Storage,Advanced AI Person-Detection | ASIN: B09M6YY8K7] The video images are exceptional (including night vision). I absolutely love this camera and highly recommend it.</x:v>
      </x:c>
      <x:c r="J416" s="101" t="n">
        <x:v>2</x:v>
      </x:c>
      <x:c r="K416" s="92" t="str">
        <x:v>Human_Reviewer_01</x:v>
      </x:c>
      <x:c r="L416" s="92" t="str">
        <x:v>High</x:v>
      </x:c>
      <x:c r="M416" s="93" t="str">
        <x:v>Wireless camera explicitly has exceptional images including night vision.</x:v>
      </x:c>
      <x:c r="N416" s="94"/>
      <x:c r="O416" s="94"/>
      <x:c r="P416" s="94"/>
      <x:c r="Q416" s="95"/>
      <x:c r="R416" s="96"/>
      <x:c r="S416" s="96"/>
      <x:c r="T416" s="97"/>
      <x:c r="U416" s="98" t="str">
        <x:f>IF(OR(J416="",N416=""),"",IF(J416=N416,"No","Yes"))</x:f>
      </x:c>
      <x:c r="V416" s="98" t="n">
        <x:v>2</x:v>
      </x:c>
    </x:row>
    <x:row r="417" ht="54" hidden="0" customHeight="1">
      <x:c r="A417" s="38" t="str">
        <x:v>Q011::B0B7NQT876_review_1157232</x:v>
      </x:c>
      <x:c r="B417" s="38" t="str">
        <x:v>Q011</x:v>
      </x:c>
      <x:c r="C417" s="91" t="str">
        <x:v>Which security camera provides clear night images and reliable wireless connectivity?</x:v>
      </x:c>
      <x:c r="D417" s="38" t="n">
        <x:v>23</x:v>
      </x:c>
      <x:c r="E417" s="38" t="str">
        <x:v>B0B7NQT876</x:v>
      </x:c>
      <x:c r="F417" s="38" t="str">
        <x:v>review</x:v>
      </x:c>
      <x:c r="G417" s="38" t="str">
        <x:v>price/value</x:v>
      </x:c>
      <x:c r="H417" s="38" t="str">
        <x:v>Camera &amp; Photo</x:v>
      </x:c>
      <x:c r="I417" s="91" t="str">
        <x:v>[Product: Security Camera Wireless for Home | ASIN: B0B7NQT876] The night version mood is clear enough and comes with solar panels which saved you a lot of money on it.</x:v>
      </x:c>
      <x:c r="J417" s="101" t="n">
        <x:v>2</x:v>
      </x:c>
      <x:c r="K417" s="92" t="str">
        <x:v>Human_Reviewer_01</x:v>
      </x:c>
      <x:c r="L417" s="92" t="str">
        <x:v>High</x:v>
      </x:c>
      <x:c r="M417" s="93" t="str">
        <x:v>Wireless camera explicitly has adequately clear night mode.</x:v>
      </x:c>
      <x:c r="N417" s="94"/>
      <x:c r="O417" s="94"/>
      <x:c r="P417" s="94"/>
      <x:c r="Q417" s="95"/>
      <x:c r="R417" s="96"/>
      <x:c r="S417" s="96"/>
      <x:c r="T417" s="97"/>
      <x:c r="U417" s="98" t="str">
        <x:f>IF(OR(J417="",N417=""),"",IF(J417=N417,"No","Yes"))</x:f>
      </x:c>
      <x:c r="V417" s="98" t="n">
        <x:v>2</x:v>
      </x:c>
    </x:row>
    <x:row r="418" ht="54" hidden="0" customHeight="1">
      <x:c r="A418" s="38" t="str">
        <x:v>Q011::B003LY2NF2_review_1941011</x:v>
      </x:c>
      <x:c r="B418" s="38" t="str">
        <x:v>Q011</x:v>
      </x:c>
      <x:c r="C418" s="91" t="str">
        <x:v>Which security camera provides clear night images and reliable wireless connectivity?</x:v>
      </x:c>
      <x:c r="D418" s="38" t="n">
        <x:v>24</x:v>
      </x:c>
      <x:c r="E418" s="38" t="str">
        <x:v>B003LY2NF2</x:v>
      </x:c>
      <x:c r="F418" s="38" t="str">
        <x:v>review</x:v>
      </x:c>
      <x:c r="G418" s="38" t="str">
        <x:v>connectivity</x:v>
      </x:c>
      <x:c r="H418" s="38" t="str">
        <x:v>Camera &amp; Photo</x:v>
      </x:c>
      <x:c r="I418" s="91" t="str">
        <x:v>[Product: Zmodo CM-I12316GY Night Vision Wireless IP Network Surveillance Security Camera | ASIN: B003LY2NF2] All in all the camera works flawlessly with an exceptional picture and most ip camera software supports the camera or something close enough to work.</x:v>
      </x:c>
      <x:c r="J418" s="101" t="n">
        <x:v>1</x:v>
      </x:c>
      <x:c r="K418" s="92" t="str">
        <x:v>Human_Reviewer_01</x:v>
      </x:c>
      <x:c r="L418" s="92" t="str">
        <x:v>High</x:v>
      </x:c>
      <x:c r="M418" s="93" t="str">
        <x:v>Generic flawless operation and good pictures do not isolate night clarity or network reliability.</x:v>
      </x:c>
      <x:c r="N418" s="94"/>
      <x:c r="O418" s="94"/>
      <x:c r="P418" s="94"/>
      <x:c r="Q418" s="95"/>
      <x:c r="R418" s="96"/>
      <x:c r="S418" s="96"/>
      <x:c r="T418" s="97"/>
      <x:c r="U418" s="98" t="str">
        <x:f>IF(OR(J418="",N418=""),"",IF(J418=N418,"No","Yes"))</x:f>
      </x:c>
      <x:c r="V418" s="98" t="n">
        <x:v>1</x:v>
      </x:c>
    </x:row>
    <x:row r="419" ht="54" hidden="0" customHeight="1">
      <x:c r="A419" s="38" t="str">
        <x:v>Q011::B07RN2R83N_review_86639</x:v>
      </x:c>
      <x:c r="B419" s="38" t="str">
        <x:v>Q011</x:v>
      </x:c>
      <x:c r="C419" s="91" t="str">
        <x:v>Which security camera provides clear night images and reliable wireless connectivity?</x:v>
      </x:c>
      <x:c r="D419" s="38" t="n">
        <x:v>25</x:v>
      </x:c>
      <x:c r="E419" s="38" t="str">
        <x:v>B07RN2R83N</x:v>
      </x:c>
      <x:c r="F419" s="38" t="str">
        <x:v>review</x:v>
      </x:c>
      <x:c r="G419" s="38" t="str">
        <x:v>general</x:v>
      </x:c>
      <x:c r="H419" s="38" t="str">
        <x:v>Camera &amp; Photo</x:v>
      </x:c>
      <x:c r="I419" s="91" t="str">
        <x:v>[Product: Kasa Spot Indoor Camera, 1080P HD Smart Wifi Security Camera (2-Pack) Night Vision, Motion Detection, Works with Google Assistant and Alexa (KC100P2) | ASIN: B07RN2R83N] Super clear images and easily available history.</x:v>
      </x:c>
      <x:c r="J419" s="101" t="n">
        <x:v>1</x:v>
      </x:c>
      <x:c r="K419" s="92" t="str">
        <x:v>Human_Reviewer_01</x:v>
      </x:c>
      <x:c r="L419" s="92" t="str">
        <x:v>High</x:v>
      </x:c>
      <x:c r="M419" s="93" t="str">
        <x:v>Wi-Fi camera has clear general images and accessible history; night quality is untested.</x:v>
      </x:c>
      <x:c r="N419" s="94"/>
      <x:c r="O419" s="94"/>
      <x:c r="P419" s="94"/>
      <x:c r="Q419" s="95"/>
      <x:c r="R419" s="96"/>
      <x:c r="S419" s="96"/>
      <x:c r="T419" s="97"/>
      <x:c r="U419" s="98" t="str">
        <x:f>IF(OR(J419="",N419=""),"",IF(J419=N419,"No","Yes"))</x:f>
      </x:c>
      <x:c r="V419" s="98" t="n">
        <x:v>1</x:v>
      </x:c>
    </x:row>
    <x:row r="420" ht="54" hidden="0" customHeight="1">
      <x:c r="A420" s="38" t="str">
        <x:v>Q011::B001UPOJRO_review_1423673</x:v>
      </x:c>
      <x:c r="B420" s="38" t="str">
        <x:v>Q011</x:v>
      </x:c>
      <x:c r="C420" s="91" t="str">
        <x:v>Which security camera provides clear night images and reliable wireless connectivity?</x:v>
      </x:c>
      <x:c r="D420" s="38" t="n">
        <x:v>26</x:v>
      </x:c>
      <x:c r="E420" s="38" t="str">
        <x:v>B001UPOJRO</x:v>
      </x:c>
      <x:c r="F420" s="38" t="str">
        <x:v>review</x:v>
      </x:c>
      <x:c r="G420" s="38" t="str">
        <x:v>build quality</x:v>
      </x:c>
      <x:c r="H420" s="38" t="str">
        <x:v>Camera &amp; Photo</x:v>
      </x:c>
      <x:c r="I420" s="91" t="str">
        <x:v>[Product: Airlink101 AICN777W SkyIPCam777W Wireless MPEG4 Night Vision Pan/Tilt Network Camera | ASIN: B001UPOJRO] I needed a decent WiFi surveillance camera that can upload photos offsite and provides decent quality at night.</x:v>
      </x:c>
      <x:c r="J420" s="101" t="n">
        <x:v>1</x:v>
      </x:c>
      <x:c r="K420" s="92" t="str">
        <x:v>Human_Reviewer_01</x:v>
      </x:c>
      <x:c r="L420" s="92" t="str">
        <x:v>High</x:v>
      </x:c>
      <x:c r="M420" s="93" t="str">
        <x:v>Reviewer states desired night quality and offsite upload without reporting achieved performance.</x:v>
      </x:c>
      <x:c r="N420" s="94"/>
      <x:c r="O420" s="94"/>
      <x:c r="P420" s="94"/>
      <x:c r="Q420" s="95"/>
      <x:c r="R420" s="96"/>
      <x:c r="S420" s="96"/>
      <x:c r="T420" s="97"/>
      <x:c r="U420" s="98" t="str">
        <x:f>IF(OR(J420="",N420=""),"",IF(J420=N420,"No","Yes"))</x:f>
      </x:c>
      <x:c r="V420" s="98" t="n">
        <x:v>1</x:v>
      </x:c>
    </x:row>
    <x:row r="421" ht="54" hidden="0" customHeight="1">
      <x:c r="A421" s="38" t="str">
        <x:v>Q011::B018GRXTM4_review_320378</x:v>
      </x:c>
      <x:c r="B421" s="38" t="str">
        <x:v>Q011</x:v>
      </x:c>
      <x:c r="C421" s="91" t="str">
        <x:v>Which security camera provides clear night images and reliable wireless connectivity?</x:v>
      </x:c>
      <x:c r="D421" s="38" t="n">
        <x:v>27</x:v>
      </x:c>
      <x:c r="E421" s="38" t="str">
        <x:v>B018GRXTM4</x:v>
      </x:c>
      <x:c r="F421" s="38" t="str">
        <x:v>review</x:v>
      </x:c>
      <x:c r="G421" s="38" t="str">
        <x:v>general</x:v>
      </x:c>
      <x:c r="H421" s="38" t="str">
        <x:v>Camera &amp; Photo</x:v>
      </x:c>
      <x:c r="I421" s="91" t="str">
        <x:v>[Product: Pyle HD 720p Outdoor Wireless Home Security Surveillance IP Camera with Weatherproof Aluminum Body and Night Vision - Connect WiFi for Remote Access to Live Video from Desktop or Mobile App | ASIN: B018GRXTM4] Probably very good but I am not technology adept enough to set it up.</x:v>
      </x:c>
      <x:c r="J421" s="101" t="n">
        <x:v>1</x:v>
      </x:c>
      <x:c r="K421" s="92" t="str">
        <x:v>Human_Reviewer_01</x:v>
      </x:c>
      <x:c r="L421" s="92" t="str">
        <x:v>High</x:v>
      </x:c>
      <x:c r="M421" s="93" t="str">
        <x:v>Reviewer cannot set up the camera; night and network performance are untested.</x:v>
      </x:c>
      <x:c r="N421" s="94"/>
      <x:c r="O421" s="94"/>
      <x:c r="P421" s="94"/>
      <x:c r="Q421" s="95"/>
      <x:c r="R421" s="96"/>
      <x:c r="S421" s="96"/>
      <x:c r="T421" s="97"/>
      <x:c r="U421" s="98" t="str">
        <x:f>IF(OR(J421="",N421=""),"",IF(J421=N421,"No","Yes"))</x:f>
      </x:c>
      <x:c r="V421" s="98" t="n">
        <x:v>1</x:v>
      </x:c>
    </x:row>
    <x:row r="422" ht="54" hidden="0" customHeight="1">
      <x:c r="A422" s="38" t="str">
        <x:v>Q011::B07VB3N387_review_1991275</x:v>
      </x:c>
      <x:c r="B422" s="38" t="str">
        <x:v>Q011</x:v>
      </x:c>
      <x:c r="C422" s="91" t="str">
        <x:v>Which security camera provides clear night images and reliable wireless connectivity?</x:v>
      </x:c>
      <x:c r="D422" s="38" t="n">
        <x:v>28</x:v>
      </x:c>
      <x:c r="E422" s="38" t="str">
        <x:v>B07VB3N387</x:v>
      </x:c>
      <x:c r="F422" s="38" t="str">
        <x:v>review</x:v>
      </x:c>
      <x:c r="G422" s="38" t="str">
        <x:v>price/value</x:v>
      </x:c>
      <x:c r="H422" s="38" t="str">
        <x:v>Camera &amp; Photo</x:v>
      </x:c>
      <x:c r="I422" s="91" t="str">
        <x:v>[Product: Funlux Wireless Two-Way Audio Home Security Camera (3 Pack) Smart HD WiFi IP Cameras with Night Vision (Renewed) | ASIN: B07VB3N387] I love these cameras affordable and clear images with sound.</x:v>
      </x:c>
      <x:c r="J422" s="101" t="n">
        <x:v>1</x:v>
      </x:c>
      <x:c r="K422" s="92" t="str">
        <x:v>Human_Reviewer_01</x:v>
      </x:c>
      <x:c r="L422" s="92" t="str">
        <x:v>High</x:v>
      </x:c>
      <x:c r="M422" s="93" t="str">
        <x:v>Wi-Fi cameras have clear general images, but night quality and stability are absent.</x:v>
      </x:c>
      <x:c r="N422" s="94"/>
      <x:c r="O422" s="94"/>
      <x:c r="P422" s="94"/>
      <x:c r="Q422" s="95"/>
      <x:c r="R422" s="96"/>
      <x:c r="S422" s="96"/>
      <x:c r="T422" s="97"/>
      <x:c r="U422" s="98" t="str">
        <x:f>IF(OR(J422="",N422=""),"",IF(J422=N422,"No","Yes"))</x:f>
      </x:c>
      <x:c r="V422" s="98" t="n">
        <x:v>1</x:v>
      </x:c>
    </x:row>
    <x:row r="423" ht="54" hidden="0" customHeight="1">
      <x:c r="A423" s="38" t="str">
        <x:v>Q011::B017UH4R9A_review_566940</x:v>
      </x:c>
      <x:c r="B423" s="38" t="str">
        <x:v>Q011</x:v>
      </x:c>
      <x:c r="C423" s="91" t="str">
        <x:v>Which security camera provides clear night images and reliable wireless connectivity?</x:v>
      </x:c>
      <x:c r="D423" s="38" t="n">
        <x:v>29</x:v>
      </x:c>
      <x:c r="E423" s="38" t="str">
        <x:v>B017UH4R9A</x:v>
      </x:c>
      <x:c r="F423" s="38" t="str">
        <x:v>review</x:v>
      </x:c>
      <x:c r="G423" s="38" t="str">
        <x:v>ease of use</x:v>
      </x:c>
      <x:c r="H423" s="38" t="str">
        <x:v>Camera &amp; Photo</x:v>
      </x:c>
      <x:c r="I423" s="91" t="str">
        <x:v>[Product: Funlux 720p Smart Security Camera System, 4x HD Wireless IP Cameras with Night Vision, Smartphone Viewing, White | ASIN: B017UH4R9A] I had the camera about 2 years and really like these security cameras, easy to setup and clear night vision.</x:v>
      </x:c>
      <x:c r="J423" s="101" t="n">
        <x:v>2</x:v>
      </x:c>
      <x:c r="K423" s="92" t="str">
        <x:v>Human_Reviewer_01</x:v>
      </x:c>
      <x:c r="L423" s="92" t="str">
        <x:v>High</x:v>
      </x:c>
      <x:c r="M423" s="93" t="str">
        <x:v>Wireless cameras have clear night vision after approximately two years of ownership.</x:v>
      </x:c>
      <x:c r="N423" s="94"/>
      <x:c r="O423" s="94"/>
      <x:c r="P423" s="94"/>
      <x:c r="Q423" s="95"/>
      <x:c r="R423" s="96"/>
      <x:c r="S423" s="96"/>
      <x:c r="T423" s="97"/>
      <x:c r="U423" s="98" t="str">
        <x:f>IF(OR(J423="",N423=""),"",IF(J423=N423,"No","Yes"))</x:f>
      </x:c>
      <x:c r="V423" s="98" t="n">
        <x:v>2</x:v>
      </x:c>
    </x:row>
    <x:row r="424" ht="54" hidden="0" customHeight="1">
      <x:c r="A424" s="38" t="str">
        <x:v>Q011::B08D11NL9Y_review_3493951</x:v>
      </x:c>
      <x:c r="B424" s="38" t="str">
        <x:v>Q011</x:v>
      </x:c>
      <x:c r="C424" s="91" t="str">
        <x:v>Which security camera provides clear night images and reliable wireless connectivity?</x:v>
      </x:c>
      <x:c r="D424" s="38" t="n">
        <x:v>30</x:v>
      </x:c>
      <x:c r="E424" s="38" t="str">
        <x:v>B08D11NL9Y</x:v>
      </x:c>
      <x:c r="F424" s="38" t="str">
        <x:v>review</x:v>
      </x:c>
      <x:c r="G424" s="38" t="str">
        <x:v>general</x:v>
      </x:c>
      <x:c r="H424" s="38" t="str">
        <x:v>Camera &amp; Photo</x:v>
      </x:c>
      <x:c r="I424" s="91" t="str">
        <x:v>[Product: Zmodo 720p HD Wireless WiFi Indoor/Outdoor Home Security Camera with Night Vision | ASIN: B08D11NL9Y] Great lil camera does good even in night vision mode.</x:v>
      </x:c>
      <x:c r="J424" s="101" t="n">
        <x:v>2</x:v>
      </x:c>
      <x:c r="K424" s="92" t="str">
        <x:v>Human_Reviewer_01</x:v>
      </x:c>
      <x:c r="L424" s="92" t="str">
        <x:v>High</x:v>
      </x:c>
      <x:c r="M424" s="93" t="str">
        <x:v>Wireless camera explicitly performs well in night-vision mode.</x:v>
      </x:c>
      <x:c r="N424" s="94"/>
      <x:c r="O424" s="94"/>
      <x:c r="P424" s="94"/>
      <x:c r="Q424" s="95"/>
      <x:c r="R424" s="96"/>
      <x:c r="S424" s="96"/>
      <x:c r="T424" s="97"/>
      <x:c r="U424" s="98" t="str">
        <x:f>IF(OR(J424="",N424=""),"",IF(J424=N424,"No","Yes"))</x:f>
      </x:c>
      <x:c r="V424" s="98" t="n">
        <x:v>2</x:v>
      </x:c>
    </x:row>
    <x:row r="425" ht="54" hidden="0" customHeight="1">
      <x:c r="A425" s="38" t="str">
        <x:v>Q011::B0BMV9HYN9_review_1751963</x:v>
      </x:c>
      <x:c r="B425" s="38" t="str">
        <x:v>Q011</x:v>
      </x:c>
      <x:c r="C425" s="91" t="str">
        <x:v>Which security camera provides clear night images and reliable wireless connectivity?</x:v>
      </x:c>
      <x:c r="D425" s="38" t="n">
        <x:v>31</x:v>
      </x:c>
      <x:c r="E425" s="38" t="str">
        <x:v>B0BMV9HYN9</x:v>
      </x:c>
      <x:c r="F425" s="38" t="str">
        <x:v>review</x:v>
      </x:c>
      <x:c r="G425" s="38" t="str">
        <x:v>battery life</x:v>
      </x:c>
      <x:c r="H425" s="38" t="str">
        <x:v>Camera &amp; Photo</x:v>
      </x:c>
      <x:c r="I425" s="91" t="str">
        <x:v>[Product: MUBVIEW 4G LTE Cellular Security Camera, Solar Security Camera Outdoor Wireless with 360° PTZ/Spotlight/Human Detection/2K Color Night Vision/2-Way Talk/IP66/No WiFi Needed/Include SIM&amp;128GB SD Card | ASIN: B0BMV9HYN9] The camera is good and reliable with no need to worry about charging the batteries and wi fi connectivity</x:v>
      </x:c>
      <x:c r="J425" s="101" t="n">
        <x:v>1</x:v>
      </x:c>
      <x:c r="K425" s="92" t="str">
        <x:v>Human_Reviewer_01</x:v>
      </x:c>
      <x:c r="L425" s="92" t="str">
        <x:v>Medium</x:v>
      </x:c>
      <x:c r="M425" s="93" t="str">
        <x:v>Cellular camera is called reliable, but sustained connection performance and night images are not described.</x:v>
      </x:c>
      <x:c r="N425" s="94"/>
      <x:c r="O425" s="94"/>
      <x:c r="P425" s="94"/>
      <x:c r="Q425" s="95"/>
      <x:c r="R425" s="96"/>
      <x:c r="S425" s="96"/>
      <x:c r="T425" s="97"/>
      <x:c r="U425" s="98" t="str">
        <x:f>IF(OR(J425="",N425=""),"",IF(J425=N425,"No","Yes"))</x:f>
      </x:c>
      <x:c r="V425" s="98" t="n">
        <x:v>1</x:v>
      </x:c>
    </x:row>
    <x:row r="426" ht="54" hidden="0" customHeight="1">
      <x:c r="A426" s="38" t="str">
        <x:v>Q011::B01E9GPKOQ_review_2460495</x:v>
      </x:c>
      <x:c r="B426" s="38" t="str">
        <x:v>Q011</x:v>
      </x:c>
      <x:c r="C426" s="91" t="str">
        <x:v>Which security camera provides clear night images and reliable wireless connectivity?</x:v>
      </x:c>
      <x:c r="D426" s="38" t="n">
        <x:v>32</x:v>
      </x:c>
      <x:c r="E426" s="38" t="str">
        <x:v>B01E9GPKOQ</x:v>
      </x:c>
      <x:c r="F426" s="38" t="str">
        <x:v>review</x:v>
      </x:c>
      <x:c r="G426" s="38" t="str">
        <x:v>build quality</x:v>
      </x:c>
      <x:c r="H426" s="38" t="str">
        <x:v>Camera &amp; Photo</x:v>
      </x:c>
      <x:c r="I426" s="91" t="str">
        <x:v>[Product: Pyle Outdoor Wireless Home Security Surveillance IP Camera with Weatherproof Aluminum Body and Night Vision - Connect WiFi for Remote Access to Live Video | ASIN: B01E9GPKOQ] The camera does have quality images and seems to be reliable, if I was a paranoid loon and wanted to make my house look exactly the way that sounds having multiple cameras like this would be the way to go.</x:v>
      </x:c>
      <x:c r="J426" s="101" t="n">
        <x:v>1</x:v>
      </x:c>
      <x:c r="K426" s="92" t="str">
        <x:v>Human_Reviewer_01</x:v>
      </x:c>
      <x:c r="L426" s="92" t="str">
        <x:v>High</x:v>
      </x:c>
      <x:c r="M426" s="93" t="str">
        <x:v>Wireless camera has general image and reliability praise, without night or network-specific evidence.</x:v>
      </x:c>
      <x:c r="N426" s="94"/>
      <x:c r="O426" s="94"/>
      <x:c r="P426" s="94"/>
      <x:c r="Q426" s="95"/>
      <x:c r="R426" s="96"/>
      <x:c r="S426" s="96"/>
      <x:c r="T426" s="97"/>
      <x:c r="U426" s="98" t="str">
        <x:f>IF(OR(J426="",N426=""),"",IF(J426=N426,"No","Yes"))</x:f>
      </x:c>
      <x:c r="V426" s="98" t="n">
        <x:v>1</x:v>
      </x:c>
    </x:row>
    <x:row r="427" ht="54" hidden="0" customHeight="1">
      <x:c r="A427" s="38" t="str">
        <x:v>Q011::B018GRXTM4_review_320353</x:v>
      </x:c>
      <x:c r="B427" s="38" t="str">
        <x:v>Q011</x:v>
      </x:c>
      <x:c r="C427" s="91" t="str">
        <x:v>Which security camera provides clear night images and reliable wireless connectivity?</x:v>
      </x:c>
      <x:c r="D427" s="38" t="n">
        <x:v>33</x:v>
      </x:c>
      <x:c r="E427" s="38" t="str">
        <x:v>B018GRXTM4</x:v>
      </x:c>
      <x:c r="F427" s="38" t="str">
        <x:v>review</x:v>
      </x:c>
      <x:c r="G427" s="38" t="str">
        <x:v>design/appearance</x:v>
      </x:c>
      <x:c r="H427" s="38" t="str">
        <x:v>Camera &amp; Photo</x:v>
      </x:c>
      <x:c r="I427" s="91" t="str">
        <x:v>[Product: Pyle HD 720p Outdoor Wireless Home Security Surveillance IP Camera with Weatherproof Aluminum Body and Night Vision - Connect WiFi for Remote Access to Live Video from Desktop or Mobile App | ASIN: B018GRXTM4] I had been looking for a wireless camera system, as, although I live in a really good- generally safe neighborhood, we have had a rash of attempted break ins- to houses as well as cars. Luckily, we have a lot of neighbors who look out for one another.</x:v>
      </x:c>
      <x:c r="J427" s="101" t="n">
        <x:v>1</x:v>
      </x:c>
      <x:c r="K427" s="92" t="str">
        <x:v>Human_Reviewer_01</x:v>
      </x:c>
      <x:c r="L427" s="92" t="str">
        <x:v>High</x:v>
      </x:c>
      <x:c r="M427" s="93" t="str">
        <x:v>Purchase motivation for security is stated without image or connectivity results.</x:v>
      </x:c>
      <x:c r="N427" s="94"/>
      <x:c r="O427" s="94"/>
      <x:c r="P427" s="94"/>
      <x:c r="Q427" s="95"/>
      <x:c r="R427" s="96"/>
      <x:c r="S427" s="96"/>
      <x:c r="T427" s="97"/>
      <x:c r="U427" s="98" t="str">
        <x:f>IF(OR(J427="",N427=""),"",IF(J427=N427,"No","Yes"))</x:f>
      </x:c>
      <x:c r="V427" s="98" t="n">
        <x:v>1</x:v>
      </x:c>
    </x:row>
    <x:row r="428" ht="54" hidden="0" customHeight="1">
      <x:c r="A428" s="38" t="str">
        <x:v>Q011::B07RVJ9LM1_spec</x:v>
      </x:c>
      <x:c r="B428" s="38" t="str">
        <x:v>Q011</x:v>
      </x:c>
      <x:c r="C428" s="91" t="str">
        <x:v>Which security camera provides clear night images and reliable wireless connectivity?</x:v>
      </x:c>
      <x:c r="D428" s="38" t="n">
        <x:v>34</x:v>
      </x:c>
      <x:c r="E428" s="38" t="str">
        <x:v>B07RVJ9LM1</x:v>
      </x:c>
      <x:c r="F428" s="38" t="str">
        <x:v>spec</x:v>
      </x:c>
      <x:c r="G428" s="38" t="str">
        <x:v>specifications</x:v>
      </x:c>
      <x:c r="H428" s="38" t="str">
        <x:v>Camera &amp; Photo</x:v>
      </x:c>
      <x:c r="I428" s="91" t="str">
        <x:v>[Product: Wireless Security Camera System (3 Pack), Smart Home HD Indoor Outdoor WiFi IP Cameras with Night Vision, Cloud Service Available | ASIN: B07RVJ9LM1] Features: ['【Easy Installation &amp; Setup】No need to run cables betweent cameras and router. Simply plug in and power on these cameras, download the required APP and follow the in-app instructions to remotely monitor your home.'
 '【IP65 Weatherproof】This weatherproof camera can be placed both indoors and outdoors, with a supported temperature range from -10℃ to 50℃. Protect every inch of your home through every season.'
 '【Always Stay Connected】Seamlessly stream video remotely via the mobile app for iOS and Android anywhere anytime. Receive a clip alert whenever motion is detected, and customize which areas on the cameras’ live view will trigger an motion alert, to prevent false alerts and get notified by alerts that really matters.'
 "【Day &amp; Night Monitoring】You can see crystal clear and detailed images with this high resolution security camera system. See what's happening even in the dark with 24 automatic infrared lights. The night vision sensitivity is adjustable."] | Specifications: [('Brand', '"Zmodo"'), ('Connectivity Technology', '"Wireless"'), ('Video Capture Resolution', '"720p"'), ('Special Feature', '"Night Vision, Motion Sensor"'), ('Power Source', '"Corded Electric"'), ('Operating System', '"iOS, Android"'), ('Recommended Uses For Product', '"Indoor,Outdoor"'), ('Compatible Devices', '"Smartphones, Desktop"'), ('Signal Format', '"Digital"'), ('Other camera features', '"Front"'), ('Low light technology', '"Night Color"'), ('Package Dimensions', '"8.31 x 5.67 x 5.47 inches"'), ('Item Weight', '"2.07 pounds"'), ('Date First Available', '"May 10, 2019"'), ('Manufacturer', '"Zmodo"')] | Description: ['Wireless Home Camera System 3 Pack'
 'An affordable security solution for your home and business. This wireless home security camera kit can meet all your needs to check on your home, kids, pets or business anywhere and anytime. Quick and easy setup with'
 'the latest connection technology'
 '. View video remotely using your smartphone, iPad, or PC.'
 'Extrodinary Features' '* Easy and Quick Wireless Setup'
 'No configuration necessary, just run the setup and the camera will communicate with your smartphone automatically.'
 '* Smart Motion Alerts'
 'Receive smartphone notifications when unexpected motion is detected. You can also schedule alerts by specific times and dates.'
 '* See Clearly in the Dark'
 'The automatic infrared lights make sure you can see clearly up to 65ft in the dark.'
 '* Easy Expansion'
 'You can expand and customize quickly and easily with extra cameras, providing a whole solution for your home and business.'
 'IP Camera SPEC'
 '* Image Sensor: 720p color sensor * Lens: 2.8mm * Angle of view (diagonal): 81 degree * Night Vision: up to 65ft * Weatherproof: Yes * Connectivity: 2.4GHz Wireless (Note: please connect your phone to the 2.4Ghz network if your router provides both 2.4Ghz and 5Ghz network)'
 'Package Includes'
 '* (3) 720p HD Wireless Camera * (3) Power Supply for Camera * (1) Quick Guide']</x:v>
      </x:c>
      <x:c r="J428" s="101" t="n">
        <x:v>2</x:v>
      </x:c>
      <x:c r="K428" s="92" t="str">
        <x:v>Human_Reviewer_01</x:v>
      </x:c>
      <x:c r="L428" s="92" t="str">
        <x:v>High</x:v>
      </x:c>
      <x:c r="M428" s="93" t="str">
        <x:v>Specifications establish infrared night viewing to sixty-five feet and 2.4 GHz wireless access.</x:v>
      </x:c>
      <x:c r="N428" s="94"/>
      <x:c r="O428" s="94"/>
      <x:c r="P428" s="94"/>
      <x:c r="Q428" s="95"/>
      <x:c r="R428" s="96"/>
      <x:c r="S428" s="96"/>
      <x:c r="T428" s="97"/>
      <x:c r="U428" s="98" t="str">
        <x:f>IF(OR(J428="",N428=""),"",IF(J428=N428,"No","Yes"))</x:f>
      </x:c>
      <x:c r="V428" s="98" t="n">
        <x:v>2</x:v>
      </x:c>
    </x:row>
    <x:row r="429" ht="54" hidden="0" customHeight="1">
      <x:c r="A429" s="38" t="str">
        <x:v>Q011::B0B87DLFQF_review_848117</x:v>
      </x:c>
      <x:c r="B429" s="38" t="str">
        <x:v>Q011</x:v>
      </x:c>
      <x:c r="C429" s="91" t="str">
        <x:v>Which security camera provides clear night images and reliable wireless connectivity?</x:v>
      </x:c>
      <x:c r="D429" s="38" t="n">
        <x:v>35</x:v>
      </x:c>
      <x:c r="E429" s="38" t="str">
        <x:v>B0B87DLFQF</x:v>
      </x:c>
      <x:c r="F429" s="38" t="str">
        <x:v>review</x:v>
      </x:c>
      <x:c r="G429" s="38" t="str">
        <x:v>general</x:v>
      </x:c>
      <x:c r="H429" s="38" t="str">
        <x:v>Camera &amp; Photo</x:v>
      </x:c>
      <x:c r="I429" s="91" t="str">
        <x:v>[Product: Camcamp Wireless Security Camera System Outdoor, 3MP Home Security System | ASIN: B0B87DLFQF] Has a lot of interesting features, like an alarm and a flood light. Has a very clear night picture, which is great. I would definitely recommend.</x:v>
      </x:c>
      <x:c r="J429" s="101" t="n">
        <x:v>2</x:v>
      </x:c>
      <x:c r="K429" s="92" t="str">
        <x:v>Human_Reviewer_01</x:v>
      </x:c>
      <x:c r="L429" s="92" t="str">
        <x:v>High</x:v>
      </x:c>
      <x:c r="M429" s="93" t="str">
        <x:v>Wireless security system explicitly has a very clear night picture.</x:v>
      </x:c>
      <x:c r="N429" s="94"/>
      <x:c r="O429" s="94"/>
      <x:c r="P429" s="94"/>
      <x:c r="Q429" s="95"/>
      <x:c r="R429" s="96"/>
      <x:c r="S429" s="96"/>
      <x:c r="T429" s="97"/>
      <x:c r="U429" s="98" t="str">
        <x:f>IF(OR(J429="",N429=""),"",IF(J429=N429,"No","Yes"))</x:f>
      </x:c>
      <x:c r="V429" s="98" t="n">
        <x:v>2</x:v>
      </x:c>
    </x:row>
    <x:row r="430" ht="54" hidden="0" customHeight="1">
      <x:c r="A430" s="38" t="str">
        <x:v>Q011::B013P0HQKI_review_67278</x:v>
      </x:c>
      <x:c r="B430" s="38" t="str">
        <x:v>Q011</x:v>
      </x:c>
      <x:c r="C430" s="91" t="str">
        <x:v>Which security camera provides clear night images and reliable wireless connectivity?</x:v>
      </x:c>
      <x:c r="D430" s="38" t="n">
        <x:v>36</x:v>
      </x:c>
      <x:c r="E430" s="38" t="str">
        <x:v>B013P0HQKI</x:v>
      </x:c>
      <x:c r="F430" s="38" t="str">
        <x:v>review</x:v>
      </x:c>
      <x:c r="G430" s="38" t="str">
        <x:v>build quality</x:v>
      </x:c>
      <x:c r="H430" s="38" t="str">
        <x:v>Computers</x:v>
      </x:c>
      <x:c r="I430" s="91" t="str">
        <x:v>[Product: Indoor Wireless Security Surveillance IP Camera with Motion Detection and Night Vision - Connect to Your Home WiFi Network for Remote Access to Live Video - PIPCAM12 | ASIN: B013P0HQKI] Excellent product , Very good image quality , easy to operate and configure I love it</x:v>
      </x:c>
      <x:c r="J430" s="101" t="n">
        <x:v>1</x:v>
      </x:c>
      <x:c r="K430" s="92" t="str">
        <x:v>Human_Reviewer_01</x:v>
      </x:c>
      <x:c r="L430" s="92" t="str">
        <x:v>High</x:v>
      </x:c>
      <x:c r="M430" s="93" t="str">
        <x:v>General image and configuration praise does not establish night clarity or network stability.</x:v>
      </x:c>
      <x:c r="N430" s="94"/>
      <x:c r="O430" s="94"/>
      <x:c r="P430" s="94"/>
      <x:c r="Q430" s="95"/>
      <x:c r="R430" s="96"/>
      <x:c r="S430" s="96"/>
      <x:c r="T430" s="97"/>
      <x:c r="U430" s="98" t="str">
        <x:f>IF(OR(J430="",N430=""),"",IF(J430=N430,"No","Yes"))</x:f>
      </x:c>
      <x:c r="V430" s="98" t="n">
        <x:v>1</x:v>
      </x:c>
    </x:row>
    <x:row r="431" ht="54" hidden="0" customHeight="1">
      <x:c r="A431" s="38" t="str">
        <x:v>Q011::B0798X8835_review_1276787</x:v>
      </x:c>
      <x:c r="B431" s="38" t="str">
        <x:v>Q011</x:v>
      </x:c>
      <x:c r="C431" s="91" t="str">
        <x:v>Which security camera provides clear night images and reliable wireless connectivity?</x:v>
      </x:c>
      <x:c r="D431" s="38" t="n">
        <x:v>37</x:v>
      </x:c>
      <x:c r="E431" s="38" t="str">
        <x:v>B0798X8835</x:v>
      </x:c>
      <x:c r="F431" s="38" t="str">
        <x:v>review</x:v>
      </x:c>
      <x:c r="G431" s="38" t="str">
        <x:v>sound quality</x:v>
      </x:c>
      <x:c r="H431" s="38" t="str">
        <x:v>Camera &amp; Photo</x:v>
      </x:c>
      <x:c r="I431" s="91" t="str">
        <x:v>[Product: Zmodo EZCam Pro 1080p Wireless Two-Way Audio Security Camera- Smart HD WiFi IP Cameras Night Vision (Renewed) | ASIN: B0798X8835] Images both day and night are clear and sound is great.</x:v>
      </x:c>
      <x:c r="J431" s="101" t="n">
        <x:v>2</x:v>
      </x:c>
      <x:c r="K431" s="92" t="str">
        <x:v>Human_Reviewer_01</x:v>
      </x:c>
      <x:c r="L431" s="92" t="str">
        <x:v>High</x:v>
      </x:c>
      <x:c r="M431" s="93" t="str">
        <x:v>Wireless camera explicitly provides clear images both day and night.</x:v>
      </x:c>
      <x:c r="N431" s="94"/>
      <x:c r="O431" s="94"/>
      <x:c r="P431" s="94"/>
      <x:c r="Q431" s="95"/>
      <x:c r="R431" s="96"/>
      <x:c r="S431" s="96"/>
      <x:c r="T431" s="97"/>
      <x:c r="U431" s="98" t="str">
        <x:f>IF(OR(J431="",N431=""),"",IF(J431=N431,"No","Yes"))</x:f>
      </x:c>
      <x:c r="V431" s="98" t="n">
        <x:v>2</x:v>
      </x:c>
    </x:row>
    <x:row r="432" ht="54" hidden="0" customHeight="1">
      <x:c r="A432" s="38" t="str">
        <x:v>Q011::B07RVJ9LM1_review_268185</x:v>
      </x:c>
      <x:c r="B432" s="38" t="str">
        <x:v>Q011</x:v>
      </x:c>
      <x:c r="C432" s="91" t="str">
        <x:v>Which security camera provides clear night images and reliable wireless connectivity?</x:v>
      </x:c>
      <x:c r="D432" s="38" t="n">
        <x:v>38</x:v>
      </x:c>
      <x:c r="E432" s="38" t="str">
        <x:v>B07RVJ9LM1</x:v>
      </x:c>
      <x:c r="F432" s="38" t="str">
        <x:v>review</x:v>
      </x:c>
      <x:c r="G432" s="38" t="str">
        <x:v>general</x:v>
      </x:c>
      <x:c r="H432" s="38" t="str">
        <x:v>Camera &amp; Photo</x:v>
      </x:c>
      <x:c r="I432" s="91" t="str">
        <x:v>[Product: Wireless Security Camera System (3 Pack), Smart Home HD Indoor Outdoor WiFi IP Cameras with Night Vision, Cloud Service Available | ASIN: B07RVJ9LM1] They are excellent cameras during the day night inside or out but nighttime it is a little fuzzy. The motion detection seems to work ok but kicks off quickly at times before the entire image is captured.</x:v>
      </x:c>
      <x:c r="J432" s="101" t="n">
        <x:v>2</x:v>
      </x:c>
      <x:c r="K432" s="92" t="str">
        <x:v>Human_Reviewer_01</x:v>
      </x:c>
      <x:c r="L432" s="92" t="str">
        <x:v>High</x:v>
      </x:c>
      <x:c r="M432" s="93" t="str">
        <x:v>Wireless cameras produce somewhat fuzzy nighttime images; direct negative evidence.</x:v>
      </x:c>
      <x:c r="N432" s="94"/>
      <x:c r="O432" s="94"/>
      <x:c r="P432" s="94"/>
      <x:c r="Q432" s="95"/>
      <x:c r="R432" s="96"/>
      <x:c r="S432" s="96"/>
      <x:c r="T432" s="97"/>
      <x:c r="U432" s="98" t="str">
        <x:f>IF(OR(J432="",N432=""),"",IF(J432=N432,"No","Yes"))</x:f>
      </x:c>
      <x:c r="V432" s="98" t="n">
        <x:v>2</x:v>
      </x:c>
    </x:row>
    <x:row r="433" ht="54" hidden="0" customHeight="1">
      <x:c r="A433" s="38" t="str">
        <x:v>Q011::B0C6CS4VPT_spec</x:v>
      </x:c>
      <x:c r="B433" s="38" t="str">
        <x:v>Q011</x:v>
      </x:c>
      <x:c r="C433" s="91" t="str">
        <x:v>Which security camera provides clear night images and reliable wireless connectivity?</x:v>
      </x:c>
      <x:c r="D433" s="38" t="n">
        <x:v>39</x:v>
      </x:c>
      <x:c r="E433" s="38" t="str">
        <x:v>B0C6CS4VPT</x:v>
      </x:c>
      <x:c r="F433" s="38" t="str">
        <x:v>spec</x:v>
      </x:c>
      <x:c r="G433" s="38" t="str">
        <x:v>specifications</x:v>
      </x:c>
      <x:c r="H433" s="38" t="str">
        <x:v>Camera &amp; Photo</x:v>
      </x:c>
      <x:c r="I433" s="91" t="str">
        <x:v>[Product: WiFi Camera Indoor Security Camera 2K 5GHz &amp; 2.4GHz Security Camera Cameras for Baby/Elder/Dog/Pet Camera with Phone app Smartphone | ASIN: B0C6CS4VPT] Features: ['This smart infrared security camera features a 4MP HD color night vision. It offers higher definition and clearer night vision compared with 1080P competitors and a 50-feet visibility in low light or total darkness.'
 'This dual band (5GHz/2.4GHz) wireless security camera comes with a simple app and a 64GB memory card for easy use and installation.'
 'The camera can detect objects in motion and track them automatically.'
 'Additionally, with the two-way audio and alarm system, users can communicate with family, pets and visitors and warn off any unwanted visitors via microphone and speaker.'
 'We offer 30-day free cloud storage and great after-sales service. If you encounter any problems on the product, please feel free to contact our 24/7 after-sales customer service.'
 'Wireless Communication Technology: Wi-Fi' 'Mounting Type: Wall Mount'] | Specifications: [('Recommended Uses For Product', '"Communicate,Dog,Indoor,Pet"'), ('Brand', '"Generic"'), ('Connectivity Technology', '"Wireless"'), ('Special Feature', '"Easy to Install"'), ('Indoor/Outdoor Usage', '"Indoor"'), ('Compatible Devices', '"1"'), ('Power Source', '"Battery Powered"'), ('Connectivity Protocol', '"Bluetooth"'), ('Controller Type', '"Nexia"'), ('Mounting Type', '"Wall Mount"'), ('Video Capture Resolution', '"1080p, 720p, 2K"'), ('Number of Items', '"1"'), ('Number of Channels', '"2"'), ('Wireless Communication Technology', '"Wi-Fi"'), ('Night Vision Range', '"50 Feet"'), ('Batteries Required?', '"No"'), ('Focus Type', '"automatically"'), ('Low light technology', '"Night Color"'), ('Alert Type', '"Motion Only"'), ('Room Type', '"Nursery"'), ('Video Capture Format', '"MPEG-4"'), ('Specific Uses For Product', '"Outside"'), ('Unit Count', '"1.0 Count"'), ('Effective Still Resolution', '"4 MP"'), ('International Protection Rating', '"IP65"'), ('Maximum Webcam Image Resolution', '"4 MP"'), ('Package Dimensions', '"6.06 x 3.39 x 3.39 inches"'), ('Item Weight', '"9.9 ounces"'), ('Best Sellers Rank', '{"Bullet Surveillance Cameras":206}'), ('Date First Available', '"May 8, 2023"'), ('Manufacturer', '"Generic"')] | Description: ['1']</x:v>
      </x:c>
      <x:c r="J433" s="101" t="n">
        <x:v>2</x:v>
      </x:c>
      <x:c r="K433" s="92" t="str">
        <x:v>Human_Reviewer_01</x:v>
      </x:c>
      <x:c r="L433" s="92" t="str">
        <x:v>Medium</x:v>
      </x:c>
      <x:c r="M433" s="93" t="str">
        <x:v>Specific night-vision and dual-band Wi-Fi claims are relevant; metadata also lists Bluetooth and inconsistent power fields.</x:v>
      </x:c>
      <x:c r="N433" s="94"/>
      <x:c r="O433" s="94"/>
      <x:c r="P433" s="94"/>
      <x:c r="Q433" s="95"/>
      <x:c r="R433" s="96"/>
      <x:c r="S433" s="96"/>
      <x:c r="T433" s="97"/>
      <x:c r="U433" s="98" t="str">
        <x:f>IF(OR(J433="",N433=""),"",IF(J433=N433,"No","Yes"))</x:f>
      </x:c>
      <x:c r="V433" s="98" t="n">
        <x:v>2</x:v>
      </x:c>
    </x:row>
    <x:row r="434" ht="54" hidden="0" customHeight="1">
      <x:c r="A434" s="38" t="str">
        <x:v>Q011::B07VBKHZL1_review_2780199</x:v>
      </x:c>
      <x:c r="B434" s="38" t="str">
        <x:v>Q011</x:v>
      </x:c>
      <x:c r="C434" s="91" t="str">
        <x:v>Which security camera provides clear night images and reliable wireless connectivity?</x:v>
      </x:c>
      <x:c r="D434" s="38" t="n">
        <x:v>40</x:v>
      </x:c>
      <x:c r="E434" s="38" t="str">
        <x:v>B07VBKHZL1</x:v>
      </x:c>
      <x:c r="F434" s="38" t="str">
        <x:v>review</x:v>
      </x:c>
      <x:c r="G434" s="38" t="str">
        <x:v>screen/display</x:v>
      </x:c>
      <x:c r="H434" s="38" t="str">
        <x:v>Camera &amp; Photo</x:v>
      </x:c>
      <x:c r="I434" s="91" t="str">
        <x:v>[Product: WiFi Camera-1080P Security Camera System Wireless Camera Indoor 2.4Ghz Home Camera with 2 Way Audio Night Vision, Auto-Cruise, Motion Tracker, Activity Alert,Support iOS/Android/Windows | ASIN: B07VBKHZL1] The night vision is in Black and white, and the picture is crisp and clear ( good pixels ?).</x:v>
      </x:c>
      <x:c r="J434" s="101" t="n">
        <x:v>2</x:v>
      </x:c>
      <x:c r="K434" s="92" t="str">
        <x:v>Human_Reviewer_01</x:v>
      </x:c>
      <x:c r="L434" s="92" t="str">
        <x:v>High</x:v>
      </x:c>
      <x:c r="M434" s="93" t="str">
        <x:v>Wi-Fi camera explicitly provides crisp black-and-white night images.</x:v>
      </x:c>
      <x:c r="N434" s="94"/>
      <x:c r="O434" s="94"/>
      <x:c r="P434" s="94"/>
      <x:c r="Q434" s="95"/>
      <x:c r="R434" s="96"/>
      <x:c r="S434" s="96"/>
      <x:c r="T434" s="97"/>
      <x:c r="U434" s="98" t="str">
        <x:f>IF(OR(J434="",N434=""),"",IF(J434=N434,"No","Yes"))</x:f>
      </x:c>
      <x:c r="V434" s="98" t="n">
        <x:v>2</x:v>
      </x:c>
    </x:row>
    <x:row r="435" ht="54" hidden="0" customHeight="1">
      <x:c r="A435" s="38" t="str">
        <x:v>Q012::B002TLSW9O_review_933365</x:v>
      </x:c>
      <x:c r="B435" s="38" t="str">
        <x:v>Q012</x:v>
      </x:c>
      <x:c r="C435" s="91" t="str">
        <x:v>I need a security camera system that is easy to install and manage from a phone.</x:v>
      </x:c>
      <x:c r="D435" s="38" t="n">
        <x:v>1</x:v>
      </x:c>
      <x:c r="E435" s="38" t="str">
        <x:v>B002TLSW9O</x:v>
      </x:c>
      <x:c r="F435" s="38" t="str">
        <x:v>review</x:v>
      </x:c>
      <x:c r="G435" s="38" t="str">
        <x:v>ease of use</x:v>
      </x:c>
      <x:c r="H435" s="38" t="str">
        <x:v>Camera &amp; Photo</x:v>
      </x:c>
      <x:c r="I435" s="91" t="str">
        <x:v>[Product: Defender SN300-4CH-001 User-Friendly Web-Ready DVR Security System with 4 Indoor/Outdoor Night-Vision Surveillance Cameras (Black) | ASIN: B002TLSW9O] [[VIDEOID:moZP2OXNEJSSWK]]UPDATE - The hard drive in the DVR died shortly after installation. Easy to set-up and lots of nice features, but they need a more dependable hard drive.&lt;br /&gt;&lt;br /&gt;-------------------------------------------------------------------------------------------&lt;br /&gt;&lt;br It is very easy to install and really only requires a cordless drill. Overall installation can be done in 1-2 hours - in truth, it takes almost as much time learning the system and the menus as it does to do the installation.&lt;br /&gt;&lt;br Ease of installation&lt;br /&gt;- Very easy to cycle through the camera&lt;br /&gt;- The SN300 is a excellent choice for homes and offices that need an easy to install security system.</x:v>
      </x:c>
      <x:c r="J435" s="101" t="n">
        <x:v>2</x:v>
      </x:c>
      <x:c r="K435" s="92" t="str">
        <x:v>Human_Reviewer_01</x:v>
      </x:c>
      <x:c r="L435" s="92" t="str">
        <x:v>High</x:v>
      </x:c>
      <x:c r="M435" s="93" t="str">
        <x:v>Camera system has concrete easy-installation timing and menu usability evidence; DVR failure is also reported.</x:v>
      </x:c>
      <x:c r="N435" s="94"/>
      <x:c r="O435" s="94"/>
      <x:c r="P435" s="94"/>
      <x:c r="Q435" s="95"/>
      <x:c r="R435" s="96"/>
      <x:c r="S435" s="96"/>
      <x:c r="T435" s="97"/>
      <x:c r="U435" s="98" t="str">
        <x:f>IF(OR(J435="",N435=""),"",IF(J435=N435,"No","Yes"))</x:f>
      </x:c>
      <x:c r="V435" s="98" t="n">
        <x:v>2</x:v>
      </x:c>
    </x:row>
    <x:row r="436" ht="54" hidden="0" customHeight="1">
      <x:c r="A436" s="38" t="str">
        <x:v>Q012::B00519MC06_review_1772496</x:v>
      </x:c>
      <x:c r="B436" s="38" t="str">
        <x:v>Q012</x:v>
      </x:c>
      <x:c r="C436" s="91" t="str">
        <x:v>I need a security camera system that is easy to install and manage from a phone.</x:v>
      </x:c>
      <x:c r="D436" s="38" t="n">
        <x:v>2</x:v>
      </x:c>
      <x:c r="E436" s="38" t="str">
        <x:v>B00519MC06</x:v>
      </x:c>
      <x:c r="F436" s="38" t="str">
        <x:v>review</x:v>
      </x:c>
      <x:c r="G436" s="38" t="str">
        <x:v>ease of use</x:v>
      </x:c>
      <x:c r="H436" s="38" t="str">
        <x:v>Camera &amp; Photo</x:v>
      </x:c>
      <x:c r="I436" s="91" t="str">
        <x:v>[Product: Samsung SDR-400 4 Channel DVR Security System | ASIN: B00519MC06] Easy to install and easy to set up.</x:v>
      </x:c>
      <x:c r="J436" s="101" t="n">
        <x:v>2</x:v>
      </x:c>
      <x:c r="K436" s="92" t="str">
        <x:v>Human_Reviewer_01</x:v>
      </x:c>
      <x:c r="L436" s="92" t="str">
        <x:v>High</x:v>
      </x:c>
      <x:c r="M436" s="93" t="str">
        <x:v>Security DVR system installation and setup are explicitly easy.</x:v>
      </x:c>
      <x:c r="N436" s="94"/>
      <x:c r="O436" s="94"/>
      <x:c r="P436" s="94"/>
      <x:c r="Q436" s="95"/>
      <x:c r="R436" s="96"/>
      <x:c r="S436" s="96"/>
      <x:c r="T436" s="97"/>
      <x:c r="U436" s="98" t="str">
        <x:f>IF(OR(J436="",N436=""),"",IF(J436=N436,"No","Yes"))</x:f>
      </x:c>
      <x:c r="V436" s="98" t="n">
        <x:v>2</x:v>
      </x:c>
    </x:row>
    <x:row r="437" ht="54" hidden="0" customHeight="1">
      <x:c r="A437" s="38" t="str">
        <x:v>Q012::B01H2KT5OW_review_977908</x:v>
      </x:c>
      <x:c r="B437" s="38" t="str">
        <x:v>Q012</x:v>
      </x:c>
      <x:c r="C437" s="91" t="str">
        <x:v>I need a security camera system that is easy to install and manage from a phone.</x:v>
      </x:c>
      <x:c r="D437" s="38" t="n">
        <x:v>3</x:v>
      </x:c>
      <x:c r="E437" s="38" t="str">
        <x:v>B01H2KT5OW</x:v>
      </x:c>
      <x:c r="F437" s="38" t="str">
        <x:v>review</x:v>
      </x:c>
      <x:c r="G437" s="38" t="str">
        <x:v>ease of use</x:v>
      </x:c>
      <x:c r="H437" s="38" t="str">
        <x:v>Camera &amp; Photo</x:v>
      </x:c>
      <x:c r="I437" s="91" t="str">
        <x:v>[Product: Amcrest HDSeries 720P POE (Power Over Ethernet) IP Security Surveillance Camera System IPM-721ES (Silver) | ASIN: B01H2KT5OW] Clear vibrant picture and camera is easy to install and setup.</x:v>
      </x:c>
      <x:c r="J437" s="101" t="n">
        <x:v>2</x:v>
      </x:c>
      <x:c r="K437" s="92" t="str">
        <x:v>Human_Reviewer_01</x:v>
      </x:c>
      <x:c r="L437" s="92" t="str">
        <x:v>High</x:v>
      </x:c>
      <x:c r="M437" s="93" t="str">
        <x:v>Network security camera setup and installation are explicitly easy; phone management is untested.</x:v>
      </x:c>
      <x:c r="N437" s="94"/>
      <x:c r="O437" s="94"/>
      <x:c r="P437" s="94"/>
      <x:c r="Q437" s="95"/>
      <x:c r="R437" s="96"/>
      <x:c r="S437" s="96"/>
      <x:c r="T437" s="97"/>
      <x:c r="U437" s="98" t="str">
        <x:f>IF(OR(J437="",N437=""),"",IF(J437=N437,"No","Yes"))</x:f>
      </x:c>
      <x:c r="V437" s="98" t="n">
        <x:v>2</x:v>
      </x:c>
    </x:row>
    <x:row r="438" ht="54" hidden="0" customHeight="1">
      <x:c r="A438" s="38" t="str">
        <x:v>Q012::B09BJW3MV9_review_2469025</x:v>
      </x:c>
      <x:c r="B438" s="38" t="str">
        <x:v>Q012</x:v>
      </x:c>
      <x:c r="C438" s="91" t="str">
        <x:v>I need a security camera system that is easy to install and manage from a phone.</x:v>
      </x:c>
      <x:c r="D438" s="38" t="n">
        <x:v>4</x:v>
      </x:c>
      <x:c r="E438" s="38" t="str">
        <x:v>B09BJW3MV9</x:v>
      </x:c>
      <x:c r="F438" s="38" t="str">
        <x:v>review</x:v>
      </x:c>
      <x:c r="G438" s="38" t="str">
        <x:v>ease of use</x:v>
      </x:c>
      <x:c r="H438" s="38" t="str">
        <x:v>Camera &amp; Photo</x:v>
      </x:c>
      <x:c r="I438" s="91" t="str">
        <x:v>[Product: Poyasilon Security | ASIN: B09BJW3MV9] The camera was easy to set up and install.</x:v>
      </x:c>
      <x:c r="J438" s="101" t="n">
        <x:v>2</x:v>
      </x:c>
      <x:c r="K438" s="92" t="str">
        <x:v>Human_Reviewer_01</x:v>
      </x:c>
      <x:c r="L438" s="92" t="str">
        <x:v>Medium</x:v>
      </x:c>
      <x:c r="M438" s="93" t="str">
        <x:v>Review identifies a security camera and reports easy setup and installation despite a vague product title.</x:v>
      </x:c>
      <x:c r="N438" s="94"/>
      <x:c r="O438" s="94"/>
      <x:c r="P438" s="94"/>
      <x:c r="Q438" s="95"/>
      <x:c r="R438" s="96"/>
      <x:c r="S438" s="96"/>
      <x:c r="T438" s="97"/>
      <x:c r="U438" s="98" t="str">
        <x:f>IF(OR(J438="",N438=""),"",IF(J438=N438,"No","Yes"))</x:f>
      </x:c>
      <x:c r="V438" s="98" t="n">
        <x:v>2</x:v>
      </x:c>
    </x:row>
    <x:row r="439" ht="54" hidden="0" customHeight="1">
      <x:c r="A439" s="38" t="str">
        <x:v>Q012::B00PJ1XXA4_review_2892612</x:v>
      </x:c>
      <x:c r="B439" s="38" t="str">
        <x:v>Q012</x:v>
      </x:c>
      <x:c r="C439" s="91" t="str">
        <x:v>I need a security camera system that is easy to install and manage from a phone.</x:v>
      </x:c>
      <x:c r="D439" s="38" t="n">
        <x:v>5</x:v>
      </x:c>
      <x:c r="E439" s="38" t="str">
        <x:v>B00PJ1XXA4</x:v>
      </x:c>
      <x:c r="F439" s="38" t="str">
        <x:v>review</x:v>
      </x:c>
      <x:c r="G439" s="38" t="str">
        <x:v>ease of use</x:v>
      </x:c>
      <x:c r="H439" s="38" t="str">
        <x:v>Camera &amp; Photo</x:v>
      </x:c>
      <x:c r="I439" s="91" t="str">
        <x:v>[Product: Panasonic KX-HN6002W Smart Home Monitoring System DIY Surveillance Camera Kit -Indoor/Outdoor (White) | ASIN: B00PJ1XXA4] System works well and was very easy to setup and install. Cameras provide a good picture, but not as good as a higher end brand I tried, but that higher end system was harder to set up and install</x:v>
      </x:c>
      <x:c r="J439" s="101" t="n">
        <x:v>2</x:v>
      </x:c>
      <x:c r="K439" s="92" t="str">
        <x:v>Human_Reviewer_01</x:v>
      </x:c>
      <x:c r="L439" s="92" t="str">
        <x:v>High</x:v>
      </x:c>
      <x:c r="M439" s="93" t="str">
        <x:v>Security camera kit is explicitly easy to set up and install.</x:v>
      </x:c>
      <x:c r="N439" s="94"/>
      <x:c r="O439" s="94"/>
      <x:c r="P439" s="94"/>
      <x:c r="Q439" s="95"/>
      <x:c r="R439" s="96"/>
      <x:c r="S439" s="96"/>
      <x:c r="T439" s="97"/>
      <x:c r="U439" s="98" t="str">
        <x:f>IF(OR(J439="",N439=""),"",IF(J439=N439,"No","Yes"))</x:f>
      </x:c>
      <x:c r="V439" s="98" t="n">
        <x:v>2</x:v>
      </x:c>
    </x:row>
    <x:row r="440" ht="54" hidden="0" customHeight="1">
      <x:c r="A440" s="38" t="str">
        <x:v>Q012::B07NDS85W6_review_3420790</x:v>
      </x:c>
      <x:c r="B440" s="38" t="str">
        <x:v>Q012</x:v>
      </x:c>
      <x:c r="C440" s="91" t="str">
        <x:v>I need a security camera system that is easy to install and manage from a phone.</x:v>
      </x:c>
      <x:c r="D440" s="38" t="n">
        <x:v>6</x:v>
      </x:c>
      <x:c r="E440" s="38" t="str">
        <x:v>B07NDS85W6</x:v>
      </x:c>
      <x:c r="F440" s="38" t="str">
        <x:v>review</x:v>
      </x:c>
      <x:c r="G440" s="38" t="str">
        <x:v>ease of use</x:v>
      </x:c>
      <x:c r="H440" s="38" t="str">
        <x:v>Camera &amp; Photo</x:v>
      </x:c>
      <x:c r="I440" s="91" t="str">
        <x:v>[Product: Arlo VMS3330W Security Camera System - 3 Wire-Free HD Security Camera | ASIN: B07NDS85W6] Easy to set up.</x:v>
      </x:c>
      <x:c r="J440" s="101" t="n">
        <x:v>2</x:v>
      </x:c>
      <x:c r="K440" s="92" t="str">
        <x:v>Human_Reviewer_01</x:v>
      </x:c>
      <x:c r="L440" s="92" t="str">
        <x:v>High</x:v>
      </x:c>
      <x:c r="M440" s="93" t="str">
        <x:v>Security camera system setup is explicitly easy.</x:v>
      </x:c>
      <x:c r="N440" s="94"/>
      <x:c r="O440" s="94"/>
      <x:c r="P440" s="94"/>
      <x:c r="Q440" s="95"/>
      <x:c r="R440" s="96"/>
      <x:c r="S440" s="96"/>
      <x:c r="T440" s="97"/>
      <x:c r="U440" s="98" t="str">
        <x:f>IF(OR(J440="",N440=""),"",IF(J440=N440,"No","Yes"))</x:f>
      </x:c>
      <x:c r="V440" s="98" t="n">
        <x:v>2</x:v>
      </x:c>
    </x:row>
    <x:row r="441" ht="54" hidden="0" customHeight="1">
      <x:c r="A441" s="38" t="str">
        <x:v>Q012::B07NDS85W6_review_3420760</x:v>
      </x:c>
      <x:c r="B441" s="38" t="str">
        <x:v>Q012</x:v>
      </x:c>
      <x:c r="C441" s="91" t="str">
        <x:v>I need a security camera system that is easy to install and manage from a phone.</x:v>
      </x:c>
      <x:c r="D441" s="38" t="n">
        <x:v>7</x:v>
      </x:c>
      <x:c r="E441" s="38" t="str">
        <x:v>B07NDS85W6</x:v>
      </x:c>
      <x:c r="F441" s="38" t="str">
        <x:v>review</x:v>
      </x:c>
      <x:c r="G441" s="38" t="str">
        <x:v>ease of use</x:v>
      </x:c>
      <x:c r="H441" s="38" t="str">
        <x:v>Camera &amp; Photo</x:v>
      </x:c>
      <x:c r="I441" s="91" t="str">
        <x:v>[Product: Arlo VMS3330W Security Camera System - 3 Wire-Free HD Security Camera | ASIN: B07NDS85W6] The installation was very easy. Easy WiFi and app setup.</x:v>
      </x:c>
      <x:c r="J441" s="101" t="n">
        <x:v>2</x:v>
      </x:c>
      <x:c r="K441" s="92" t="str">
        <x:v>Human_Reviewer_01</x:v>
      </x:c>
      <x:c r="L441" s="92" t="str">
        <x:v>High</x:v>
      </x:c>
      <x:c r="M441" s="93" t="str">
        <x:v>Security camera system has easy installation, Wi-Fi setup, and app setup.</x:v>
      </x:c>
      <x:c r="N441" s="94"/>
      <x:c r="O441" s="94"/>
      <x:c r="P441" s="94"/>
      <x:c r="Q441" s="95"/>
      <x:c r="R441" s="96"/>
      <x:c r="S441" s="96"/>
      <x:c r="T441" s="97"/>
      <x:c r="U441" s="98" t="str">
        <x:f>IF(OR(J441="",N441=""),"",IF(J441=N441,"No","Yes"))</x:f>
      </x:c>
      <x:c r="V441" s="98" t="n">
        <x:v>2</x:v>
      </x:c>
    </x:row>
    <x:row r="442" ht="54" hidden="0" customHeight="1">
      <x:c r="A442" s="38" t="str">
        <x:v>Q012::B00D8XN61G_review_1987510</x:v>
      </x:c>
      <x:c r="B442" s="38" t="str">
        <x:v>Q012</x:v>
      </x:c>
      <x:c r="C442" s="91" t="str">
        <x:v>I need a security camera system that is easy to install and manage from a phone.</x:v>
      </x:c>
      <x:c r="D442" s="38" t="n">
        <x:v>8</x:v>
      </x:c>
      <x:c r="E442" s="38" t="str">
        <x:v>B00D8XN61G</x:v>
      </x:c>
      <x:c r="F442" s="38" t="str">
        <x:v>review</x:v>
      </x:c>
      <x:c r="G442" s="38" t="str">
        <x:v>ease of use</x:v>
      </x:c>
      <x:c r="H442" s="38" t="str">
        <x:v>Camera &amp; Photo</x:v>
      </x:c>
      <x:c r="I442" s="91" t="str">
        <x:v>[Product: Lorex LH018501C4WF Vantage 8-Channel Video Security System with 4 Wireless Security Cameras (Black and White) | ASIN: B00D8XN61G] Easy easy easy easy easy easy easy easy easy to install and to use.</x:v>
      </x:c>
      <x:c r="J442" s="101" t="n">
        <x:v>2</x:v>
      </x:c>
      <x:c r="K442" s="92" t="str">
        <x:v>Human_Reviewer_01</x:v>
      </x:c>
      <x:c r="L442" s="92" t="str">
        <x:v>High</x:v>
      </x:c>
      <x:c r="M442" s="93" t="str">
        <x:v>Wireless camera system is explicitly easy to install and use.</x:v>
      </x:c>
      <x:c r="N442" s="94"/>
      <x:c r="O442" s="94"/>
      <x:c r="P442" s="94"/>
      <x:c r="Q442" s="95"/>
      <x:c r="R442" s="96"/>
      <x:c r="S442" s="96"/>
      <x:c r="T442" s="97"/>
      <x:c r="U442" s="98" t="str">
        <x:f>IF(OR(J442="",N442=""),"",IF(J442=N442,"No","Yes"))</x:f>
      </x:c>
      <x:c r="V442" s="98" t="n">
        <x:v>2</x:v>
      </x:c>
    </x:row>
    <x:row r="443" ht="54" hidden="0" customHeight="1">
      <x:c r="A443" s="38" t="str">
        <x:v>Q012::B0C1V2VTFJ_review_2052609</x:v>
      </x:c>
      <x:c r="B443" s="38" t="str">
        <x:v>Q012</x:v>
      </x:c>
      <x:c r="C443" s="91" t="str">
        <x:v>I need a security camera system that is easy to install and manage from a phone.</x:v>
      </x:c>
      <x:c r="D443" s="38" t="n">
        <x:v>9</x:v>
      </x:c>
      <x:c r="E443" s="38" t="str">
        <x:v>B0C1V2VTFJ</x:v>
      </x:c>
      <x:c r="F443" s="38" t="str">
        <x:v>review</x:v>
      </x:c>
      <x:c r="G443" s="38" t="str">
        <x:v>ease of use</x:v>
      </x:c>
      <x:c r="H443" s="38" t="str">
        <x:v>Camera &amp; Photo</x:v>
      </x:c>
      <x:c r="I443" s="91" t="str">
        <x:v>[Product: Clouree Door Magnetic Detector, Wireless Windows Sensor for Home Security Alarm System (2pcs) | ASIN: B0C1V2VTFJ] I recently purchased a home and was looking for an alarm system to install at the house. It was easy to install and easy to use.</x:v>
      </x:c>
      <x:c r="J443" s="101" t="n">
        <x:v>0</x:v>
      </x:c>
      <x:c r="K443" s="92" t="str">
        <x:v>Human_Reviewer_01</x:v>
      </x:c>
      <x:c r="L443" s="92" t="str">
        <x:v>High</x:v>
      </x:c>
      <x:c r="M443" s="93" t="str">
        <x:v>This is a door sensor alarm, not a camera system.</x:v>
      </x:c>
      <x:c r="N443" s="94"/>
      <x:c r="O443" s="94"/>
      <x:c r="P443" s="94"/>
      <x:c r="Q443" s="95"/>
      <x:c r="R443" s="96"/>
      <x:c r="S443" s="96"/>
      <x:c r="T443" s="97"/>
      <x:c r="U443" s="98" t="str">
        <x:f>IF(OR(J443="",N443=""),"",IF(J443=N443,"No","Yes"))</x:f>
      </x:c>
      <x:c r="V443" s="98" t="n">
        <x:v>0</x:v>
      </x:c>
    </x:row>
    <x:row r="444" ht="54" hidden="0" customHeight="1">
      <x:c r="A444" s="38" t="str">
        <x:v>Q012::B07Z8ZKCKP_review_507366</x:v>
      </x:c>
      <x:c r="B444" s="38" t="str">
        <x:v>Q012</x:v>
      </x:c>
      <x:c r="C444" s="91" t="str">
        <x:v>I need a security camera system that is easy to install and manage from a phone.</x:v>
      </x:c>
      <x:c r="D444" s="38" t="n">
        <x:v>10</x:v>
      </x:c>
      <x:c r="E444" s="38" t="str">
        <x:v>B07Z8ZKCKP</x:v>
      </x:c>
      <x:c r="F444" s="38" t="str">
        <x:v>review</x:v>
      </x:c>
      <x:c r="G444" s="38" t="str">
        <x:v>ease of use</x:v>
      </x:c>
      <x:c r="H444" s="38" t="str">
        <x:v>Camera &amp; Photo</x:v>
      </x:c>
      <x:c r="I444" s="91" t="str">
        <x:v>[Product: SMONET 5MP Wired IP Camera, Replacement and Extra Camera 5MP POE Security Camera System Only. | ASIN: B07Z8ZKCKP] Very clean picture and easy to install .</x:v>
      </x:c>
      <x:c r="J444" s="101" t="n">
        <x:v>1</x:v>
      </x:c>
      <x:c r="K444" s="92" t="str">
        <x:v>Human_Reviewer_01</x:v>
      </x:c>
      <x:c r="L444" s="92" t="str">
        <x:v>High</x:v>
      </x:c>
      <x:c r="M444" s="93" t="str">
        <x:v>Replacement camera installation is easy, but complete-system setup and phone management are absent.</x:v>
      </x:c>
      <x:c r="N444" s="94"/>
      <x:c r="O444" s="94"/>
      <x:c r="P444" s="94"/>
      <x:c r="Q444" s="95"/>
      <x:c r="R444" s="96"/>
      <x:c r="S444" s="96"/>
      <x:c r="T444" s="97"/>
      <x:c r="U444" s="98" t="str">
        <x:f>IF(OR(J444="",N444=""),"",IF(J444=N444,"No","Yes"))</x:f>
      </x:c>
      <x:c r="V444" s="98" t="n">
        <x:v>1</x:v>
      </x:c>
    </x:row>
    <x:row r="445" ht="54" hidden="0" customHeight="1">
      <x:c r="A445" s="38" t="str">
        <x:v>Q012::B08F7DPGGG_review_365290</x:v>
      </x:c>
      <x:c r="B445" s="38" t="str">
        <x:v>Q012</x:v>
      </x:c>
      <x:c r="C445" s="91" t="str">
        <x:v>I need a security camera system that is easy to install and manage from a phone.</x:v>
      </x:c>
      <x:c r="D445" s="38" t="n">
        <x:v>11</x:v>
      </x:c>
      <x:c r="E445" s="38" t="str">
        <x:v>B08F7DPGGG</x:v>
      </x:c>
      <x:c r="F445" s="38" t="str">
        <x:v>review</x:v>
      </x:c>
      <x:c r="G445" s="38" t="str">
        <x:v>general</x:v>
      </x:c>
      <x:c r="H445" s="38" t="str">
        <x:v>Camera &amp; Photo</x:v>
      </x:c>
      <x:c r="I445" s="91" t="str">
        <x:v>[Product: Hiseeu Wireless Security Camera System and 2Pcs Additional Two Way Audio Cameras | ASIN: B08F7DPGGG] Phone app is free and has cool features. It was a little difficult programing the camera ( extra ones ) but overall happy with purchase. I can now go back on hard drive and bust the kids when they lie.</x:v>
      </x:c>
      <x:c r="J445" s="101" t="n">
        <x:v>2</x:v>
      </x:c>
      <x:c r="K445" s="92" t="str">
        <x:v>Human_Reviewer_01</x:v>
      </x:c>
      <x:c r="L445" s="92" t="str">
        <x:v>High</x:v>
      </x:c>
      <x:c r="M445" s="93" t="str">
        <x:v>Camera system has a free phone app, with difficulty programming added cameras.</x:v>
      </x:c>
      <x:c r="N445" s="94"/>
      <x:c r="O445" s="94"/>
      <x:c r="P445" s="94"/>
      <x:c r="Q445" s="95"/>
      <x:c r="R445" s="96"/>
      <x:c r="S445" s="96"/>
      <x:c r="T445" s="97"/>
      <x:c r="U445" s="98" t="str">
        <x:f>IF(OR(J445="",N445=""),"",IF(J445=N445,"No","Yes"))</x:f>
      </x:c>
      <x:c r="V445" s="98" t="n">
        <x:v>2</x:v>
      </x:c>
    </x:row>
    <x:row r="446" ht="54" hidden="0" customHeight="1">
      <x:c r="A446" s="38" t="str">
        <x:v>Q012::B07QZJM2RQ_review_1004218</x:v>
      </x:c>
      <x:c r="B446" s="38" t="str">
        <x:v>Q012</x:v>
      </x:c>
      <x:c r="C446" s="91" t="str">
        <x:v>I need a security camera system that is easy to install and manage from a phone.</x:v>
      </x:c>
      <x:c r="D446" s="38" t="n">
        <x:v>12</x:v>
      </x:c>
      <x:c r="E446" s="38" t="str">
        <x:v>B07QZJM2RQ</x:v>
      </x:c>
      <x:c r="F446" s="38" t="str">
        <x:v>review</x:v>
      </x:c>
      <x:c r="G446" s="38" t="str">
        <x:v>ease of use</x:v>
      </x:c>
      <x:c r="H446" s="38" t="str">
        <x:v>Computers</x:v>
      </x:c>
      <x:c r="I446" s="91" t="str">
        <x:v>[Product: ez Share 8GB 16GB 32GB Card Adater WiFi SD Memory Card WiFi SDHC Class10 SD Card Wireless Camera Memory Card for Camera (32GB) | ASIN: B07QZJM2RQ] Memory card is easy to set up and easy to install on your phone. Besides that photos sync quickly from camera to phone and photos are extremely easy to share.</x:v>
      </x:c>
      <x:c r="J446" s="101" t="n">
        <x:v>0</x:v>
      </x:c>
      <x:c r="K446" s="92" t="str">
        <x:v>Human_Reviewer_01</x:v>
      </x:c>
      <x:c r="L446" s="92" t="str">
        <x:v>High</x:v>
      </x:c>
      <x:c r="M446" s="93" t="str">
        <x:v>This is a Wi-Fi memory card, not a security camera system.</x:v>
      </x:c>
      <x:c r="N446" s="94"/>
      <x:c r="O446" s="94"/>
      <x:c r="P446" s="94"/>
      <x:c r="Q446" s="95"/>
      <x:c r="R446" s="96"/>
      <x:c r="S446" s="96"/>
      <x:c r="T446" s="97"/>
      <x:c r="U446" s="98" t="str">
        <x:f>IF(OR(J446="",N446=""),"",IF(J446=N446,"No","Yes"))</x:f>
      </x:c>
      <x:c r="V446" s="98" t="n">
        <x:v>0</x:v>
      </x:c>
    </x:row>
    <x:row r="447" ht="54" hidden="0" customHeight="1">
      <x:c r="A447" s="38" t="str">
        <x:v>Q012::B0B87DLFQF_review_848118</x:v>
      </x:c>
      <x:c r="B447" s="38" t="str">
        <x:v>Q012</x:v>
      </x:c>
      <x:c r="C447" s="91" t="str">
        <x:v>I need a security camera system that is easy to install and manage from a phone.</x:v>
      </x:c>
      <x:c r="D447" s="38" t="n">
        <x:v>13</x:v>
      </x:c>
      <x:c r="E447" s="38" t="str">
        <x:v>B0B87DLFQF</x:v>
      </x:c>
      <x:c r="F447" s="38" t="str">
        <x:v>review</x:v>
      </x:c>
      <x:c r="G447" s="38" t="str">
        <x:v>ease of use</x:v>
      </x:c>
      <x:c r="H447" s="38" t="str">
        <x:v>Camera &amp; Photo</x:v>
      </x:c>
      <x:c r="I447" s="91" t="str">
        <x:v>[Product: Camcamp Wireless Security Camera System Outdoor, 3MP Home Security System | ASIN: B0B87DLFQF] Setting it up and install was super easy, the worst part was climbing the ladder with the camera and panel and balancing while drilling. That said, have an assistant just to make it easy to have things accessible.</x:v>
      </x:c>
      <x:c r="J447" s="101" t="n">
        <x:v>2</x:v>
      </x:c>
      <x:c r="K447" s="92" t="str">
        <x:v>Human_Reviewer_01</x:v>
      </x:c>
      <x:c r="L447" s="92" t="str">
        <x:v>High</x:v>
      </x:c>
      <x:c r="M447" s="93" t="str">
        <x:v>Camera system installation is easy, with concrete ladder and mounting considerations.</x:v>
      </x:c>
      <x:c r="N447" s="94"/>
      <x:c r="O447" s="94"/>
      <x:c r="P447" s="94"/>
      <x:c r="Q447" s="95"/>
      <x:c r="R447" s="96"/>
      <x:c r="S447" s="96"/>
      <x:c r="T447" s="97"/>
      <x:c r="U447" s="98" t="str">
        <x:f>IF(OR(J447="",N447=""),"",IF(J447=N447,"No","Yes"))</x:f>
      </x:c>
      <x:c r="V447" s="98" t="n">
        <x:v>2</x:v>
      </x:c>
    </x:row>
    <x:row r="448" ht="54" hidden="0" customHeight="1">
      <x:c r="A448" s="38" t="str">
        <x:v>Q012::B07PP5LKL3_review_1070085</x:v>
      </x:c>
      <x:c r="B448" s="38" t="str">
        <x:v>Q012</x:v>
      </x:c>
      <x:c r="C448" s="91" t="str">
        <x:v>I need a security camera system that is easy to install and manage from a phone.</x:v>
      </x:c>
      <x:c r="D448" s="38" t="n">
        <x:v>14</x:v>
      </x:c>
      <x:c r="E448" s="38" t="str">
        <x:v>B07PP5LKL3</x:v>
      </x:c>
      <x:c r="F448" s="38" t="str">
        <x:v>review</x:v>
      </x:c>
      <x:c r="G448" s="38" t="str">
        <x:v>ease of use</x:v>
      </x:c>
      <x:c r="H448" s="38" t="str">
        <x:v>Camera &amp; Photo</x:v>
      </x:c>
      <x:c r="I448" s="91" t="str">
        <x:v>[Product: Zmodo 8 Channel NVR 720p Indoor &amp; Outdoor Home Security Surveillance Camera System | ASIN: B07PP5LKL3] Work well and easy to install</x:v>
      </x:c>
      <x:c r="J448" s="101" t="n">
        <x:v>2</x:v>
      </x:c>
      <x:c r="K448" s="92" t="str">
        <x:v>Human_Reviewer_01</x:v>
      </x:c>
      <x:c r="L448" s="92" t="str">
        <x:v>High</x:v>
      </x:c>
      <x:c r="M448" s="93" t="str">
        <x:v>Security camera system is explicitly easy to install.</x:v>
      </x:c>
      <x:c r="N448" s="94"/>
      <x:c r="O448" s="94"/>
      <x:c r="P448" s="94"/>
      <x:c r="Q448" s="95"/>
      <x:c r="R448" s="96"/>
      <x:c r="S448" s="96"/>
      <x:c r="T448" s="97"/>
      <x:c r="U448" s="98" t="str">
        <x:f>IF(OR(J448="",N448=""),"",IF(J448=N448,"No","Yes"))</x:f>
      </x:c>
      <x:c r="V448" s="98" t="n">
        <x:v>2</x:v>
      </x:c>
    </x:row>
    <x:row r="449" ht="54" hidden="0" customHeight="1">
      <x:c r="A449" s="38" t="str">
        <x:v>Q012::B00PJ1XXA4_review_2892617</x:v>
      </x:c>
      <x:c r="B449" s="38" t="str">
        <x:v>Q012</x:v>
      </x:c>
      <x:c r="C449" s="91" t="str">
        <x:v>I need a security camera system that is easy to install and manage from a phone.</x:v>
      </x:c>
      <x:c r="D449" s="38" t="n">
        <x:v>15</x:v>
      </x:c>
      <x:c r="E449" s="38" t="str">
        <x:v>B00PJ1XXA4</x:v>
      </x:c>
      <x:c r="F449" s="38" t="str">
        <x:v>review</x:v>
      </x:c>
      <x:c r="G449" s="38" t="str">
        <x:v>ease of use</x:v>
      </x:c>
      <x:c r="H449" s="38" t="str">
        <x:v>Camera &amp; Photo</x:v>
      </x:c>
      <x:c r="I449" s="91" t="str">
        <x:v>[Product: Panasonic KX-HN6002W Smart Home Monitoring System DIY Surveillance Camera Kit -Indoor/Outdoor (White) | ASIN: B00PJ1XXA4] We found that set-up was reasonably easy, although the system kept jumping to another wireless network than the one we specified on my mobile device. /&gt;Setting up the cameras is easy if there is a plug near the site where you want the camera. We are going to have a cleaner installation when we have a plug installed a little closer to our porch, but for now, we have run the thin wire through a window and under some molding a total distance of about eight feet.</x:v>
      </x:c>
      <x:c r="J449" s="101" t="n">
        <x:v>2</x:v>
      </x:c>
      <x:c r="K449" s="92" t="str">
        <x:v>Human_Reviewer_01</x:v>
      </x:c>
      <x:c r="L449" s="92" t="str">
        <x:v>High</x:v>
      </x:c>
      <x:c r="M449" s="93" t="str">
        <x:v>Camera system setup is mostly easy, with phone-network selection and outlet-placement problems.</x:v>
      </x:c>
      <x:c r="N449" s="94"/>
      <x:c r="O449" s="94"/>
      <x:c r="P449" s="94"/>
      <x:c r="Q449" s="95"/>
      <x:c r="R449" s="96"/>
      <x:c r="S449" s="96"/>
      <x:c r="T449" s="97"/>
      <x:c r="U449" s="98" t="str">
        <x:f>IF(OR(J449="",N449=""),"",IF(J449=N449,"No","Yes"))</x:f>
      </x:c>
      <x:c r="V449" s="98" t="n">
        <x:v>2</x:v>
      </x:c>
    </x:row>
    <x:row r="450" ht="54" hidden="0" customHeight="1">
      <x:c r="A450" s="38" t="str">
        <x:v>Q012::B015AI0Y3O_review_1036017</x:v>
      </x:c>
      <x:c r="B450" s="38" t="str">
        <x:v>Q012</x:v>
      </x:c>
      <x:c r="C450" s="91" t="str">
        <x:v>I need a security camera system that is easy to install and manage from a phone.</x:v>
      </x:c>
      <x:c r="D450" s="38" t="n">
        <x:v>16</x:v>
      </x:c>
      <x:c r="E450" s="38" t="str">
        <x:v>B015AI0Y3O</x:v>
      </x:c>
      <x:c r="F450" s="38" t="str">
        <x:v>review</x:v>
      </x:c>
      <x:c r="G450" s="38" t="str">
        <x:v>ease of use</x:v>
      </x:c>
      <x:c r="H450" s="38" t="str">
        <x:v>Camera &amp; Photo</x:v>
      </x:c>
      <x:c r="I450" s="91" t="str">
        <x:v>[Product: Zmodo Smart PoE Security System - 8 Channel NVR &amp; 8 x 720p IP Cameras and 2TB Hard Drive | ASIN: B015AI0Y3O] Easy to set up and I can watch the video easily on my phone.</x:v>
      </x:c>
      <x:c r="J450" s="101" t="n">
        <x:v>2</x:v>
      </x:c>
      <x:c r="K450" s="92" t="str">
        <x:v>Human_Reviewer_01</x:v>
      </x:c>
      <x:c r="L450" s="92" t="str">
        <x:v>High</x:v>
      </x:c>
      <x:c r="M450" s="93" t="str">
        <x:v>Camera system is easy to set up and video is easy to view on a phone.</x:v>
      </x:c>
      <x:c r="N450" s="94"/>
      <x:c r="O450" s="94"/>
      <x:c r="P450" s="94"/>
      <x:c r="Q450" s="95"/>
      <x:c r="R450" s="96"/>
      <x:c r="S450" s="96"/>
      <x:c r="T450" s="97"/>
      <x:c r="U450" s="98" t="str">
        <x:f>IF(OR(J450="",N450=""),"",IF(J450=N450,"No","Yes"))</x:f>
      </x:c>
      <x:c r="V450" s="98" t="n">
        <x:v>2</x:v>
      </x:c>
    </x:row>
    <x:row r="451" ht="54" hidden="0" customHeight="1">
      <x:c r="A451" s="38" t="str">
        <x:v>Q012::B09BJW3MV9_review_2469027</x:v>
      </x:c>
      <x:c r="B451" s="38" t="str">
        <x:v>Q012</x:v>
      </x:c>
      <x:c r="C451" s="91" t="str">
        <x:v>I need a security camera system that is easy to install and manage from a phone.</x:v>
      </x:c>
      <x:c r="D451" s="38" t="n">
        <x:v>17</x:v>
      </x:c>
      <x:c r="E451" s="38" t="str">
        <x:v>B09BJW3MV9</x:v>
      </x:c>
      <x:c r="F451" s="38" t="str">
        <x:v>review</x:v>
      </x:c>
      <x:c r="G451" s="38" t="str">
        <x:v>ease of use</x:v>
      </x:c>
      <x:c r="H451" s="38" t="str">
        <x:v>Camera &amp; Photo</x:v>
      </x:c>
      <x:c r="I451" s="91" t="str">
        <x:v>[Product: Poyasilon Security | ASIN: B09BJW3MV9] It was easy to set up. That was easy to do too. You have to use the Onecam app, but it is free and easy to use.</x:v>
      </x:c>
      <x:c r="J451" s="101" t="n">
        <x:v>2</x:v>
      </x:c>
      <x:c r="K451" s="92" t="str">
        <x:v>Human_Reviewer_01</x:v>
      </x:c>
      <x:c r="L451" s="92" t="str">
        <x:v>Medium</x:v>
      </x:c>
      <x:c r="M451" s="93" t="str">
        <x:v>Security camera is easy to set up using the free, easy Onecam app.</x:v>
      </x:c>
      <x:c r="N451" s="94"/>
      <x:c r="O451" s="94"/>
      <x:c r="P451" s="94"/>
      <x:c r="Q451" s="95"/>
      <x:c r="R451" s="96"/>
      <x:c r="S451" s="96"/>
      <x:c r="T451" s="97"/>
      <x:c r="U451" s="98" t="str">
        <x:f>IF(OR(J451="",N451=""),"",IF(J451=N451,"No","Yes"))</x:f>
      </x:c>
      <x:c r="V451" s="98" t="n">
        <x:v>2</x:v>
      </x:c>
    </x:row>
    <x:row r="452" ht="54" hidden="0" customHeight="1">
      <x:c r="A452" s="38" t="str">
        <x:v>Q012::B01J49I7RA_review_1645582</x:v>
      </x:c>
      <x:c r="B452" s="38" t="str">
        <x:v>Q012</x:v>
      </x:c>
      <x:c r="C452" s="91" t="str">
        <x:v>I need a security camera system that is easy to install and manage from a phone.</x:v>
      </x:c>
      <x:c r="D452" s="38" t="n">
        <x:v>18</x:v>
      </x:c>
      <x:c r="E452" s="38" t="str">
        <x:v>B01J49I7RA</x:v>
      </x:c>
      <x:c r="F452" s="38" t="str">
        <x:v>review</x:v>
      </x:c>
      <x:c r="G452" s="38" t="str">
        <x:v>ease of use</x:v>
      </x:c>
      <x:c r="H452" s="38" t="str">
        <x:v>Camera &amp; Photo</x:v>
      </x:c>
      <x:c r="I452" s="91" t="str">
        <x:v>[Product: Swann Security-in-a-Box Complete 8 Channel Security Monitoring System with 4 Cameras (SWDVK-HDHOMK84) | ASIN: B01J49I7RA] Easy to install and so easy to link to your android phone.</x:v>
      </x:c>
      <x:c r="J452" s="101" t="n">
        <x:v>2</x:v>
      </x:c>
      <x:c r="K452" s="92" t="str">
        <x:v>Human_Reviewer_01</x:v>
      </x:c>
      <x:c r="L452" s="92" t="str">
        <x:v>High</x:v>
      </x:c>
      <x:c r="M452" s="93" t="str">
        <x:v>Camera system is easy to install and link to an Android phone.</x:v>
      </x:c>
      <x:c r="N452" s="94"/>
      <x:c r="O452" s="94"/>
      <x:c r="P452" s="94"/>
      <x:c r="Q452" s="95"/>
      <x:c r="R452" s="96"/>
      <x:c r="S452" s="96"/>
      <x:c r="T452" s="97"/>
      <x:c r="U452" s="98" t="str">
        <x:f>IF(OR(J452="",N452=""),"",IF(J452=N452,"No","Yes"))</x:f>
      </x:c>
      <x:c r="V452" s="98" t="n">
        <x:v>2</x:v>
      </x:c>
    </x:row>
    <x:row r="453" ht="54" hidden="0" customHeight="1">
      <x:c r="A453" s="38" t="str">
        <x:v>Q012::B06ZZXBQMC_review_1960025</x:v>
      </x:c>
      <x:c r="B453" s="38" t="str">
        <x:v>Q012</x:v>
      </x:c>
      <x:c r="C453" s="91" t="str">
        <x:v>I need a security camera system that is easy to install and manage from a phone.</x:v>
      </x:c>
      <x:c r="D453" s="38" t="n">
        <x:v>19</x:v>
      </x:c>
      <x:c r="E453" s="38" t="str">
        <x:v>B06ZZXBQMC</x:v>
      </x:c>
      <x:c r="F453" s="38" t="str">
        <x:v>review</x:v>
      </x:c>
      <x:c r="G453" s="38" t="str">
        <x:v>ease of use</x:v>
      </x:c>
      <x:c r="H453" s="38" t="str">
        <x:v>Camera &amp; Photo</x:v>
      </x:c>
      <x:c r="I453" s="91" t="str">
        <x:v>[Product: Geeni VISION 1080P Smart Wi-Fi Camera Home Security System - No Hub Required - White | ASIN: B06ZZXBQMC] Pros: Easy to set up and link to my phone.</x:v>
      </x:c>
      <x:c r="J453" s="101" t="n">
        <x:v>2</x:v>
      </x:c>
      <x:c r="K453" s="92" t="str">
        <x:v>Human_Reviewer_01</x:v>
      </x:c>
      <x:c r="L453" s="92" t="str">
        <x:v>High</x:v>
      </x:c>
      <x:c r="M453" s="93" t="str">
        <x:v>Security camera is easy to set up and link to a phone.</x:v>
      </x:c>
      <x:c r="N453" s="94"/>
      <x:c r="O453" s="94"/>
      <x:c r="P453" s="94"/>
      <x:c r="Q453" s="95"/>
      <x:c r="R453" s="96"/>
      <x:c r="S453" s="96"/>
      <x:c r="T453" s="97"/>
      <x:c r="U453" s="98" t="str">
        <x:f>IF(OR(J453="",N453=""),"",IF(J453=N453,"No","Yes"))</x:f>
      </x:c>
      <x:c r="V453" s="98" t="n">
        <x:v>2</x:v>
      </x:c>
    </x:row>
    <x:row r="454" ht="54" hidden="0" customHeight="1">
      <x:c r="A454" s="38" t="str">
        <x:v>Q012::B004Y3VKYO_review_34386</x:v>
      </x:c>
      <x:c r="B454" s="38" t="str">
        <x:v>Q012</x:v>
      </x:c>
      <x:c r="C454" s="91" t="str">
        <x:v>I need a security camera system that is easy to install and manage from a phone.</x:v>
      </x:c>
      <x:c r="D454" s="38" t="n">
        <x:v>20</x:v>
      </x:c>
      <x:c r="E454" s="38" t="str">
        <x:v>B004Y3VKYO</x:v>
      </x:c>
      <x:c r="F454" s="38" t="str">
        <x:v>review</x:v>
      </x:c>
      <x:c r="G454" s="38" t="str">
        <x:v>ease of use</x:v>
      </x:c>
      <x:c r="H454" s="38" t="str">
        <x:v>Camera &amp; Photo</x:v>
      </x:c>
      <x:c r="I454" s="91" t="str">
        <x:v>[Product: ZMODO 8 CH CCTV Surveillance DVR Outdoor 600TVL Camera System 500GB | ASIN: B004Y3VKYO] Easy to install and pics are great.</x:v>
      </x:c>
      <x:c r="J454" s="101" t="n">
        <x:v>2</x:v>
      </x:c>
      <x:c r="K454" s="92" t="str">
        <x:v>Human_Reviewer_01</x:v>
      </x:c>
      <x:c r="L454" s="92" t="str">
        <x:v>High</x:v>
      </x:c>
      <x:c r="M454" s="93" t="str">
        <x:v>Security camera system is explicitly easy to install.</x:v>
      </x:c>
      <x:c r="N454" s="94"/>
      <x:c r="O454" s="94"/>
      <x:c r="P454" s="94"/>
      <x:c r="Q454" s="95"/>
      <x:c r="R454" s="96"/>
      <x:c r="S454" s="96"/>
      <x:c r="T454" s="97"/>
      <x:c r="U454" s="98" t="str">
        <x:f>IF(OR(J454="",N454=""),"",IF(J454=N454,"No","Yes"))</x:f>
      </x:c>
      <x:c r="V454" s="98" t="n">
        <x:v>2</x:v>
      </x:c>
    </x:row>
    <x:row r="455" ht="54" hidden="0" customHeight="1">
      <x:c r="A455" s="38" t="str">
        <x:v>Q012::B01IT8LRKQ_review_4069170</x:v>
      </x:c>
      <x:c r="B455" s="38" t="str">
        <x:v>Q012</x:v>
      </x:c>
      <x:c r="C455" s="91" t="str">
        <x:v>I need a security camera system that is easy to install and manage from a phone.</x:v>
      </x:c>
      <x:c r="D455" s="38" t="n">
        <x:v>21</x:v>
      </x:c>
      <x:c r="E455" s="38" t="str">
        <x:v>B01IT8LRKQ</x:v>
      </x:c>
      <x:c r="F455" s="38" t="str">
        <x:v>review</x:v>
      </x:c>
      <x:c r="G455" s="38" t="str">
        <x:v>ease of use</x:v>
      </x:c>
      <x:c r="H455" s="38" t="str">
        <x:v>Camera &amp; Photo</x:v>
      </x:c>
      <x:c r="I455" s="91" t="str">
        <x:v>[Product: Zmodo 720p HD Outdoor Home Wireless Security Surveillance Video Cameras System (4 Pack) | ASIN: B01IT8LRKQ] As other users say - the system is very easy to install, no monthly fees, and no app download fee. The app is very user friendly, but will sometimes still give alerts on cameras when set on Home mode with the alerts turned off.</x:v>
      </x:c>
      <x:c r="J455" s="101" t="n">
        <x:v>2</x:v>
      </x:c>
      <x:c r="K455" s="92" t="str">
        <x:v>Human_Reviewer_01</x:v>
      </x:c>
      <x:c r="L455" s="92" t="str">
        <x:v>High</x:v>
      </x:c>
      <x:c r="M455" s="93" t="str">
        <x:v>Camera system installation and app use are easy, with unwanted-notification behavior.</x:v>
      </x:c>
      <x:c r="N455" s="94"/>
      <x:c r="O455" s="94"/>
      <x:c r="P455" s="94"/>
      <x:c r="Q455" s="95"/>
      <x:c r="R455" s="96"/>
      <x:c r="S455" s="96"/>
      <x:c r="T455" s="97"/>
      <x:c r="U455" s="98" t="str">
        <x:f>IF(OR(J455="",N455=""),"",IF(J455=N455,"No","Yes"))</x:f>
      </x:c>
      <x:c r="V455" s="98" t="n">
        <x:v>2</x:v>
      </x:c>
    </x:row>
    <x:row r="456" ht="54" hidden="0" customHeight="1">
      <x:c r="A456" s="38" t="str">
        <x:v>Q012::B078J5W21Y_review_3951620</x:v>
      </x:c>
      <x:c r="B456" s="38" t="str">
        <x:v>Q012</x:v>
      </x:c>
      <x:c r="C456" s="91" t="str">
        <x:v>I need a security camera system that is easy to install and manage from a phone.</x:v>
      </x:c>
      <x:c r="D456" s="38" t="n">
        <x:v>22</x:v>
      </x:c>
      <x:c r="E456" s="38" t="str">
        <x:v>B078J5W21Y</x:v>
      </x:c>
      <x:c r="F456" s="38" t="str">
        <x:v>review</x:v>
      </x:c>
      <x:c r="G456" s="38" t="str">
        <x:v>ease of use</x:v>
      </x:c>
      <x:c r="H456" s="38" t="str">
        <x:v>Camera &amp; Photo</x:v>
      </x:c>
      <x:c r="I456" s="91" t="str">
        <x:v>[Product: arlo Pro - Wireless Home Security Camera System | Rechargeable, Night vision, Indoor/Outdoor | 2 camera kit (VMS4230-100NAR) (Renewed) | ASIN: B078J5W21Y] They are easy to install, simple to set up and the quality looks pretty good and they are easy to set up on my phone, although the notifications of movement will make you crazy, every time something moves (trees. but i think its too easy to remove in wind or from a passerby.</x:v>
      </x:c>
      <x:c r="J456" s="101" t="n">
        <x:v>2</x:v>
      </x:c>
      <x:c r="K456" s="92" t="str">
        <x:v>Human_Reviewer_01</x:v>
      </x:c>
      <x:c r="L456" s="92" t="str">
        <x:v>High</x:v>
      </x:c>
      <x:c r="M456" s="93" t="str">
        <x:v>Camera system and phone setup are easy, with notification and mounting-security caveats.</x:v>
      </x:c>
      <x:c r="N456" s="94"/>
      <x:c r="O456" s="94"/>
      <x:c r="P456" s="94"/>
      <x:c r="Q456" s="95"/>
      <x:c r="R456" s="96"/>
      <x:c r="S456" s="96"/>
      <x:c r="T456" s="97"/>
      <x:c r="U456" s="98" t="str">
        <x:f>IF(OR(J456="",N456=""),"",IF(J456=N456,"No","Yes"))</x:f>
      </x:c>
      <x:c r="V456" s="98" t="n">
        <x:v>2</x:v>
      </x:c>
    </x:row>
    <x:row r="457" ht="54" hidden="0" customHeight="1">
      <x:c r="A457" s="38" t="str">
        <x:v>Q012::B07NDS85W6_review_3420786</x:v>
      </x:c>
      <x:c r="B457" s="38" t="str">
        <x:v>Q012</x:v>
      </x:c>
      <x:c r="C457" s="91" t="str">
        <x:v>I need a security camera system that is easy to install and manage from a phone.</x:v>
      </x:c>
      <x:c r="D457" s="38" t="n">
        <x:v>23</x:v>
      </x:c>
      <x:c r="E457" s="38" t="str">
        <x:v>B07NDS85W6</x:v>
      </x:c>
      <x:c r="F457" s="38" t="str">
        <x:v>review</x:v>
      </x:c>
      <x:c r="G457" s="38" t="str">
        <x:v>ease of use</x:v>
      </x:c>
      <x:c r="H457" s="38" t="str">
        <x:v>Camera &amp; Photo</x:v>
      </x:c>
      <x:c r="I457" s="91" t="str">
        <x:v>[Product: Arlo VMS3330W Security Camera System - 3 Wire-Free HD Security Camera | ASIN: B07NDS85W6] This was so easy to install.</x:v>
      </x:c>
      <x:c r="J457" s="101" t="n">
        <x:v>2</x:v>
      </x:c>
      <x:c r="K457" s="92" t="str">
        <x:v>Human_Reviewer_01</x:v>
      </x:c>
      <x:c r="L457" s="92" t="str">
        <x:v>High</x:v>
      </x:c>
      <x:c r="M457" s="93" t="str">
        <x:v>Security camera system installation is explicitly easy.</x:v>
      </x:c>
      <x:c r="N457" s="94"/>
      <x:c r="O457" s="94"/>
      <x:c r="P457" s="94"/>
      <x:c r="Q457" s="95"/>
      <x:c r="R457" s="96"/>
      <x:c r="S457" s="96"/>
      <x:c r="T457" s="97"/>
      <x:c r="U457" s="98" t="str">
        <x:f>IF(OR(J457="",N457=""),"",IF(J457=N457,"No","Yes"))</x:f>
      </x:c>
      <x:c r="V457" s="98" t="n">
        <x:v>2</x:v>
      </x:c>
    </x:row>
    <x:row r="458" ht="54" hidden="0" customHeight="1">
      <x:c r="A458" s="38" t="str">
        <x:v>Q012::B06ZZXBQMC_review_1960008</x:v>
      </x:c>
      <x:c r="B458" s="38" t="str">
        <x:v>Q012</x:v>
      </x:c>
      <x:c r="C458" s="91" t="str">
        <x:v>I need a security camera system that is easy to install and manage from a phone.</x:v>
      </x:c>
      <x:c r="D458" s="38" t="n">
        <x:v>24</x:v>
      </x:c>
      <x:c r="E458" s="38" t="str">
        <x:v>B06ZZXBQMC</x:v>
      </x:c>
      <x:c r="F458" s="38" t="str">
        <x:v>review</x:v>
      </x:c>
      <x:c r="G458" s="38" t="str">
        <x:v>connectivity</x:v>
      </x:c>
      <x:c r="H458" s="38" t="str">
        <x:v>Camera &amp; Photo</x:v>
      </x:c>
      <x:c r="I458" s="91" t="str">
        <x:v>[Product: Geeni VISION 1080P Smart Wi-Fi Camera Home Security System - No Hub Required - White | ASIN: B06ZZXBQMC] this product is easy to set up, and connect to your phone.</x:v>
      </x:c>
      <x:c r="J458" s="101" t="n">
        <x:v>2</x:v>
      </x:c>
      <x:c r="K458" s="92" t="str">
        <x:v>Human_Reviewer_01</x:v>
      </x:c>
      <x:c r="L458" s="92" t="str">
        <x:v>High</x:v>
      </x:c>
      <x:c r="M458" s="93" t="str">
        <x:v>Security camera is easy to set up and connect to a phone.</x:v>
      </x:c>
      <x:c r="N458" s="94"/>
      <x:c r="O458" s="94"/>
      <x:c r="P458" s="94"/>
      <x:c r="Q458" s="95"/>
      <x:c r="R458" s="96"/>
      <x:c r="S458" s="96"/>
      <x:c r="T458" s="97"/>
      <x:c r="U458" s="98" t="str">
        <x:f>IF(OR(J458="",N458=""),"",IF(J458=N458,"No","Yes"))</x:f>
      </x:c>
      <x:c r="V458" s="98" t="n">
        <x:v>2</x:v>
      </x:c>
    </x:row>
    <x:row r="459" ht="54" hidden="0" customHeight="1">
      <x:c r="A459" s="38" t="str">
        <x:v>Q012::B00OPF8HOC_review_801959</x:v>
      </x:c>
      <x:c r="B459" s="38" t="str">
        <x:v>Q012</x:v>
      </x:c>
      <x:c r="C459" s="91" t="str">
        <x:v>I need a security camera system that is easy to install and manage from a phone.</x:v>
      </x:c>
      <x:c r="D459" s="38" t="n">
        <x:v>25</x:v>
      </x:c>
      <x:c r="E459" s="38" t="str">
        <x:v>B00OPF8HOC</x:v>
      </x:c>
      <x:c r="F459" s="38" t="str">
        <x:v>review</x:v>
      </x:c>
      <x:c r="G459" s="38" t="str">
        <x:v>ease of use</x:v>
      </x:c>
      <x:c r="H459" s="38" t="str">
        <x:v>Camera &amp; Photo</x:v>
      </x:c>
      <x:c r="I459" s="91" t="str">
        <x:v>[Product: Zmodo SPoE Security System - 8 Channel NVR &amp; 8 x 720p IP Cameras and 1TB Hard Drive | ASIN: B00OPF8HOC] Setup for phone and tablets was easy.</x:v>
      </x:c>
      <x:c r="J459" s="101" t="n">
        <x:v>2</x:v>
      </x:c>
      <x:c r="K459" s="92" t="str">
        <x:v>Human_Reviewer_01</x:v>
      </x:c>
      <x:c r="L459" s="92" t="str">
        <x:v>High</x:v>
      </x:c>
      <x:c r="M459" s="93" t="str">
        <x:v>Security camera system phone and tablet setup is explicitly easy.</x:v>
      </x:c>
      <x:c r="N459" s="94"/>
      <x:c r="O459" s="94"/>
      <x:c r="P459" s="94"/>
      <x:c r="Q459" s="95"/>
      <x:c r="R459" s="96"/>
      <x:c r="S459" s="96"/>
      <x:c r="T459" s="97"/>
      <x:c r="U459" s="98" t="str">
        <x:f>IF(OR(J459="",N459=""),"",IF(J459=N459,"No","Yes"))</x:f>
      </x:c>
      <x:c r="V459" s="98" t="n">
        <x:v>2</x:v>
      </x:c>
    </x:row>
    <x:row r="460" ht="54" hidden="0" customHeight="1">
      <x:c r="A460" s="38" t="str">
        <x:v>Q012::B07KKH8GDV_review_1481657</x:v>
      </x:c>
      <x:c r="B460" s="38" t="str">
        <x:v>Q012</x:v>
      </x:c>
      <x:c r="C460" s="91" t="str">
        <x:v>I need a security camera system that is easy to install and manage from a phone.</x:v>
      </x:c>
      <x:c r="D460" s="38" t="n">
        <x:v>26</x:v>
      </x:c>
      <x:c r="E460" s="38" t="str">
        <x:v>B07KKH8GDV</x:v>
      </x:c>
      <x:c r="F460" s="38" t="str">
        <x:v>review</x:v>
      </x:c>
      <x:c r="G460" s="38" t="str">
        <x:v>ease of use</x:v>
      </x:c>
      <x:c r="H460" s="38" t="str">
        <x:v>Camera &amp; Photo</x:v>
      </x:c>
      <x:c r="I460" s="91" t="str">
        <x:v>[Product: [Newest] Wireless Security Camera System, Firstrend 8CH 1080P Wireless NVR System with 4pcs 1.3MP IP Security Camera and 1TB Hard Drive Pre-installed, P2P CCTV Camera System for Outdoor and Indoor Use | ASIN: B07KKH8GDV] This was a really easy system to install and works great.&lt;br /&gt;The help line was good and knowledgeable and even called me back to check on it.</x:v>
      </x:c>
      <x:c r="J460" s="101" t="n">
        <x:v>2</x:v>
      </x:c>
      <x:c r="K460" s="92" t="str">
        <x:v>Human_Reviewer_01</x:v>
      </x:c>
      <x:c r="L460" s="92" t="str">
        <x:v>High</x:v>
      </x:c>
      <x:c r="M460" s="93" t="str">
        <x:v>Camera system installation is easy and support helps with setup.</x:v>
      </x:c>
      <x:c r="N460" s="94"/>
      <x:c r="O460" s="94"/>
      <x:c r="P460" s="94"/>
      <x:c r="Q460" s="95"/>
      <x:c r="R460" s="96"/>
      <x:c r="S460" s="96"/>
      <x:c r="T460" s="97"/>
      <x:c r="U460" s="98" t="str">
        <x:f>IF(OR(J460="",N460=""),"",IF(J460=N460,"No","Yes"))</x:f>
      </x:c>
      <x:c r="V460" s="98" t="n">
        <x:v>2</x:v>
      </x:c>
    </x:row>
    <x:row r="461" ht="54" hidden="0" customHeight="1">
      <x:c r="A461" s="38" t="str">
        <x:v>Q012::B01CEFLQHY_review_916346</x:v>
      </x:c>
      <x:c r="B461" s="38" t="str">
        <x:v>Q012</x:v>
      </x:c>
      <x:c r="C461" s="91" t="str">
        <x:v>I need a security camera system that is easy to install and manage from a phone.</x:v>
      </x:c>
      <x:c r="D461" s="38" t="n">
        <x:v>27</x:v>
      </x:c>
      <x:c r="E461" s="38" t="str">
        <x:v>B01CEFLQHY</x:v>
      </x:c>
      <x:c r="F461" s="38" t="str">
        <x:v>review</x:v>
      </x:c>
      <x:c r="G461" s="38" t="str">
        <x:v>ease of use</x:v>
      </x:c>
      <x:c r="H461" s="38" t="str">
        <x:v>Camera &amp; Photo</x:v>
      </x:c>
      <x:c r="I461" s="91" t="str">
        <x:v>[Product: Q-See QTH916-2 Home Security DVR 16 Channel Analog HD 1080P DVR Camera, Black | ASIN: B01CEFLQHY] It is easy to use and install. iPhone App was very easily to install with the bar code scan and there you see and monitor on your phone. After my Defender hard drive died in two years, I decided to get Q-See Camera System QTH163 because it is easily to install on the phone.</x:v>
      </x:c>
      <x:c r="J461" s="101" t="n">
        <x:v>1</x:v>
      </x:c>
      <x:c r="K461" s="92" t="str">
        <x:v>Human_Reviewer_01</x:v>
      </x:c>
      <x:c r="L461" s="92" t="str">
        <x:v>Low</x:v>
      </x:c>
      <x:c r="M461" s="93" t="str">
        <x:v>Useful phone-installation evidence, but the prefix and review name different Q-See system models.</x:v>
      </x:c>
      <x:c r="N461" s="94"/>
      <x:c r="O461" s="94"/>
      <x:c r="P461" s="94"/>
      <x:c r="Q461" s="95"/>
      <x:c r="R461" s="96"/>
      <x:c r="S461" s="96"/>
      <x:c r="T461" s="97"/>
      <x:c r="U461" s="98" t="str">
        <x:f>IF(OR(J461="",N461=""),"",IF(J461=N461,"No","Yes"))</x:f>
      </x:c>
      <x:c r="V461" s="98" t="n">
        <x:v>1</x:v>
      </x:c>
    </x:row>
    <x:row r="462" ht="54" hidden="0" customHeight="1">
      <x:c r="A462" s="38" t="str">
        <x:v>Q012::B01F3AJMO6_review_840886</x:v>
      </x:c>
      <x:c r="B462" s="38" t="str">
        <x:v>Q012</x:v>
      </x:c>
      <x:c r="C462" s="91" t="str">
        <x:v>I need a security camera system that is easy to install and manage from a phone.</x:v>
      </x:c>
      <x:c r="D462" s="38" t="n">
        <x:v>28</x:v>
      </x:c>
      <x:c r="E462" s="38" t="str">
        <x:v>B01F3AJMO6</x:v>
      </x:c>
      <x:c r="F462" s="38" t="str">
        <x:v>review</x:v>
      </x:c>
      <x:c r="G462" s="38" t="str">
        <x:v>ease of use</x:v>
      </x:c>
      <x:c r="H462" s="38" t="str">
        <x:v>Camera &amp; Photo</x:v>
      </x:c>
      <x:c r="I462" s="91" t="str">
        <x:v>[Product: Zmodo SPoE Security System - 4 Channel NVR &amp; 4 x 1080p IP Cameras and 2TB Hard Drive | ASIN: B01F3AJMO6] Installed the system which is easy to do. The instructions were only so so but using the system is fairly intuitive, and I was able to link my iPhone to the system by using the QR code.</x:v>
      </x:c>
      <x:c r="J462" s="101" t="n">
        <x:v>2</x:v>
      </x:c>
      <x:c r="K462" s="92" t="str">
        <x:v>Human_Reviewer_01</x:v>
      </x:c>
      <x:c r="L462" s="92" t="str">
        <x:v>High</x:v>
      </x:c>
      <x:c r="M462" s="93" t="str">
        <x:v>Camera system installation is intuitive and iPhone linking works using a QR code.</x:v>
      </x:c>
      <x:c r="N462" s="94"/>
      <x:c r="O462" s="94"/>
      <x:c r="P462" s="94"/>
      <x:c r="Q462" s="95"/>
      <x:c r="R462" s="96"/>
      <x:c r="S462" s="96"/>
      <x:c r="T462" s="97"/>
      <x:c r="U462" s="98" t="str">
        <x:f>IF(OR(J462="",N462=""),"",IF(J462=N462,"No","Yes"))</x:f>
      </x:c>
      <x:c r="V462" s="98" t="n">
        <x:v>2</x:v>
      </x:c>
    </x:row>
    <x:row r="463" ht="54" hidden="0" customHeight="1">
      <x:c r="A463" s="38" t="str">
        <x:v>Q012::B00MG6V2RG_review_2337451</x:v>
      </x:c>
      <x:c r="B463" s="38" t="str">
        <x:v>Q012</x:v>
      </x:c>
      <x:c r="C463" s="91" t="str">
        <x:v>I need a security camera system that is easy to install and manage from a phone.</x:v>
      </x:c>
      <x:c r="D463" s="38" t="n">
        <x:v>29</x:v>
      </x:c>
      <x:c r="E463" s="38" t="str">
        <x:v>B00MG6V2RG</x:v>
      </x:c>
      <x:c r="F463" s="38" t="str">
        <x:v>review</x:v>
      </x:c>
      <x:c r="G463" s="38" t="str">
        <x:v>ease of use</x:v>
      </x:c>
      <x:c r="H463" s="38" t="str">
        <x:v>Camera &amp; Photo</x:v>
      </x:c>
      <x:c r="I463" s="91" t="str">
        <x:v>[Product: LaView 4 Camera Security System, 4 Channel Compact DVR w/1TB HDD and 4 Silver 700TVL Bullet Surveillance Camera Kit | ASIN: B00MG6V2RG] These cameras work as advertised, easy to install and setup. So if you need a good camera for your home that is easy to install setup and not too particular about monitoring the video on your phone, then get these.</x:v>
      </x:c>
      <x:c r="J463" s="101" t="n">
        <x:v>2</x:v>
      </x:c>
      <x:c r="K463" s="92" t="str">
        <x:v>Human_Reviewer_01</x:v>
      </x:c>
      <x:c r="L463" s="92" t="str">
        <x:v>High</x:v>
      </x:c>
      <x:c r="M463" s="93" t="str">
        <x:v>Camera system installation is easy, with a phone-viewing suitability caveat.</x:v>
      </x:c>
      <x:c r="N463" s="94"/>
      <x:c r="O463" s="94"/>
      <x:c r="P463" s="94"/>
      <x:c r="Q463" s="95"/>
      <x:c r="R463" s="96"/>
      <x:c r="S463" s="96"/>
      <x:c r="T463" s="97"/>
      <x:c r="U463" s="98" t="str">
        <x:f>IF(OR(J463="",N463=""),"",IF(J463=N463,"No","Yes"))</x:f>
      </x:c>
      <x:c r="V463" s="98" t="n">
        <x:v>2</x:v>
      </x:c>
    </x:row>
    <x:row r="464" ht="54" hidden="0" customHeight="1">
      <x:c r="A464" s="38" t="str">
        <x:v>Q012::B09YPY2LVR_review_2728251</x:v>
      </x:c>
      <x:c r="B464" s="38" t="str">
        <x:v>Q012</x:v>
      </x:c>
      <x:c r="C464" s="91" t="str">
        <x:v>I need a security camera system that is easy to install and manage from a phone.</x:v>
      </x:c>
      <x:c r="D464" s="38" t="n">
        <x:v>30</x:v>
      </x:c>
      <x:c r="E464" s="38" t="str">
        <x:v>B09YPY2LVR</x:v>
      </x:c>
      <x:c r="F464" s="38" t="str">
        <x:v>review</x:v>
      </x:c>
      <x:c r="G464" s="38" t="str">
        <x:v>ease of use</x:v>
      </x:c>
      <x:c r="H464" s="38" t="str">
        <x:v>Camera &amp; Photo</x:v>
      </x:c>
      <x:c r="I464" s="91" t="str">
        <x:v>[Product: Tonton 100ft 30M BNC Video Power Cable Security Camera Wire Cord for Surveillance Kit and Security Camera System | ASIN: B09YPY2LVR] Easy to install Abby from tech support was awesome.</x:v>
      </x:c>
      <x:c r="J464" s="101" t="n">
        <x:v>0</x:v>
      </x:c>
      <x:c r="K464" s="92" t="str">
        <x:v>Human_Reviewer_01</x:v>
      </x:c>
      <x:c r="L464" s="92" t="str">
        <x:v>High</x:v>
      </x:c>
      <x:c r="M464" s="93" t="str">
        <x:v>This is camera cable, not a security camera system.</x:v>
      </x:c>
      <x:c r="N464" s="94"/>
      <x:c r="O464" s="94"/>
      <x:c r="P464" s="94"/>
      <x:c r="Q464" s="95"/>
      <x:c r="R464" s="96"/>
      <x:c r="S464" s="96"/>
      <x:c r="T464" s="97"/>
      <x:c r="U464" s="98" t="str">
        <x:f>IF(OR(J464="",N464=""),"",IF(J464=N464,"No","Yes"))</x:f>
      </x:c>
      <x:c r="V464" s="98" t="n">
        <x:v>0</x:v>
      </x:c>
    </x:row>
    <x:row r="465" ht="54" hidden="0" customHeight="1">
      <x:c r="A465" s="38" t="str">
        <x:v>Q012::B0BRH54DNR_review_4060071</x:v>
      </x:c>
      <x:c r="B465" s="38" t="str">
        <x:v>Q012</x:v>
      </x:c>
      <x:c r="C465" s="91" t="str">
        <x:v>I need a security camera system that is easy to install and manage from a phone.</x:v>
      </x:c>
      <x:c r="D465" s="38" t="n">
        <x:v>31</x:v>
      </x:c>
      <x:c r="E465" s="38" t="str">
        <x:v>B0BRH54DNR</x:v>
      </x:c>
      <x:c r="F465" s="38" t="str">
        <x:v>review</x:v>
      </x:c>
      <x:c r="G465" s="38" t="str">
        <x:v>ease of use</x:v>
      </x:c>
      <x:c r="H465" s="38" t="str">
        <x:v>Camera &amp; Photo</x:v>
      </x:c>
      <x:c r="I465" s="91" t="str">
        <x:v>[Product: Vavupo Light Bulb Security Camera,2.4/5GGhz Wireless WiFi Light Bulb Security Camera,Smart 360 PTZ Indoor/Outdoor Bulb Security Camera, Remote Voice Intercom HD Night Vision Light Bulb Security Camera | ASIN: B0BRH54DNR] This is very easy to install and setup on phone.</x:v>
      </x:c>
      <x:c r="J465" s="101" t="n">
        <x:v>2</x:v>
      </x:c>
      <x:c r="K465" s="92" t="str">
        <x:v>Human_Reviewer_01</x:v>
      </x:c>
      <x:c r="L465" s="92" t="str">
        <x:v>High</x:v>
      </x:c>
      <x:c r="M465" s="93" t="str">
        <x:v>Security camera installation and phone setup are explicitly easy.</x:v>
      </x:c>
      <x:c r="N465" s="94"/>
      <x:c r="O465" s="94"/>
      <x:c r="P465" s="94"/>
      <x:c r="Q465" s="95"/>
      <x:c r="R465" s="96"/>
      <x:c r="S465" s="96"/>
      <x:c r="T465" s="97"/>
      <x:c r="U465" s="98" t="str">
        <x:f>IF(OR(J465="",N465=""),"",IF(J465=N465,"No","Yes"))</x:f>
      </x:c>
      <x:c r="V465" s="98" t="n">
        <x:v>2</x:v>
      </x:c>
    </x:row>
    <x:row r="466" ht="54" hidden="0" customHeight="1">
      <x:c r="A466" s="38" t="str">
        <x:v>Q012::B07NDS85W6_review_3420774</x:v>
      </x:c>
      <x:c r="B466" s="38" t="str">
        <x:v>Q012</x:v>
      </x:c>
      <x:c r="C466" s="91" t="str">
        <x:v>I need a security camera system that is easy to install and manage from a phone.</x:v>
      </x:c>
      <x:c r="D466" s="38" t="n">
        <x:v>32</x:v>
      </x:c>
      <x:c r="E466" s="38" t="str">
        <x:v>B07NDS85W6</x:v>
      </x:c>
      <x:c r="F466" s="38" t="str">
        <x:v>review</x:v>
      </x:c>
      <x:c r="G466" s="38" t="str">
        <x:v>ease of use</x:v>
      </x:c>
      <x:c r="H466" s="38" t="str">
        <x:v>Camera &amp; Photo</x:v>
      </x:c>
      <x:c r="I466" s="91" t="str">
        <x:v>[Product: Arlo VMS3330W Security Camera System - 3 Wire-Free HD Security Camera | ASIN: B07NDS85W6] If you want something easy to install and a cheaper option these will work</x:v>
      </x:c>
      <x:c r="J466" s="101" t="n">
        <x:v>2</x:v>
      </x:c>
      <x:c r="K466" s="92" t="str">
        <x:v>Human_Reviewer_01</x:v>
      </x:c>
      <x:c r="L466" s="92" t="str">
        <x:v>High</x:v>
      </x:c>
      <x:c r="M466" s="93" t="str">
        <x:v>Security camera system is explicitly recommended for easy installation.</x:v>
      </x:c>
      <x:c r="N466" s="94"/>
      <x:c r="O466" s="94"/>
      <x:c r="P466" s="94"/>
      <x:c r="Q466" s="95"/>
      <x:c r="R466" s="96"/>
      <x:c r="S466" s="96"/>
      <x:c r="T466" s="97"/>
      <x:c r="U466" s="98" t="str">
        <x:f>IF(OR(J466="",N466=""),"",IF(J466=N466,"No","Yes"))</x:f>
      </x:c>
      <x:c r="V466" s="98" t="n">
        <x:v>2</x:v>
      </x:c>
    </x:row>
    <x:row r="467" ht="54" hidden="0" customHeight="1">
      <x:c r="A467" s="38" t="str">
        <x:v>Q012::B07BVSMDNP_review_1706382</x:v>
      </x:c>
      <x:c r="B467" s="38" t="str">
        <x:v>Q012</x:v>
      </x:c>
      <x:c r="C467" s="91" t="str">
        <x:v>I need a security camera system that is easy to install and manage from a phone.</x:v>
      </x:c>
      <x:c r="D467" s="38" t="n">
        <x:v>33</x:v>
      </x:c>
      <x:c r="E467" s="38" t="str">
        <x:v>B07BVSMDNP</x:v>
      </x:c>
      <x:c r="F467" s="38" t="str">
        <x:v>review</x:v>
      </x:c>
      <x:c r="G467" s="38" t="str">
        <x:v>design/appearance</x:v>
      </x:c>
      <x:c r="H467" s="38" t="str">
        <x:v>Camera &amp; Photo</x:v>
      </x:c>
      <x:c r="I467" s="91" t="str">
        <x:v>[Product: Door Window Alarm 2 Pack Noopel Home Security Sensor Burglar Anti-Theft 120DB Alarm with Batteries Included - DIY Easy to Install (2) | ASIN: B07BVSMDNP] The system is very discrete in terms of its appearance, and I love that I can manage things from my phone.</x:v>
      </x:c>
      <x:c r="J467" s="101" t="n">
        <x:v>0</x:v>
      </x:c>
      <x:c r="K467" s="92" t="str">
        <x:v>Human_Reviewer_01</x:v>
      </x:c>
      <x:c r="L467" s="92" t="str">
        <x:v>High</x:v>
      </x:c>
      <x:c r="M467" s="93" t="str">
        <x:v>This is a door-window alarm, not a camera system.</x:v>
      </x:c>
      <x:c r="N467" s="94"/>
      <x:c r="O467" s="94"/>
      <x:c r="P467" s="94"/>
      <x:c r="Q467" s="95"/>
      <x:c r="R467" s="96"/>
      <x:c r="S467" s="96"/>
      <x:c r="T467" s="97"/>
      <x:c r="U467" s="98" t="str">
        <x:f>IF(OR(J467="",N467=""),"",IF(J467=N467,"No","Yes"))</x:f>
      </x:c>
      <x:c r="V467" s="98" t="n">
        <x:v>0</x:v>
      </x:c>
    </x:row>
    <x:row r="468" ht="54" hidden="0" customHeight="1">
      <x:c r="A468" s="38" t="str">
        <x:v>Q012::B01M06HS89_review_734043</x:v>
      </x:c>
      <x:c r="B468" s="38" t="str">
        <x:v>Q012</x:v>
      </x:c>
      <x:c r="C468" s="91" t="str">
        <x:v>I need a security camera system that is easy to install and manage from a phone.</x:v>
      </x:c>
      <x:c r="D468" s="38" t="n">
        <x:v>34</x:v>
      </x:c>
      <x:c r="E468" s="38" t="str">
        <x:v>B01M06HS89</x:v>
      </x:c>
      <x:c r="F468" s="38" t="str">
        <x:v>review</x:v>
      </x:c>
      <x:c r="G468" s="38" t="str">
        <x:v>general</x:v>
      </x:c>
      <x:c r="H468" s="38" t="str">
        <x:v>Camera &amp; Photo</x:v>
      </x:c>
      <x:c r="I468" s="91" t="str">
        <x:v>[Product: Zclever 8CH Home Security Camera System 1080N Video Surveillance DVR with 8pcs 720p 1200TVL Night Vision Weatherproof Cameras, Motion Detection, Easy Remote View No Hard Drive | ASIN: B01M06HS89] /&gt;the mobile apps are just OK. I would like a little wider lens on the camera would be nice,</x:v>
      </x:c>
      <x:c r="J468" s="101" t="n">
        <x:v>2</x:v>
      </x:c>
      <x:c r="K468" s="92" t="str">
        <x:v>Human_Reviewer_01</x:v>
      </x:c>
      <x:c r="L468" s="92" t="str">
        <x:v>Medium</x:v>
      </x:c>
      <x:c r="M468" s="93" t="str">
        <x:v>Camera system mobile apps are only adequate; evidence on phone management is brief.</x:v>
      </x:c>
      <x:c r="N468" s="94"/>
      <x:c r="O468" s="94"/>
      <x:c r="P468" s="94"/>
      <x:c r="Q468" s="95"/>
      <x:c r="R468" s="96"/>
      <x:c r="S468" s="96"/>
      <x:c r="T468" s="97"/>
      <x:c r="U468" s="98" t="str">
        <x:f>IF(OR(J468="",N468=""),"",IF(J468=N468,"No","Yes"))</x:f>
      </x:c>
      <x:c r="V468" s="98" t="n">
        <x:v>2</x:v>
      </x:c>
    </x:row>
    <x:row r="469" ht="54" hidden="0" customHeight="1">
      <x:c r="A469" s="38" t="str">
        <x:v>Q012::B00WBU3HU2_review_971294</x:v>
      </x:c>
      <x:c r="B469" s="38" t="str">
        <x:v>Q012</x:v>
      </x:c>
      <x:c r="C469" s="91" t="str">
        <x:v>I need a security camera system that is easy to install and manage from a phone.</x:v>
      </x:c>
      <x:c r="D469" s="38" t="n">
        <x:v>35</x:v>
      </x:c>
      <x:c r="E469" s="38" t="str">
        <x:v>B00WBU3HU2</x:v>
      </x:c>
      <x:c r="F469" s="38" t="str">
        <x:v>review</x:v>
      </x:c>
      <x:c r="G469" s="38" t="str">
        <x:v>ease of use</x:v>
      </x:c>
      <x:c r="H469" s="38" t="str">
        <x:v>Camera &amp; Photo</x:v>
      </x:c>
      <x:c r="I469" s="91" t="str">
        <x:v>[Product: Kodak CFH-V15 - HD WiFi Video Monitoring Surveillance Security Camera, Pan/Tilt, Two-Way Audio, Night Vision &amp; Free Cloud Storage | ASIN: B00WBU3HU2] Finally, its very easy to setup (if that kind of thing concerns you), though you do need an Android or iOS device. br /&gt;Some mounting hardware (that I have not used)&lt;br /&gt;&lt;br /&gt;Setup experience:&lt;br /&gt;Setup was very straightforward and is done entirely through the (in my case, android) app (note to buyers: if you do not have a smartphone, then I suspect this camera is not for you). You download the iSecurity+ app from the app store and use this for the initial setup. None of the interfaces (Android/iOS/PC web) are built for multi-camera setups, so if you were planning on buying several of these, there is no nice way to have a &amp;#34;security monitor&amp;#34; setup with multiple streams them showing simultaneously.&lt;br /&gt;-</x:v>
      </x:c>
      <x:c r="J469" s="101" t="n">
        <x:v>2</x:v>
      </x:c>
      <x:c r="K469" s="92" t="str">
        <x:v>Human_Reviewer_01</x:v>
      </x:c>
      <x:c r="L469" s="92" t="str">
        <x:v>High</x:v>
      </x:c>
      <x:c r="M469" s="93" t="str">
        <x:v>Camera setup is straightforward through a phone app, with explicit multi-camera interface limitations.</x:v>
      </x:c>
      <x:c r="N469" s="94"/>
      <x:c r="O469" s="94"/>
      <x:c r="P469" s="94"/>
      <x:c r="Q469" s="95"/>
      <x:c r="R469" s="96"/>
      <x:c r="S469" s="96"/>
      <x:c r="T469" s="97"/>
      <x:c r="U469" s="98" t="str">
        <x:f>IF(OR(J469="",N469=""),"",IF(J469=N469,"No","Yes"))</x:f>
      </x:c>
      <x:c r="V469" s="98" t="n">
        <x:v>2</x:v>
      </x:c>
    </x:row>
    <x:row r="470" ht="54" hidden="0" customHeight="1">
      <x:c r="A470" s="38" t="str">
        <x:v>Q012::B008GRQ2J2_review_2504784</x:v>
      </x:c>
      <x:c r="B470" s="38" t="str">
        <x:v>Q012</x:v>
      </x:c>
      <x:c r="C470" s="91" t="str">
        <x:v>I need a security camera system that is easy to install and manage from a phone.</x:v>
      </x:c>
      <x:c r="D470" s="38" t="n">
        <x:v>36</x:v>
      </x:c>
      <x:c r="E470" s="38" t="str">
        <x:v>B008GRQ2J2</x:v>
      </x:c>
      <x:c r="F470" s="38" t="str">
        <x:v>review</x:v>
      </x:c>
      <x:c r="G470" s="38" t="str">
        <x:v>sound quality</x:v>
      </x:c>
      <x:c r="H470" s="38" t="str">
        <x:v>Camera &amp; Photo</x:v>
      </x:c>
      <x:c r="I470" s="91" t="str">
        <x:v>[Product: Zmodo 8 Channel Security DVR CCTV Security Camera System with 8 Outdoor Color IR Surveillance Camera - 500GB HDD Pre-Installed | ASIN: B008GRQ2J2] this security system was easy to set up and easy to use...only wish that since it is a system with audio that they at least could have sent cables with audio and at least two out the eight cameras with audio as well. But the cameras were just standard camera and the cables had no audio line...had to order those on my own. The system itself is easy to set and use and if you do not need audio I would give it five stars.</x:v>
      </x:c>
      <x:c r="J470" s="101" t="n">
        <x:v>2</x:v>
      </x:c>
      <x:c r="K470" s="92" t="str">
        <x:v>Human_Reviewer_01</x:v>
      </x:c>
      <x:c r="L470" s="92" t="str">
        <x:v>High</x:v>
      </x:c>
      <x:c r="M470" s="93" t="str">
        <x:v>Camera system is easy to set up and use; audio accessories are incomplete.</x:v>
      </x:c>
      <x:c r="N470" s="94"/>
      <x:c r="O470" s="94"/>
      <x:c r="P470" s="94"/>
      <x:c r="Q470" s="95"/>
      <x:c r="R470" s="96"/>
      <x:c r="S470" s="96"/>
      <x:c r="T470" s="97"/>
      <x:c r="U470" s="98" t="str">
        <x:f>IF(OR(J470="",N470=""),"",IF(J470=N470,"No","Yes"))</x:f>
      </x:c>
      <x:c r="V470" s="98" t="n">
        <x:v>2</x:v>
      </x:c>
    </x:row>
    <x:row r="471" ht="54" hidden="0" customHeight="1">
      <x:c r="A471" s="38" t="str">
        <x:v>Q012::B01M3VHG87_review_2579510</x:v>
      </x:c>
      <x:c r="B471" s="38" t="str">
        <x:v>Q012</x:v>
      </x:c>
      <x:c r="C471" s="91" t="str">
        <x:v>I need a security camera system that is easy to install and manage from a phone.</x:v>
      </x:c>
      <x:c r="D471" s="38" t="n">
        <x:v>37</x:v>
      </x:c>
      <x:c r="E471" s="38" t="str">
        <x:v>B01M3VHG87</x:v>
      </x:c>
      <x:c r="F471" s="38" t="str">
        <x:v>review</x:v>
      </x:c>
      <x:c r="G471" s="38" t="str">
        <x:v>ease of use</x:v>
      </x:c>
      <x:c r="H471" s="38" t="str">
        <x:v>Camera &amp; Photo</x:v>
      </x:c>
      <x:c r="I471" s="91" t="str">
        <x:v>[Product: Arlo - Wireless Home Security Camera System | Night vision, Indoor/Outdoor, HD Video, Wall Mount | Cloud Storage Included | 5 camera kit (VMS3530-100NAR) (Renewed) | ASIN: B01M3VHG87] This system is easy to install and use. It is easy to manage from your computer or phone.</x:v>
      </x:c>
      <x:c r="J471" s="101" t="n">
        <x:v>2</x:v>
      </x:c>
      <x:c r="K471" s="92" t="str">
        <x:v>Human_Reviewer_01</x:v>
      </x:c>
      <x:c r="L471" s="92" t="str">
        <x:v>High</x:v>
      </x:c>
      <x:c r="M471" s="93" t="str">
        <x:v>Camera system is easy to install and manage from a phone or computer.</x:v>
      </x:c>
      <x:c r="N471" s="94"/>
      <x:c r="O471" s="94"/>
      <x:c r="P471" s="94"/>
      <x:c r="Q471" s="95"/>
      <x:c r="R471" s="96"/>
      <x:c r="S471" s="96"/>
      <x:c r="T471" s="97"/>
      <x:c r="U471" s="98" t="str">
        <x:f>IF(OR(J471="",N471=""),"",IF(J471=N471,"No","Yes"))</x:f>
      </x:c>
      <x:c r="V471" s="98" t="n">
        <x:v>2</x:v>
      </x:c>
    </x:row>
    <x:row r="472" ht="54" hidden="0" customHeight="1">
      <x:c r="A472" s="38" t="str">
        <x:v>Q012::B008LRV6WK_review_3226012</x:v>
      </x:c>
      <x:c r="B472" s="38" t="str">
        <x:v>Q012</x:v>
      </x:c>
      <x:c r="C472" s="91" t="str">
        <x:v>I need a security camera system that is easy to install and manage from a phone.</x:v>
      </x:c>
      <x:c r="D472" s="38" t="n">
        <x:v>38</x:v>
      </x:c>
      <x:c r="E472" s="38" t="str">
        <x:v>B008LRV6WK</x:v>
      </x:c>
      <x:c r="F472" s="38" t="str">
        <x:v>review</x:v>
      </x:c>
      <x:c r="G472" s="38" t="str">
        <x:v>ease of use</x:v>
      </x:c>
      <x:c r="H472" s="38" t="str">
        <x:v>Camera &amp; Photo</x:v>
      </x:c>
      <x:c r="I472" s="91" t="str">
        <x:v>[Product: Zmodo H.264 Real time 4 CH Standalone Security Surveillance CCTV DVR System - iPhone &amp; Android Network - No Hard Drive | ASIN: B008LRV6WK] It is easy to use and set-up.&lt;br /&gt;&lt;br</x:v>
      </x:c>
      <x:c r="J472" s="101" t="n">
        <x:v>2</x:v>
      </x:c>
      <x:c r="K472" s="92" t="str">
        <x:v>Human_Reviewer_01</x:v>
      </x:c>
      <x:c r="L472" s="92" t="str">
        <x:v>High</x:v>
      </x:c>
      <x:c r="M472" s="93" t="str">
        <x:v>Security DVR system is easy to use and set up; phone-network compatibility is stated in its title.</x:v>
      </x:c>
      <x:c r="N472" s="94"/>
      <x:c r="O472" s="94"/>
      <x:c r="P472" s="94"/>
      <x:c r="Q472" s="95"/>
      <x:c r="R472" s="96"/>
      <x:c r="S472" s="96"/>
      <x:c r="T472" s="97"/>
      <x:c r="U472" s="98" t="str">
        <x:f>IF(OR(J472="",N472=""),"",IF(J472=N472,"No","Yes"))</x:f>
      </x:c>
      <x:c r="V472" s="98" t="n">
        <x:v>2</x:v>
      </x:c>
    </x:row>
    <x:row r="473" ht="54" hidden="0" customHeight="1">
      <x:c r="A473" s="38" t="str">
        <x:v>Q012::B006UUTP8M_review_2910787</x:v>
      </x:c>
      <x:c r="B473" s="38" t="str">
        <x:v>Q012</x:v>
      </x:c>
      <x:c r="C473" s="91" t="str">
        <x:v>I need a security camera system that is easy to install and manage from a phone.</x:v>
      </x:c>
      <x:c r="D473" s="38" t="n">
        <x:v>39</x:v>
      </x:c>
      <x:c r="E473" s="38" t="str">
        <x:v>B006UUTP8M</x:v>
      </x:c>
      <x:c r="F473" s="38" t="str">
        <x:v>review</x:v>
      </x:c>
      <x:c r="G473" s="38" t="str">
        <x:v>ease of use</x:v>
      </x:c>
      <x:c r="H473" s="38" t="str">
        <x:v>Camera &amp; Photo</x:v>
      </x:c>
      <x:c r="I473" s="91" t="str">
        <x:v>[Product: GW Security 500 Feet RG59 Siamese Power and Video Combo Cable for CCTV Surveillance Video Camera Security System (500ft Cable Roll) | ASIN: B006UUTP8M] Its very flexible and easy to manage in the pull box.</x:v>
      </x:c>
      <x:c r="J473" s="101" t="n">
        <x:v>0</x:v>
      </x:c>
      <x:c r="K473" s="92" t="str">
        <x:v>Human_Reviewer_01</x:v>
      </x:c>
      <x:c r="L473" s="92" t="str">
        <x:v>High</x:v>
      </x:c>
      <x:c r="M473" s="93" t="str">
        <x:v>This is camera cable, not a security camera system.</x:v>
      </x:c>
      <x:c r="N473" s="94"/>
      <x:c r="O473" s="94"/>
      <x:c r="P473" s="94"/>
      <x:c r="Q473" s="95"/>
      <x:c r="R473" s="96"/>
      <x:c r="S473" s="96"/>
      <x:c r="T473" s="97"/>
      <x:c r="U473" s="98" t="str">
        <x:f>IF(OR(J473="",N473=""),"",IF(J473=N473,"No","Yes"))</x:f>
      </x:c>
      <x:c r="V473" s="98" t="n">
        <x:v>0</x:v>
      </x:c>
    </x:row>
    <x:row r="474" ht="54" hidden="0" customHeight="1">
      <x:c r="A474" s="38" t="str">
        <x:v>Q013::B005GMRVYK_review_558059</x:v>
      </x:c>
      <x:c r="B474" s="38" t="str">
        <x:v>Q013</x:v>
      </x:c>
      <x:c r="C474" s="91" t="str">
        <x:v>Which digital camera performs well in low light and focuses quickly?</x:v>
      </x:c>
      <x:c r="D474" s="38" t="n">
        <x:v>1</x:v>
      </x:c>
      <x:c r="E474" s="38" t="str">
        <x:v>B005GMRVYK</x:v>
      </x:c>
      <x:c r="F474" s="38" t="str">
        <x:v>review</x:v>
      </x:c>
      <x:c r="G474" s="38" t="str">
        <x:v>specifications/performance</x:v>
      </x:c>
      <x:c r="H474" s="38" t="str">
        <x:v>Camera &amp; Photo</x:v>
      </x:c>
      <x:c r="I474" s="91" t="str">
        <x:v>[Product: Fujifilm FinePix F600EXR 16 MP Digital Camera with CMOS Sensor and 15x Optical Zoom (Black) | ASIN: B005GMRVYK] It does have pretty decent performances in sunny or focused light, and its advanced mode with low light enhanced sometimes surprises me, too.</x:v>
      </x:c>
      <x:c r="J474" s="101" t="n">
        <x:v>2</x:v>
      </x:c>
      <x:c r="K474" s="92" t="str">
        <x:v>Human_Reviewer_01</x:v>
      </x:c>
      <x:c r="L474" s="92" t="str">
        <x:v>Medium</x:v>
      </x:c>
      <x:c r="M474" s="93" t="str">
        <x:v>Digital camera has positive low-light enhanced-mode experience, although described tentatively.</x:v>
      </x:c>
      <x:c r="N474" s="94"/>
      <x:c r="O474" s="94"/>
      <x:c r="P474" s="94"/>
      <x:c r="Q474" s="95"/>
      <x:c r="R474" s="96"/>
      <x:c r="S474" s="96"/>
      <x:c r="T474" s="97"/>
      <x:c r="U474" s="98" t="str">
        <x:f>IF(OR(J474="",N474=""),"",IF(J474=N474,"No","Yes"))</x:f>
      </x:c>
      <x:c r="V474" s="98" t="n">
        <x:v>2</x:v>
      </x:c>
    </x:row>
    <x:row r="475" ht="54" hidden="0" customHeight="1">
      <x:c r="A475" s="38" t="str">
        <x:v>Q013::B000GFZTQO_review_1432455</x:v>
      </x:c>
      <x:c r="B475" s="38" t="str">
        <x:v>Q013</x:v>
      </x:c>
      <x:c r="C475" s="91" t="str">
        <x:v>Which digital camera performs well in low light and focuses quickly?</x:v>
      </x:c>
      <x:c r="D475" s="38" t="n">
        <x:v>2</x:v>
      </x:c>
      <x:c r="E475" s="38" t="str">
        <x:v>B000GFZTQO</x:v>
      </x:c>
      <x:c r="F475" s="38" t="str">
        <x:v>review</x:v>
      </x:c>
      <x:c r="G475" s="38" t="str">
        <x:v>general</x:v>
      </x:c>
      <x:c r="H475" s="38" t="str">
        <x:v>Camera &amp; Photo</x:v>
      </x:c>
      <x:c r="I475" s="91" t="str">
        <x:v>[Product: Fuji FinePix F20 Digital Camera | ASIN: B000GFZTQO] much research, I purchased a Fuji F20 in order to shoot in low light conditions without flash. The F20 (and its virtually identical sibling the F30) includes Fuji's 6th generation SuperCCD sensor that promises high sensitivity in low light conditions without the usual image noise associated with conventional digital camera sensors. The F20's ISO range of 100-2000 turns out to be quite useable throughout the range. There is no other point-and-shoot camera that can hold a candle to the Fuji sensor's low light capabilities. It is hard to beat the Canon in daylight using its low ISO settings. The Fuji F20, on the other hand, produces images at ISO 800 that are easily comparable to the Canon's ISO 400 and, in many cases, even its ISO 200 setting. The Fuji can snap photos under low, natural lighting that the Canon cannot even attempt without using its flash. At normal print sizes, I find the F20's ISO 1600 images completely printable and useable. Now that I have used the F20 in a variety of shooting conditions I can say that its low light output indeed sets a new industry benchmark. The Fuji F20/F30 has opened up a whole new range of shooting modes that have simply not been possible without investing in high-end SLR equipment.&lt;br /&gt;&lt;br /&gt;For those who have been wondering whether to go for the F30 or save some dough with the F20, here is my take. However, the F30's pseudo-manual mode may only be marginally satisfying to those craving full manual control since, like most point-and-shoot digitals, the f-stops are limited by the zoom setting you have chosen. I have seldom relied on using aperture or shutter priority modes in my point and shoot cameras since the program modes are excellent for most of my shots. The LCD alone should not be the deciding factor. That is just my preference to safeguard against being totally stuck. Finally, the F30 has an ISO 3200 at its top end compared to the F20's ISO 2000. But nearly everyone is of the opinion that the F30's ISO 3200 is much less useable than the F20's ISO 2000 (and this may explain why Fuji reduced the F20 setting to something more realistic). All the other controls such as ISO selection, focus modes, scene modes, LCD refresh rates, and low-light ("anti-blur" as Fuji likes to call it) are the same between the F20 and F30. /&gt;There is very little to dislike about the F20. I am sure Fuji will eventually solve this problem as some other manufacturers have. I have been impressed at how my Canon A610 is totally free of purple fringing at all focal lengths. You will seldom detect it in printed photos unless your prints are huge or highly cropped. Nothing unusual here.&lt;br /&gt;&lt;br /&gt;On the controls front, Fuji has provided a good range of controls such as exposure compensation, multiple scene/low light modes, various flash modes, and an unbeatable ISO range. There is a really neat mode called Natural+Flash that shoots your scene with and without flash with a single shutter press. This ensures that you will always get a good picture to choose from and you will not have to ask people to wait while you change camera modes. Very, very clever. manual ISO settings, Fuji also includes a couple modes called AUTO (400) and AUTO (1600) that limits the highest ISO that the camera can select. I really wish they would have thrown in an AUTO (800) setting since I have no problem allowing the F20 to select up to ISO 800 for just about any photo purpose. Just remember to dial in -1/3 or -2/3 compensation if you will be shooting in bright outdoors -you will help avoid blown highlights that can never be recovered in pp.&lt;br /&gt;&lt;br /&gt;The Not a major deal, but it will probably require you to buy an xD card (I had to) and possibly a new card reader if you are coming from a different brand camera. I will probably buy the reader since I am not fond of downloading images by plugging in the camera to my PC every time. and so I will not blame Fuji for that.&lt;br /&gt;&lt;br /&gt;Having owned three Canon digital cameras (S10, A60, and A610) I thought long and hard about the switch to Fuji. The Canons are superb cameras and you are hard pressed to get a bad image from them. However, I have increasingly found that I prefer to shoot natural light/low light scenes without flash and it is under these conditions that the limitations of conventional imaging sensors become apparent. This is where the F20 shines and I have not found any competitive sensor technology that comes close.&lt;br /&gt;&lt;br /&gt;Fuji is poised to introduce some amazing cameras using this 6th generation sensor. But they will need the commitment to make sure that their entire camera line-up performs well from the lowest model to the highest. Success cannot be built on just one or two successful models amongst a line-up of average offerings. This may well explain the success of Canon -every one of their cameras is a generally a high performer in its market segment. I applaud Fuji for bringing revolutionary CCD technology (that delivers on its promise) to the low-end market.</x:v>
      </x:c>
      <x:c r="J475" s="101" t="n">
        <x:v>2</x:v>
      </x:c>
      <x:c r="K475" s="92" t="str">
        <x:v>Human_Reviewer_01</x:v>
      </x:c>
      <x:c r="L475" s="92" t="str">
        <x:v>High</x:v>
      </x:c>
      <x:c r="M475" s="93" t="str">
        <x:v>Digital camera has extensive concrete low-light and high-ISO image evidence.</x:v>
      </x:c>
      <x:c r="N475" s="94"/>
      <x:c r="O475" s="94"/>
      <x:c r="P475" s="94"/>
      <x:c r="Q475" s="95"/>
      <x:c r="R475" s="96"/>
      <x:c r="S475" s="96"/>
      <x:c r="T475" s="97"/>
      <x:c r="U475" s="98" t="str">
        <x:f>IF(OR(J475="",N475=""),"",IF(J475=N475,"No","Yes"))</x:f>
      </x:c>
      <x:c r="V475" s="98" t="n">
        <x:v>2</x:v>
      </x:c>
    </x:row>
    <x:row r="476" ht="54" hidden="0" customHeight="1">
      <x:c r="A476" s="38" t="str">
        <x:v>Q013::B0009N54PY_review_1857174</x:v>
      </x:c>
      <x:c r="B476" s="38" t="str">
        <x:v>Q013</x:v>
      </x:c>
      <x:c r="C476" s="91" t="str">
        <x:v>Which digital camera performs well in low light and focuses quickly?</x:v>
      </x:c>
      <x:c r="D476" s="38" t="n">
        <x:v>3</x:v>
      </x:c>
      <x:c r="E476" s="38" t="str">
        <x:v>B0009N54PY</x:v>
      </x:c>
      <x:c r="F476" s="38" t="str">
        <x:v>review</x:v>
      </x:c>
      <x:c r="G476" s="38" t="str">
        <x:v>screen/display</x:v>
      </x:c>
      <x:c r="H476" s="38" t="str">
        <x:v>Camera &amp; Photo</x:v>
      </x:c>
      <x:c r="I476" s="91" t="str">
        <x:v>[Product: Kodak Easyshare C340 5 MP Digital Camera with 3xOptical Zoom (OLD MODEL) | ASIN: B0009N54PY] /&gt;It performs well in low light, and the screen gains up considerably to give a good LCD view.</x:v>
      </x:c>
      <x:c r="J476" s="101" t="n">
        <x:v>2</x:v>
      </x:c>
      <x:c r="K476" s="92" t="str">
        <x:v>Human_Reviewer_01</x:v>
      </x:c>
      <x:c r="L476" s="92" t="str">
        <x:v>High</x:v>
      </x:c>
      <x:c r="M476" s="93" t="str">
        <x:v>Digital camera explicitly performs well in low light.</x:v>
      </x:c>
      <x:c r="N476" s="94"/>
      <x:c r="O476" s="94"/>
      <x:c r="P476" s="94"/>
      <x:c r="Q476" s="95"/>
      <x:c r="R476" s="96"/>
      <x:c r="S476" s="96"/>
      <x:c r="T476" s="97"/>
      <x:c r="U476" s="98" t="str">
        <x:f>IF(OR(J476="",N476=""),"",IF(J476=N476,"No","Yes"))</x:f>
      </x:c>
      <x:c r="V476" s="98" t="n">
        <x:v>2</x:v>
      </x:c>
    </x:row>
    <x:row r="477" ht="54" hidden="0" customHeight="1">
      <x:c r="A477" s="38" t="str">
        <x:v>Q013::B000L9SCIW_review_3288910</x:v>
      </x:c>
      <x:c r="B477" s="38" t="str">
        <x:v>Q013</x:v>
      </x:c>
      <x:c r="C477" s="91" t="str">
        <x:v>Which digital camera performs well in low light and focuses quickly?</x:v>
      </x:c>
      <x:c r="D477" s="38" t="n">
        <x:v>4</x:v>
      </x:c>
      <x:c r="E477" s="38" t="str">
        <x:v>B000L9SCIW</x:v>
      </x:c>
      <x:c r="F477" s="38" t="str">
        <x:v>review</x:v>
      </x:c>
      <x:c r="G477" s="38" t="str">
        <x:v>specifications/performance</x:v>
      </x:c>
      <x:c r="H477" s="38" t="str">
        <x:v>Camera &amp; Photo</x:v>
      </x:c>
      <x:c r="I477" s="91" t="str">
        <x:v>[Product: Fujifilm Finepix F31fd 6.3MP Digital Camera with 3x Optical Zoom | ASIN: B000L9SCIW] You will not find low light performance in other manufacturer's cameras until you start shelling out big bucks for a digital SLR.</x:v>
      </x:c>
      <x:c r="J477" s="101" t="n">
        <x:v>2</x:v>
      </x:c>
      <x:c r="K477" s="92" t="str">
        <x:v>Human_Reviewer_01</x:v>
      </x:c>
      <x:c r="L477" s="92" t="str">
        <x:v>High</x:v>
      </x:c>
      <x:c r="M477" s="93" t="str">
        <x:v>Digital camera explicitly offers strong low-light performance compared with alternatives.</x:v>
      </x:c>
      <x:c r="N477" s="94"/>
      <x:c r="O477" s="94"/>
      <x:c r="P477" s="94"/>
      <x:c r="Q477" s="95"/>
      <x:c r="R477" s="96"/>
      <x:c r="S477" s="96"/>
      <x:c r="T477" s="97"/>
      <x:c r="U477" s="98" t="str">
        <x:f>IF(OR(J477="",N477=""),"",IF(J477=N477,"No","Yes"))</x:f>
      </x:c>
      <x:c r="V477" s="98" t="n">
        <x:v>2</x:v>
      </x:c>
    </x:row>
    <x:row r="478" ht="54" hidden="0" customHeight="1">
      <x:c r="A478" s="38" t="str">
        <x:v>Q013::B0012Y6VQA_review_1336374</x:v>
      </x:c>
      <x:c r="B478" s="38" t="str">
        <x:v>Q013</x:v>
      </x:c>
      <x:c r="C478" s="91" t="str">
        <x:v>Which digital camera performs well in low light and focuses quickly?</x:v>
      </x:c>
      <x:c r="D478" s="38" t="n">
        <x:v>5</x:v>
      </x:c>
      <x:c r="E478" s="38" t="str">
        <x:v>B0012Y6VQA</x:v>
      </x:c>
      <x:c r="F478" s="38" t="str">
        <x:v>review</x:v>
      </x:c>
      <x:c r="G478" s="38" t="str">
        <x:v>specifications/performance</x:v>
      </x:c>
      <x:c r="H478" s="38" t="str">
        <x:v>Camera &amp; Photo</x:v>
      </x:c>
      <x:c r="I478" s="91" t="str">
        <x:v>[Product: Fujifilm Finepix F100fd 12MP Digital Camera with 5x Wide Angle Dual Image Stabilized Optical Zoom | ASIN: B0012Y6VQA] In fact, I think F100fd might have the best low light performance in its class. F100fd also has a very good edge-to-edge sharpness performance in wide angle.&lt;br /&gt;&lt;br /&gt;While Generally fast auto focus performance, unless in low light which sometimes it hunts a little bit.&lt;br /&gt;- Zooming in and out is too fast, almost have to try a few times to get to the desired zoom distance.&lt;br /&gt;- Acceptable LCD performance in daylight, at noon, the LCD is still visible, so framing under bright daylight should not be a problem.&lt;br /&gt;- Shot to shot time is respectable, generally about 1 to 2 second.</x:v>
      </x:c>
      <x:c r="J478" s="101" t="n">
        <x:v>2</x:v>
      </x:c>
      <x:c r="K478" s="92" t="str">
        <x:v>Human_Reviewer_01</x:v>
      </x:c>
      <x:c r="L478" s="92" t="str">
        <x:v>High</x:v>
      </x:c>
      <x:c r="M478" s="93" t="str">
        <x:v>Digital camera has good low-light imagery and generally fast autofocus with low-light hunting.</x:v>
      </x:c>
      <x:c r="N478" s="94"/>
      <x:c r="O478" s="94"/>
      <x:c r="P478" s="94"/>
      <x:c r="Q478" s="95"/>
      <x:c r="R478" s="96"/>
      <x:c r="S478" s="96"/>
      <x:c r="T478" s="97"/>
      <x:c r="U478" s="98" t="str">
        <x:f>IF(OR(J478="",N478=""),"",IF(J478=N478,"No","Yes"))</x:f>
      </x:c>
      <x:c r="V478" s="98" t="n">
        <x:v>2</x:v>
      </x:c>
    </x:row>
    <x:row r="479" ht="54" hidden="0" customHeight="1">
      <x:c r="A479" s="38" t="str">
        <x:v>Q013::B0001G6U5W_review_765042</x:v>
      </x:c>
      <x:c r="B479" s="38" t="str">
        <x:v>Q013</x:v>
      </x:c>
      <x:c r="C479" s="91" t="str">
        <x:v>Which digital camera performs well in low light and focuses quickly?</x:v>
      </x:c>
      <x:c r="D479" s="38" t="n">
        <x:v>6</x:v>
      </x:c>
      <x:c r="E479" s="38" t="str">
        <x:v>B0001G6U5W</x:v>
      </x:c>
      <x:c r="F479" s="38" t="str">
        <x:v>review</x:v>
      </x:c>
      <x:c r="G479" s="38" t="str">
        <x:v>general</x:v>
      </x:c>
      <x:c r="H479" s="38" t="str">
        <x:v>Camera &amp; Photo</x:v>
      </x:c>
      <x:c r="I479" s="91" t="str">
        <x:v>[Product: Canon PowerShot S500 5MP Digital Elph with 3x Optical Zoom | ASIN: B0001G6U5W] I am a big fan of Canon cameras, so I might be a little biased. But that does not mean I do not use cameras from other manufacturers. They are the first to include a card of this type and size which is great. The pictures are remarkably clear and vibrant. The camera performs well in all conditions. The low light assist lamp works well.</x:v>
      </x:c>
      <x:c r="J479" s="101" t="n">
        <x:v>1</x:v>
      </x:c>
      <x:c r="K479" s="92" t="str">
        <x:v>Human_Reviewer_01</x:v>
      </x:c>
      <x:c r="L479" s="92" t="str">
        <x:v>Medium</x:v>
      </x:c>
      <x:c r="M479" s="93" t="str">
        <x:v>Low-light assist-lamp operation is related, but low-light image performance and focusing speed are not directly tested.</x:v>
      </x:c>
      <x:c r="N479" s="94"/>
      <x:c r="O479" s="94"/>
      <x:c r="P479" s="94"/>
      <x:c r="Q479" s="95"/>
      <x:c r="R479" s="96"/>
      <x:c r="S479" s="96"/>
      <x:c r="T479" s="97"/>
      <x:c r="U479" s="98" t="str">
        <x:f>IF(OR(J479="",N479=""),"",IF(J479=N479,"No","Yes"))</x:f>
      </x:c>
      <x:c r="V479" s="98" t="n">
        <x:v>1</x:v>
      </x:c>
    </x:row>
    <x:row r="480" ht="54" hidden="0" customHeight="1">
      <x:c r="A480" s="38" t="str">
        <x:v>Q013::B082WW3K85_review_3459532</x:v>
      </x:c>
      <x:c r="B480" s="38" t="str">
        <x:v>Q013</x:v>
      </x:c>
      <x:c r="C480" s="91" t="str">
        <x:v>Which digital camera performs well in low light and focuses quickly?</x:v>
      </x:c>
      <x:c r="D480" s="38" t="n">
        <x:v>7</x:v>
      </x:c>
      <x:c r="E480" s="38" t="str">
        <x:v>B082WW3K85</x:v>
      </x:c>
      <x:c r="F480" s="38" t="str">
        <x:v>review</x:v>
      </x:c>
      <x:c r="G480" s="38" t="str">
        <x:v>specifications/performance</x:v>
      </x:c>
      <x:c r="H480" s="38" t="str">
        <x:v>Camera &amp; Photo</x:v>
      </x:c>
      <x:c r="I480" s="91" t="str">
        <x:v>[Product: Canon Digital SLR Camera Body [EOS 80D] with 24.2 Megapixel (APS-C) CMOS Sensor and Dual Pixel CMOS AF - Black | ASIN: B082WW3K85] The 80D does not shoot as fast as the 7D Mark II or do as well in low light as the full-framed 5D III &amp;amp; 6D but it performs well in all areas and is a tool suitable for all types of photography. After further use I have come to the conclusion that this camera has subpar performance in low light when compared to its direction competition (APS-C) sensors.</x:v>
      </x:c>
      <x:c r="J480" s="101" t="n">
        <x:v>2</x:v>
      </x:c>
      <x:c r="K480" s="92" t="str">
        <x:v>Human_Reviewer_01</x:v>
      </x:c>
      <x:c r="L480" s="92" t="str">
        <x:v>High</x:v>
      </x:c>
      <x:c r="M480" s="93" t="str">
        <x:v>Digital camera has explicit low-light limitations relative to competing sensors.</x:v>
      </x:c>
      <x:c r="N480" s="94"/>
      <x:c r="O480" s="94"/>
      <x:c r="P480" s="94"/>
      <x:c r="Q480" s="95"/>
      <x:c r="R480" s="96"/>
      <x:c r="S480" s="96"/>
      <x:c r="T480" s="97"/>
      <x:c r="U480" s="98" t="str">
        <x:f>IF(OR(J480="",N480=""),"",IF(J480=N480,"No","Yes"))</x:f>
      </x:c>
      <x:c r="V480" s="98" t="n">
        <x:v>2</x:v>
      </x:c>
    </x:row>
    <x:row r="481" ht="54" hidden="0" customHeight="1">
      <x:c r="A481" s="38" t="str">
        <x:v>Q013::B005RYBSCI_review_193003</x:v>
      </x:c>
      <x:c r="B481" s="38" t="str">
        <x:v>Q013</x:v>
      </x:c>
      <x:c r="C481" s="91" t="str">
        <x:v>Which digital camera performs well in low light and focuses quickly?</x:v>
      </x:c>
      <x:c r="D481" s="38" t="n">
        <x:v>8</x:v>
      </x:c>
      <x:c r="E481" s="38" t="str">
        <x:v>B005RYBSCI</x:v>
      </x:c>
      <x:c r="F481" s="38" t="str">
        <x:v>review</x:v>
      </x:c>
      <x:c r="G481" s="38" t="str">
        <x:v>specifications/performance</x:v>
      </x:c>
      <x:c r="H481" s="38" t="str">
        <x:v>Camera &amp; Photo</x:v>
      </x:c>
      <x:c r="I481" s="91" t="str">
        <x:v>[Product: Lumix DMC-LS5 Digital Camera (Black) | ASIN: B005RYBSCI] Focusing is also slow.</x:v>
      </x:c>
      <x:c r="J481" s="101" t="n">
        <x:v>2</x:v>
      </x:c>
      <x:c r="K481" s="92" t="str">
        <x:v>Human_Reviewer_01</x:v>
      </x:c>
      <x:c r="L481" s="92" t="str">
        <x:v>High</x:v>
      </x:c>
      <x:c r="M481" s="93" t="str">
        <x:v>Digital camera focusing is explicitly slow; direct negative evidence.</x:v>
      </x:c>
      <x:c r="N481" s="94"/>
      <x:c r="O481" s="94"/>
      <x:c r="P481" s="94"/>
      <x:c r="Q481" s="95"/>
      <x:c r="R481" s="96"/>
      <x:c r="S481" s="96"/>
      <x:c r="T481" s="97"/>
      <x:c r="U481" s="98" t="str">
        <x:f>IF(OR(J481="",N481=""),"",IF(J481=N481,"No","Yes"))</x:f>
      </x:c>
      <x:c r="V481" s="98" t="n">
        <x:v>2</x:v>
      </x:c>
    </x:row>
    <x:row r="482" ht="54" hidden="0" customHeight="1">
      <x:c r="A482" s="38" t="str">
        <x:v>Q013::B000GFZTQO_review_1432515</x:v>
      </x:c>
      <x:c r="B482" s="38" t="str">
        <x:v>Q013</x:v>
      </x:c>
      <x:c r="C482" s="91" t="str">
        <x:v>Which digital camera performs well in low light and focuses quickly?</x:v>
      </x:c>
      <x:c r="D482" s="38" t="n">
        <x:v>9</x:v>
      </x:c>
      <x:c r="E482" s="38" t="str">
        <x:v>B000GFZTQO</x:v>
      </x:c>
      <x:c r="F482" s="38" t="str">
        <x:v>review</x:v>
      </x:c>
      <x:c r="G482" s="38" t="str">
        <x:v>design/appearance</x:v>
      </x:c>
      <x:c r="H482" s="38" t="str">
        <x:v>Camera &amp; Photo</x:v>
      </x:c>
      <x:c r="I482" s="91" t="str">
        <x:v>[Product: Fuji FinePix F20 Digital Camera | ASIN: B000GFZTQO] The low light performace really differenciates this camera from all other compact cameras.</x:v>
      </x:c>
      <x:c r="J482" s="101" t="n">
        <x:v>2</x:v>
      </x:c>
      <x:c r="K482" s="92" t="str">
        <x:v>Human_Reviewer_01</x:v>
      </x:c>
      <x:c r="L482" s="92" t="str">
        <x:v>High</x:v>
      </x:c>
      <x:c r="M482" s="93" t="str">
        <x:v>Digital camera's low-light performance is explicitly a distinguishing strength.</x:v>
      </x:c>
      <x:c r="N482" s="94"/>
      <x:c r="O482" s="94"/>
      <x:c r="P482" s="94"/>
      <x:c r="Q482" s="95"/>
      <x:c r="R482" s="96"/>
      <x:c r="S482" s="96"/>
      <x:c r="T482" s="97"/>
      <x:c r="U482" s="98" t="str">
        <x:f>IF(OR(J482="",N482=""),"",IF(J482=N482,"No","Yes"))</x:f>
      </x:c>
      <x:c r="V482" s="98" t="n">
        <x:v>2</x:v>
      </x:c>
    </x:row>
    <x:row r="483" ht="54" hidden="0" customHeight="1">
      <x:c r="A483" s="38" t="str">
        <x:v>Q013::B000BTFZZA_review_1428895</x:v>
      </x:c>
      <x:c r="B483" s="38" t="str">
        <x:v>Q013</x:v>
      </x:c>
      <x:c r="C483" s="91" t="str">
        <x:v>Which digital camera performs well in low light and focuses quickly?</x:v>
      </x:c>
      <x:c r="D483" s="38" t="n">
        <x:v>10</x:v>
      </x:c>
      <x:c r="E483" s="38" t="str">
        <x:v>B000BTFZZA</x:v>
      </x:c>
      <x:c r="F483" s="38" t="str">
        <x:v>review</x:v>
      </x:c>
      <x:c r="G483" s="38" t="str">
        <x:v>specifications/performance</x:v>
      </x:c>
      <x:c r="H483" s="38" t="str">
        <x:v>Camera &amp; Photo</x:v>
      </x:c>
      <x:c r="I483" s="91" t="str">
        <x:v>[Product: Olympus 35mm f/3.5 1:1 Macro Zuiko Lens for E Series DSLR | ASIN: B000BTFZZA] The lens is light, focuses fast, and even performs well when the light gets dimmer.</x:v>
      </x:c>
      <x:c r="J483" s="101" t="n">
        <x:v>0</x:v>
      </x:c>
      <x:c r="K483" s="92" t="str">
        <x:v>Human_Reviewer_01</x:v>
      </x:c>
      <x:c r="L483" s="92" t="str">
        <x:v>High</x:v>
      </x:c>
      <x:c r="M483" s="93" t="str">
        <x:v>This is a camera lens, not a digital camera.</x:v>
      </x:c>
      <x:c r="N483" s="94"/>
      <x:c r="O483" s="94"/>
      <x:c r="P483" s="94"/>
      <x:c r="Q483" s="95"/>
      <x:c r="R483" s="96"/>
      <x:c r="S483" s="96"/>
      <x:c r="T483" s="97"/>
      <x:c r="U483" s="98" t="str">
        <x:f>IF(OR(J483="",N483=""),"",IF(J483=N483,"No","Yes"))</x:f>
      </x:c>
      <x:c r="V483" s="98" t="n">
        <x:v>0</x:v>
      </x:c>
    </x:row>
    <x:row r="484" ht="54" hidden="0" customHeight="1">
      <x:c r="A484" s="38" t="str">
        <x:v>Q013::B00PHRVANC_review_2043929</x:v>
      </x:c>
      <x:c r="B484" s="38" t="str">
        <x:v>Q013</x:v>
      </x:c>
      <x:c r="C484" s="91" t="str">
        <x:v>Which digital camera performs well in low light and focuses quickly?</x:v>
      </x:c>
      <x:c r="D484" s="38" t="n">
        <x:v>11</x:v>
      </x:c>
      <x:c r="E484" s="38" t="str">
        <x:v>B00PHRVANC</x:v>
      </x:c>
      <x:c r="F484" s="38" t="str">
        <x:v>review</x:v>
      </x:c>
      <x:c r="G484" s="38" t="str">
        <x:v>specifications/performance</x:v>
      </x:c>
      <x:c r="H484" s="38" t="str">
        <x:v>Camera &amp; Photo</x:v>
      </x:c>
      <x:c r="I484" s="91" t="str">
        <x:v>[Product: Nikon COOLPIX P340 Digital Camera (Black) | ASIN: B00PHRVANC] because this camera can actually focus on your subjects in lower light, plus with the ability to fully control all you settings you can take full advantage of that great little image sensor and fast lens. Allot of cameras today have trouble smoothly recording things like cars passing by at speed or even smoothly recording a video inside the car with the road passing by. But the P340 just seems to record smooth video.&lt;br /&gt;&lt;br /&gt;The ISO performance of the P340 blows older DSLR's out of the water!. The feed going to my phone does have some lag (about a second behind). RAW files take a longer time to download since they are 20mb files,But JPEG files load fast. The ability to have control of your ISO, aperture, shutter speed, picture control settings and white balance would be great.</x:v>
      </x:c>
      <x:c r="J484" s="101" t="n">
        <x:v>2</x:v>
      </x:c>
      <x:c r="K484" s="92" t="str">
        <x:v>Human_Reviewer_01</x:v>
      </x:c>
      <x:c r="L484" s="92" t="str">
        <x:v>High</x:v>
      </x:c>
      <x:c r="M484" s="93" t="str">
        <x:v>Digital camera focuses in lower light and has favorable ISO performance testimony.</x:v>
      </x:c>
      <x:c r="N484" s="94"/>
      <x:c r="O484" s="94"/>
      <x:c r="P484" s="94"/>
      <x:c r="Q484" s="95"/>
      <x:c r="R484" s="96"/>
      <x:c r="S484" s="96"/>
      <x:c r="T484" s="97"/>
      <x:c r="U484" s="98" t="str">
        <x:f>IF(OR(J484="",N484=""),"",IF(J484=N484,"No","Yes"))</x:f>
      </x:c>
      <x:c r="V484" s="98" t="n">
        <x:v>2</x:v>
      </x:c>
    </x:row>
    <x:row r="485" ht="54" hidden="0" customHeight="1">
      <x:c r="A485" s="38" t="str">
        <x:v>Q013::B00004XSHN_review_3680275</x:v>
      </x:c>
      <x:c r="B485" s="38" t="str">
        <x:v>Q013</x:v>
      </x:c>
      <x:c r="C485" s="91" t="str">
        <x:v>Which digital camera performs well in low light and focuses quickly?</x:v>
      </x:c>
      <x:c r="D485" s="38" t="n">
        <x:v>12</x:v>
      </x:c>
      <x:c r="E485" s="38" t="str">
        <x:v>B00004XSHN</x:v>
      </x:c>
      <x:c r="F485" s="38" t="str">
        <x:v>review</x:v>
      </x:c>
      <x:c r="G485" s="38" t="str">
        <x:v>general</x:v>
      </x:c>
      <x:c r="H485" s="38" t="str">
        <x:v>Camera &amp; Photo</x:v>
      </x:c>
      <x:c r="I485" s="91" t="str">
        <x:v>[Product: Fujifilm FinePix 4900 4.3MP Digital Camera w/ 6x Optical Zoom | ASIN: B00004XSHN] It does well in low-light situations although the built-in flash will usually improve It is almost impossible to snap a good shot of my 3 year-old who cannot stand still.&lt;br /&gt;Addendum: This is now my camera of choice. It takes much better pics than either of my 35mm cameras.</x:v>
      </x:c>
      <x:c r="J485" s="101" t="n">
        <x:v>2</x:v>
      </x:c>
      <x:c r="K485" s="92" t="str">
        <x:v>Human_Reviewer_01</x:v>
      </x:c>
      <x:c r="L485" s="92" t="str">
        <x:v>High</x:v>
      </x:c>
      <x:c r="M485" s="93" t="str">
        <x:v>Digital camera works in low light but struggles to capture a moving child.</x:v>
      </x:c>
      <x:c r="N485" s="94"/>
      <x:c r="O485" s="94"/>
      <x:c r="P485" s="94"/>
      <x:c r="Q485" s="95"/>
      <x:c r="R485" s="96"/>
      <x:c r="S485" s="96"/>
      <x:c r="T485" s="97"/>
      <x:c r="U485" s="98" t="str">
        <x:f>IF(OR(J485="",N485=""),"",IF(J485=N485,"No","Yes"))</x:f>
      </x:c>
      <x:c r="V485" s="98" t="n">
        <x:v>2</x:v>
      </x:c>
    </x:row>
    <x:row r="486" ht="54" hidden="0" customHeight="1">
      <x:c r="A486" s="38" t="str">
        <x:v>Q013::B000L9SCIW_review_3288926</x:v>
      </x:c>
      <x:c r="B486" s="38" t="str">
        <x:v>Q013</x:v>
      </x:c>
      <x:c r="C486" s="91" t="str">
        <x:v>Which digital camera performs well in low light and focuses quickly?</x:v>
      </x:c>
      <x:c r="D486" s="38" t="n">
        <x:v>13</x:v>
      </x:c>
      <x:c r="E486" s="38" t="str">
        <x:v>B000L9SCIW</x:v>
      </x:c>
      <x:c r="F486" s="38" t="str">
        <x:v>review</x:v>
      </x:c>
      <x:c r="G486" s="38" t="str">
        <x:v>specifications/performance</x:v>
      </x:c>
      <x:c r="H486" s="38" t="str">
        <x:v>Camera &amp; Photo</x:v>
      </x:c>
      <x:c r="I486" s="91" t="str">
        <x:v>[Product: Fujifilm Finepix F31fd 6.3MP Digital Camera with 3x Optical Zoom | ASIN: B000L9SCIW] We had a Nikon Coolpix before, but just got tired of the slow reaction times and the poor indoor pictures. So we decided to get a camera that was: (a) great for indoor and low-light shots, and (b) had a fast reaction time.&lt;br /&gt;&lt;br /&gt;This /&gt;The speed is wonderful, I can take pictures almost as fast as I can push the button. I am used to a 1+ second lag for it to focus, and with little kids they never smile that long! This camera is quite fast, so we love that aspect of it too.&lt;br /&gt;&lt;br</x:v>
      </x:c>
      <x:c r="J486" s="101" t="n">
        <x:v>2</x:v>
      </x:c>
      <x:c r="K486" s="92" t="str">
        <x:v>Human_Reviewer_01</x:v>
      </x:c>
      <x:c r="L486" s="92" t="str">
        <x:v>High</x:v>
      </x:c>
      <x:c r="M486" s="93" t="str">
        <x:v>Digital camera has explicitly fast focusing and shutter response for photographing children.</x:v>
      </x:c>
      <x:c r="N486" s="94"/>
      <x:c r="O486" s="94"/>
      <x:c r="P486" s="94"/>
      <x:c r="Q486" s="95"/>
      <x:c r="R486" s="96"/>
      <x:c r="S486" s="96"/>
      <x:c r="T486" s="97"/>
      <x:c r="U486" s="98" t="str">
        <x:f>IF(OR(J486="",N486=""),"",IF(J486=N486,"No","Yes"))</x:f>
      </x:c>
      <x:c r="V486" s="98" t="n">
        <x:v>2</x:v>
      </x:c>
    </x:row>
    <x:row r="487" ht="54" hidden="0" customHeight="1">
      <x:c r="A487" s="38" t="str">
        <x:v>Q013::B00TE94BYE_review_51220</x:v>
      </x:c>
      <x:c r="B487" s="38" t="str">
        <x:v>Q013</x:v>
      </x:c>
      <x:c r="C487" s="91" t="str">
        <x:v>Which digital camera performs well in low light and focuses quickly?</x:v>
      </x:c>
      <x:c r="D487" s="38" t="n">
        <x:v>14</x:v>
      </x:c>
      <x:c r="E487" s="38" t="str">
        <x:v>B00TE94BYE</x:v>
      </x:c>
      <x:c r="F487" s="38" t="str">
        <x:v>review</x:v>
      </x:c>
      <x:c r="G487" s="38" t="str">
        <x:v>specifications/performance</x:v>
      </x:c>
      <x:c r="H487" s="38" t="str">
        <x:v>Camera &amp; Photo</x:v>
      </x:c>
      <x:c r="I487" s="91" t="str">
        <x:v>[Product: Nikon COOLPIX S9900 Digital Camera with 30x Optical Zoom and Built-In Wi-Fi (Silver) | ASIN: B00TE94BYE] Great camera accept for the low light performance, mainly when shooting video, but photos too. If you dig a bit into the settings you can make some adjustments to improve in low light performance, but not by much. If you shoot a lot of video in the house, the low light performance will frustrate you, even with shooting photos. I did not like...&lt;br /&gt;&lt;br /&gt;Poor low light performance&lt;br /&gt;Slow zooming during videos&lt;br /&gt;Battery</x:v>
      </x:c>
      <x:c r="J487" s="101" t="n">
        <x:v>2</x:v>
      </x:c>
      <x:c r="K487" s="92" t="str">
        <x:v>Human_Reviewer_01</x:v>
      </x:c>
      <x:c r="L487" s="92" t="str">
        <x:v>High</x:v>
      </x:c>
      <x:c r="M487" s="93" t="str">
        <x:v>Digital camera has poor low-light photo and video performance despite adjustments.</x:v>
      </x:c>
      <x:c r="N487" s="94"/>
      <x:c r="O487" s="94"/>
      <x:c r="P487" s="94"/>
      <x:c r="Q487" s="95"/>
      <x:c r="R487" s="96"/>
      <x:c r="S487" s="96"/>
      <x:c r="T487" s="97"/>
      <x:c r="U487" s="98" t="str">
        <x:f>IF(OR(J487="",N487=""),"",IF(J487=N487,"No","Yes"))</x:f>
      </x:c>
      <x:c r="V487" s="98" t="n">
        <x:v>2</x:v>
      </x:c>
    </x:row>
    <x:row r="488" ht="54" hidden="0" customHeight="1">
      <x:c r="A488" s="38" t="str">
        <x:v>Q013::B013HXY21E_review_677160</x:v>
      </x:c>
      <x:c r="B488" s="38" t="str">
        <x:v>Q013</x:v>
      </x:c>
      <x:c r="C488" s="91" t="str">
        <x:v>Which digital camera performs well in low light and focuses quickly?</x:v>
      </x:c>
      <x:c r="D488" s="38" t="n">
        <x:v>15</x:v>
      </x:c>
      <x:c r="E488" s="38" t="str">
        <x:v>B013HXY21E</x:v>
      </x:c>
      <x:c r="F488" s="38" t="str">
        <x:v>review</x:v>
      </x:c>
      <x:c r="G488" s="38" t="str">
        <x:v>general</x:v>
      </x:c>
      <x:c r="H488" s="38" t="str">
        <x:v>Camera &amp; Photo</x:v>
      </x:c>
      <x:c r="I488" s="91" t="str">
        <x:v>[Product: Tamron AF 18-200mm F/3.5-6.3 Di-II VC All-in-One Zoom for Nikon APS-C Digital SLR | ASIN: B013HXY21E] Guality lens. Tack sharp and focuses quickly. Very versatile and performs better than expected in low light conditions.</x:v>
      </x:c>
      <x:c r="J488" s="101" t="n">
        <x:v>0</x:v>
      </x:c>
      <x:c r="K488" s="92" t="str">
        <x:v>Human_Reviewer_01</x:v>
      </x:c>
      <x:c r="L488" s="92" t="str">
        <x:v>High</x:v>
      </x:c>
      <x:c r="M488" s="93" t="str">
        <x:v>This is a camera lens, not a digital camera.</x:v>
      </x:c>
      <x:c r="N488" s="94"/>
      <x:c r="O488" s="94"/>
      <x:c r="P488" s="94"/>
      <x:c r="Q488" s="95"/>
      <x:c r="R488" s="96"/>
      <x:c r="S488" s="96"/>
      <x:c r="T488" s="97"/>
      <x:c r="U488" s="98" t="str">
        <x:f>IF(OR(J488="",N488=""),"",IF(J488=N488,"No","Yes"))</x:f>
      </x:c>
      <x:c r="V488" s="98" t="n">
        <x:v>0</x:v>
      </x:c>
    </x:row>
    <x:row r="489" ht="54" hidden="0" customHeight="1">
      <x:c r="A489" s="38" t="str">
        <x:v>Q013::B077KF29S6_review_2999896</x:v>
      </x:c>
      <x:c r="B489" s="38" t="str">
        <x:v>Q013</x:v>
      </x:c>
      <x:c r="C489" s="91" t="str">
        <x:v>Which digital camera performs well in low light and focuses quickly?</x:v>
      </x:c>
      <x:c r="D489" s="38" t="n">
        <x:v>16</x:v>
      </x:c>
      <x:c r="E489" s="38" t="str">
        <x:v>B077KF29S6</x:v>
      </x:c>
      <x:c r="F489" s="38" t="str">
        <x:v>review</x:v>
      </x:c>
      <x:c r="G489" s="38" t="str">
        <x:v>specifications/performance</x:v>
      </x:c>
      <x:c r="H489" s="38" t="str">
        <x:v>Camera &amp; Photo</x:v>
      </x:c>
      <x:c r="I489" s="91" t="str">
        <x:v>[Product: Fujinon XF18-135mmF3.5-5.6 R LM OIS WR | ASIN: B077KF29S6] The zoom and focus are both very smooth and the speed of the autofocus is nothing to laugh at, it performs very well in most conditions although not the greatest is low light</x:v>
      </x:c>
      <x:c r="J489" s="101" t="n">
        <x:v>0</x:v>
      </x:c>
      <x:c r="K489" s="92" t="str">
        <x:v>Human_Reviewer_01</x:v>
      </x:c>
      <x:c r="L489" s="92" t="str">
        <x:v>High</x:v>
      </x:c>
      <x:c r="M489" s="93" t="str">
        <x:v>This is a camera lens, not a digital camera.</x:v>
      </x:c>
      <x:c r="N489" s="94"/>
      <x:c r="O489" s="94"/>
      <x:c r="P489" s="94"/>
      <x:c r="Q489" s="95"/>
      <x:c r="R489" s="96"/>
      <x:c r="S489" s="96"/>
      <x:c r="T489" s="97"/>
      <x:c r="U489" s="98" t="str">
        <x:f>IF(OR(J489="",N489=""),"",IF(J489=N489,"No","Yes"))</x:f>
      </x:c>
      <x:c r="V489" s="98" t="n">
        <x:v>0</x:v>
      </x:c>
    </x:row>
    <x:row r="490" ht="54" hidden="0" customHeight="1">
      <x:c r="A490" s="38" t="str">
        <x:v>Q013::B008MJ01QE_review_260764</x:v>
      </x:c>
      <x:c r="B490" s="38" t="str">
        <x:v>Q013</x:v>
      </x:c>
      <x:c r="C490" s="91" t="str">
        <x:v>Which digital camera performs well in low light and focuses quickly?</x:v>
      </x:c>
      <x:c r="D490" s="38" t="n">
        <x:v>17</x:v>
      </x:c>
      <x:c r="E490" s="38" t="str">
        <x:v>B008MJ01QE</x:v>
      </x:c>
      <x:c r="F490" s="38" t="str">
        <x:v>review</x:v>
      </x:c>
      <x:c r="G490" s="38" t="str">
        <x:v>build quality</x:v>
      </x:c>
      <x:c r="H490" s="38" t="str">
        <x:v>Camera &amp; Photo</x:v>
      </x:c>
      <x:c r="I490" s="91" t="str">
        <x:v>[Product: Fujifilm F800EXR 16MP Digital Camera with 20x Optical Image Stabilized Zoom and 3.0-Inch TFT LCD, Black | ASIN: B008MJ01QE] It does take quality pictures. Quality optics&lt;br /&gt;5) Performs well in low light conditions&lt;br /&gt;6)</x:v>
      </x:c>
      <x:c r="J490" s="101" t="n">
        <x:v>2</x:v>
      </x:c>
      <x:c r="K490" s="92" t="str">
        <x:v>Human_Reviewer_01</x:v>
      </x:c>
      <x:c r="L490" s="92" t="str">
        <x:v>High</x:v>
      </x:c>
      <x:c r="M490" s="93" t="str">
        <x:v>Digital camera explicitly performs well in low light.</x:v>
      </x:c>
      <x:c r="N490" s="94"/>
      <x:c r="O490" s="94"/>
      <x:c r="P490" s="94"/>
      <x:c r="Q490" s="95"/>
      <x:c r="R490" s="96"/>
      <x:c r="S490" s="96"/>
      <x:c r="T490" s="97"/>
      <x:c r="U490" s="98" t="str">
        <x:f>IF(OR(J490="",N490=""),"",IF(J490=N490,"No","Yes"))</x:f>
      </x:c>
      <x:c r="V490" s="98" t="n">
        <x:v>2</x:v>
      </x:c>
    </x:row>
    <x:row r="491" ht="54" hidden="0" customHeight="1">
      <x:c r="A491" s="38" t="str">
        <x:v>Q013::B0002ZUHB0_review_259784</x:v>
      </x:c>
      <x:c r="B491" s="38" t="str">
        <x:v>Q013</x:v>
      </x:c>
      <x:c r="C491" s="91" t="str">
        <x:v>Which digital camera performs well in low light and focuses quickly?</x:v>
      </x:c>
      <x:c r="D491" s="38" t="n">
        <x:v>18</x:v>
      </x:c>
      <x:c r="E491" s="38" t="str">
        <x:v>B0002ZUHB0</x:v>
      </x:c>
      <x:c r="F491" s="38" t="str">
        <x:v>review</x:v>
      </x:c>
      <x:c r="G491" s="38" t="str">
        <x:v>build quality</x:v>
      </x:c>
      <x:c r="H491" s="38" t="str">
        <x:v>Camera &amp; Photo</x:v>
      </x:c>
      <x:c r="I491" s="91" t="str">
        <x:v>[Product: Olympus C7000 7MP Digital Camera with 5x Optical Zoom | ASIN: B0002ZUHB0] Video shooting is great with sound, quality is very good. Canon focuses REALLY fast even in low light and quality is better but i would still pick this camera it is way more advanced.&lt;br /&gt;&lt;br /&gt;-Pictures with no flash indoors come out grainy.&lt;br /&gt;&lt;br /&gt;The</x:v>
      </x:c>
      <x:c r="J491" s="101" t="n">
        <x:v>2</x:v>
      </x:c>
      <x:c r="K491" s="92" t="str">
        <x:v>Human_Reviewer_01</x:v>
      </x:c>
      <x:c r="L491" s="92" t="str">
        <x:v>Medium</x:v>
      </x:c>
      <x:c r="M491" s="93" t="str">
        <x:v>Digital camera produces grainy indoor no-flash pictures; the faster focusing claim concerns a Canon comparison.</x:v>
      </x:c>
      <x:c r="N491" s="94"/>
      <x:c r="O491" s="94"/>
      <x:c r="P491" s="94"/>
      <x:c r="Q491" s="95"/>
      <x:c r="R491" s="96"/>
      <x:c r="S491" s="96"/>
      <x:c r="T491" s="97"/>
      <x:c r="U491" s="98" t="str">
        <x:f>IF(OR(J491="",N491=""),"",IF(J491=N491,"No","Yes"))</x:f>
      </x:c>
      <x:c r="V491" s="98" t="n">
        <x:v>2</x:v>
      </x:c>
    </x:row>
    <x:row r="492" ht="54" hidden="0" customHeight="1">
      <x:c r="A492" s="38" t="str">
        <x:v>Q013::B006MA8EU0_review_841368</x:v>
      </x:c>
      <x:c r="B492" s="38" t="str">
        <x:v>Q013</x:v>
      </x:c>
      <x:c r="C492" s="91" t="str">
        <x:v>Which digital camera performs well in low light and focuses quickly?</x:v>
      </x:c>
      <x:c r="D492" s="38" t="n">
        <x:v>19</x:v>
      </x:c>
      <x:c r="E492" s="38" t="str">
        <x:v>B006MA8EU0</x:v>
      </x:c>
      <x:c r="F492" s="38" t="str">
        <x:v>review</x:v>
      </x:c>
      <x:c r="G492" s="38" t="str">
        <x:v>specifications/performance</x:v>
      </x:c>
      <x:c r="H492" s="38" t="str">
        <x:v>Camera &amp; Photo</x:v>
      </x:c>
      <x:c r="I492" s="91" t="str">
        <x:v>[Product: Sony Cyber-Shot DSC-TX100V 16.2 MP Exmor R CMOS Digital Still Camera with 3.5-inch OLED Touchscreen, 3D Sweep Panorama, and Full HD 1080/60p Video (Red) | ASIN: B006MA8EU0] Transcend 16 GB Class 10 SDHC Flash Memory Card TS16GSDHC10E]] with this camera. I did it solely because Sony only prefers Memory Stick (little competition on speed, pricing, compatibility). This camera does a great job, especially in low-light conditions, such as night events.&lt;br /&gt;&lt;br /&gt;Suggestions:&lt;br /&gt;------------&lt;br</x:v>
      </x:c>
      <x:c r="J492" s="101" t="n">
        <x:v>2</x:v>
      </x:c>
      <x:c r="K492" s="92" t="str">
        <x:v>Human_Reviewer_01</x:v>
      </x:c>
      <x:c r="L492" s="92" t="str">
        <x:v>High</x:v>
      </x:c>
      <x:c r="M492" s="93" t="str">
        <x:v>Digital camera explicitly performs well at low-light night events.</x:v>
      </x:c>
      <x:c r="N492" s="94"/>
      <x:c r="O492" s="94"/>
      <x:c r="P492" s="94"/>
      <x:c r="Q492" s="95"/>
      <x:c r="R492" s="96"/>
      <x:c r="S492" s="96"/>
      <x:c r="T492" s="97"/>
      <x:c r="U492" s="98" t="str">
        <x:f>IF(OR(J492="",N492=""),"",IF(J492=N492,"No","Yes"))</x:f>
      </x:c>
      <x:c r="V492" s="98" t="n">
        <x:v>2</x:v>
      </x:c>
    </x:row>
    <x:row r="493" ht="54" hidden="0" customHeight="1">
      <x:c r="A493" s="38" t="str">
        <x:v>Q013::B00FRT29L2_review_3800213</x:v>
      </x:c>
      <x:c r="B493" s="38" t="str">
        <x:v>Q013</x:v>
      </x:c>
      <x:c r="C493" s="91" t="str">
        <x:v>Which digital camera performs well in low light and focuses quickly?</x:v>
      </x:c>
      <x:c r="D493" s="38" t="n">
        <x:v>20</x:v>
      </x:c>
      <x:c r="E493" s="38" t="str">
        <x:v>B00FRT29L2</x:v>
      </x:c>
      <x:c r="F493" s="38" t="str">
        <x:v>review</x:v>
      </x:c>
      <x:c r="G493" s="38" t="str">
        <x:v>connectivity</x:v>
      </x:c>
      <x:c r="H493" s="38" t="str">
        <x:v>Camera &amp; Photo</x:v>
      </x:c>
      <x:c r="I493" s="91" t="str">
        <x:v>[Product: Nikon COOLPIX S6400 16 MP Digital Camera with 12x Optical Zoom and 3-inch LCD (Black) (OLD MODEL) | ASIN: B00FRT29L2] Because the sensor's low light performance is proportional to its size (generally, the large the sensor, the better its low light sensitivity), this class of camera performs best where there is ample light.&lt;br /&gt;&lt;br /&gt;On</x:v>
      </x:c>
      <x:c r="J493" s="101" t="n">
        <x:v>1</x:v>
      </x:c>
      <x:c r="K493" s="92" t="str">
        <x:v>Human_Reviewer_01</x:v>
      </x:c>
      <x:c r="L493" s="92" t="str">
        <x:v>High</x:v>
      </x:c>
      <x:c r="M493" s="93" t="str">
        <x:v>General sensor-size discussion implies low-light limitations but provides no specific test of this camera.</x:v>
      </x:c>
      <x:c r="N493" s="94"/>
      <x:c r="O493" s="94"/>
      <x:c r="P493" s="94"/>
      <x:c r="Q493" s="95"/>
      <x:c r="R493" s="96"/>
      <x:c r="S493" s="96"/>
      <x:c r="T493" s="97"/>
      <x:c r="U493" s="98" t="str">
        <x:f>IF(OR(J493="",N493=""),"",IF(J493=N493,"No","Yes"))</x:f>
      </x:c>
      <x:c r="V493" s="98" t="n">
        <x:v>1</x:v>
      </x:c>
    </x:row>
    <x:row r="494" ht="54" hidden="0" customHeight="1">
      <x:c r="A494" s="38" t="str">
        <x:v>Q013::B00005LWLW_review_1681878</x:v>
      </x:c>
      <x:c r="B494" s="38" t="str">
        <x:v>Q013</x:v>
      </x:c>
      <x:c r="C494" s="91" t="str">
        <x:v>Which digital camera performs well in low light and focuses quickly?</x:v>
      </x:c>
      <x:c r="D494" s="38" t="n">
        <x:v>21</x:v>
      </x:c>
      <x:c r="E494" s="38" t="str">
        <x:v>B00005LWLW</x:v>
      </x:c>
      <x:c r="F494" s="38" t="str">
        <x:v>review</x:v>
      </x:c>
      <x:c r="G494" s="38" t="str">
        <x:v>general</x:v>
      </x:c>
      <x:c r="H494" s="38" t="str">
        <x:v>Camera &amp; Photo</x:v>
      </x:c>
      <x:c r="I494" s="91" t="str">
        <x:v>[Product: Sony DSCS85 CyberShot 4.1MP Digital Still Camera w/ 3x Optical Zoom | ASIN: B00005LWLW] It takes excellent pictures in ideal lighting, and the convenience of digital imaging is such that you will never go back to standard film. As a result of this, the camera generally does not show its strengths indoors - it takes outstanding outdoor, daylight pictures, but struggles mightily whenever the lighting is a bit challenging. Also, the camera's auto-focus can leave something to be desired; it often takes poorly focussed shots if there are both foreground and background items on which to focus.&lt;br /&gt;That said, this is one of the best gifts I have ever received. You cannot go wrong with this camera.</x:v>
      </x:c>
      <x:c r="J494" s="101" t="n">
        <x:v>2</x:v>
      </x:c>
      <x:c r="K494" s="92" t="str">
        <x:v>Human_Reviewer_01</x:v>
      </x:c>
      <x:c r="L494" s="92" t="str">
        <x:v>High</x:v>
      </x:c>
      <x:c r="M494" s="93" t="str">
        <x:v>Digital camera struggles in challenging indoor light and has autofocus limitations.</x:v>
      </x:c>
      <x:c r="N494" s="94"/>
      <x:c r="O494" s="94"/>
      <x:c r="P494" s="94"/>
      <x:c r="Q494" s="95"/>
      <x:c r="R494" s="96"/>
      <x:c r="S494" s="96"/>
      <x:c r="T494" s="97"/>
      <x:c r="U494" s="98" t="str">
        <x:f>IF(OR(J494="",N494=""),"",IF(J494=N494,"No","Yes"))</x:f>
      </x:c>
      <x:c r="V494" s="98" t="n">
        <x:v>2</x:v>
      </x:c>
    </x:row>
    <x:row r="495" ht="54" hidden="0" customHeight="1">
      <x:c r="A495" s="38" t="str">
        <x:v>Q013::B0001DKLHS_review_3220697</x:v>
      </x:c>
      <x:c r="B495" s="38" t="str">
        <x:v>Q013</x:v>
      </x:c>
      <x:c r="C495" s="91" t="str">
        <x:v>Which digital camera performs well in low light and focuses quickly?</x:v>
      </x:c>
      <x:c r="D495" s="38" t="n">
        <x:v>22</x:v>
      </x:c>
      <x:c r="E495" s="38" t="str">
        <x:v>B0001DKLHS</x:v>
      </x:c>
      <x:c r="F495" s="38" t="str">
        <x:v>review</x:v>
      </x:c>
      <x:c r="G495" s="38" t="str">
        <x:v>screen/display</x:v>
      </x:c>
      <x:c r="H495" s="38" t="str">
        <x:v>Camera &amp; Photo</x:v>
      </x:c>
      <x:c r="I495" s="91" t="str">
        <x:v>[Product: Olympus C-8080 8MP Digital Camera with 5x Optical Wide Zoom | ASIN: B0001DKLHS] The XT gets better resolution, focuses and stores faster, has a broader dynamic range, and slays the C8080 in medium and low light hands down.</x:v>
      </x:c>
      <x:c r="J495" s="101" t="n">
        <x:v>2</x:v>
      </x:c>
      <x:c r="K495" s="92" t="str">
        <x:v>Human_Reviewer_01</x:v>
      </x:c>
      <x:c r="L495" s="92" t="str">
        <x:v>High</x:v>
      </x:c>
      <x:c r="M495" s="93" t="str">
        <x:v>Digital camera is explicitly inferior in focusing speed and low-light performance to a named comparison.</x:v>
      </x:c>
      <x:c r="N495" s="94"/>
      <x:c r="O495" s="94"/>
      <x:c r="P495" s="94"/>
      <x:c r="Q495" s="95"/>
      <x:c r="R495" s="96"/>
      <x:c r="S495" s="96"/>
      <x:c r="T495" s="97"/>
      <x:c r="U495" s="98" t="str">
        <x:f>IF(OR(J495="",N495=""),"",IF(J495=N495,"No","Yes"))</x:f>
      </x:c>
      <x:c r="V495" s="98" t="n">
        <x:v>2</x:v>
      </x:c>
    </x:row>
    <x:row r="496" ht="54" hidden="0" customHeight="1">
      <x:c r="A496" s="38" t="str">
        <x:v>Q013::B0064I7J2E_review_1867132</x:v>
      </x:c>
      <x:c r="B496" s="38" t="str">
        <x:v>Q013</x:v>
      </x:c>
      <x:c r="C496" s="91" t="str">
        <x:v>Which digital camera performs well in low light and focuses quickly?</x:v>
      </x:c>
      <x:c r="D496" s="38" t="n">
        <x:v>23</x:v>
      </x:c>
      <x:c r="E496" s="38" t="str">
        <x:v>B0064I7J2E</x:v>
      </x:c>
      <x:c r="F496" s="38" t="str">
        <x:v>review</x:v>
      </x:c>
      <x:c r="G496" s="38" t="str">
        <x:v>general</x:v>
      </x:c>
      <x:c r="H496" s="38" t="str">
        <x:v>Camera &amp; Photo</x:v>
      </x:c>
      <x:c r="I496" s="91" t="str">
        <x:v>[Product: Sigma 17-50mm f/2.8 EX DC OS HSM FLD Large Aperture Standard Zoom Lens for Nikon Digital DSLR Camera | ASIN: B0064I7J2E] I would give this 4.5 starts if I could. This is a really nice lens. I use it with a Nikon d5600 as a &amp;#34;walking around&amp;#34; lens to supplement a 35mm f/1.8 prime, 50mm f/1.8 prime, and an 18-140mm f/3.5-5.6 telephoto kit lens. It is also relatively quiet and focuses quickly. It performs well in low light, though you need to check your focus periodically if you are in very dark conditions. If you hold the lens near the ring, it will move under your hand. Also, in manual focus, the ring only moves about 45 degrees, so it does not seem well suited to fine focusing.&lt;br /&gt;&lt;br /&gt;Overall, I am satisfied with it. I do not think it will revolutionize my photography, but it will be good for low light or indoor events for which I purchased it.</x:v>
      </x:c>
      <x:c r="J496" s="101" t="n">
        <x:v>0</x:v>
      </x:c>
      <x:c r="K496" s="92" t="str">
        <x:v>Human_Reviewer_01</x:v>
      </x:c>
      <x:c r="L496" s="92" t="str">
        <x:v>High</x:v>
      </x:c>
      <x:c r="M496" s="93" t="str">
        <x:v>This is a camera lens, not a digital camera.</x:v>
      </x:c>
      <x:c r="N496" s="94"/>
      <x:c r="O496" s="94"/>
      <x:c r="P496" s="94"/>
      <x:c r="Q496" s="95"/>
      <x:c r="R496" s="96"/>
      <x:c r="S496" s="96"/>
      <x:c r="T496" s="97"/>
      <x:c r="U496" s="98" t="str">
        <x:f>IF(OR(J496="",N496=""),"",IF(J496=N496,"No","Yes"))</x:f>
      </x:c>
      <x:c r="V496" s="98" t="n">
        <x:v>0</x:v>
      </x:c>
    </x:row>
    <x:row r="497" ht="54" hidden="0" customHeight="1">
      <x:c r="A497" s="38" t="str">
        <x:v>Q013::B000L9SCIW_review_3288916</x:v>
      </x:c>
      <x:c r="B497" s="38" t="str">
        <x:v>Q013</x:v>
      </x:c>
      <x:c r="C497" s="91" t="str">
        <x:v>Which digital camera performs well in low light and focuses quickly?</x:v>
      </x:c>
      <x:c r="D497" s="38" t="n">
        <x:v>24</x:v>
      </x:c>
      <x:c r="E497" s="38" t="str">
        <x:v>B000L9SCIW</x:v>
      </x:c>
      <x:c r="F497" s="38" t="str">
        <x:v>review</x:v>
      </x:c>
      <x:c r="G497" s="38" t="str">
        <x:v>general</x:v>
      </x:c>
      <x:c r="H497" s="38" t="str">
        <x:v>Camera &amp; Photo</x:v>
      </x:c>
      <x:c r="I497" s="91" t="str">
        <x:v>[Product: Fujifilm Finepix F31fd 6.3MP Digital Camera with 3x Optical Zoom | ASIN: B000L9SCIW] I compared this to just about every other camera on the market and for indoor pictures this one simply cannot be beat. The Fuji is great for low light situations - and do not be fooled - just about any indoors picture is a low light situation. Canon had my attention from the beginning, but the Fuji really is a performer.</x:v>
      </x:c>
      <x:c r="J497" s="101" t="n">
        <x:v>2</x:v>
      </x:c>
      <x:c r="K497" s="92" t="str">
        <x:v>Human_Reviewer_01</x:v>
      </x:c>
      <x:c r="L497" s="92" t="str">
        <x:v>High</x:v>
      </x:c>
      <x:c r="M497" s="93" t="str">
        <x:v>Digital camera explicitly performs well for low-light indoor photographs.</x:v>
      </x:c>
      <x:c r="N497" s="94"/>
      <x:c r="O497" s="94"/>
      <x:c r="P497" s="94"/>
      <x:c r="Q497" s="95"/>
      <x:c r="R497" s="96"/>
      <x:c r="S497" s="96"/>
      <x:c r="T497" s="97"/>
      <x:c r="U497" s="98" t="str">
        <x:f>IF(OR(J497="",N497=""),"",IF(J497=N497,"No","Yes"))</x:f>
      </x:c>
      <x:c r="V497" s="98" t="n">
        <x:v>2</x:v>
      </x:c>
    </x:row>
    <x:row r="498" ht="54" hidden="0" customHeight="1">
      <x:c r="A498" s="38" t="str">
        <x:v>Q013::B005LZX9LG_review_789696</x:v>
      </x:c>
      <x:c r="B498" s="38" t="str">
        <x:v>Q013</x:v>
      </x:c>
      <x:c r="C498" s="91" t="str">
        <x:v>Which digital camera performs well in low light and focuses quickly?</x:v>
      </x:c>
      <x:c r="D498" s="38" t="n">
        <x:v>25</x:v>
      </x:c>
      <x:c r="E498" s="38" t="str">
        <x:v>B005LZX9LG</x:v>
      </x:c>
      <x:c r="F498" s="38" t="str">
        <x:v>review</x:v>
      </x:c>
      <x:c r="G498" s="38" t="str">
        <x:v>design/appearance</x:v>
      </x:c>
      <x:c r="H498" s="38" t="str">
        <x:v>Camera &amp; Photo</x:v>
      </x:c>
      <x:c r="I498" s="91" t="str">
        <x:v>[Product: Tamron SP 17-50mm F/2.8 XR Di-II VC LD Aspherical for Nikon APS-C Digital SLR Cameras (6 Year Tamron Limited USA Warranty) | ASIN: B005LZX9LG] It is very, very sharp, generally focuses well and quickly, even in low light, and has accurate color representation.</x:v>
      </x:c>
      <x:c r="J498" s="101" t="n">
        <x:v>0</x:v>
      </x:c>
      <x:c r="K498" s="92" t="str">
        <x:v>Human_Reviewer_01</x:v>
      </x:c>
      <x:c r="L498" s="92" t="str">
        <x:v>High</x:v>
      </x:c>
      <x:c r="M498" s="93" t="str">
        <x:v>This is a camera lens, not a digital camera.</x:v>
      </x:c>
      <x:c r="N498" s="94"/>
      <x:c r="O498" s="94"/>
      <x:c r="P498" s="94"/>
      <x:c r="Q498" s="95"/>
      <x:c r="R498" s="96"/>
      <x:c r="S498" s="96"/>
      <x:c r="T498" s="97"/>
      <x:c r="U498" s="98" t="str">
        <x:f>IF(OR(J498="",N498=""),"",IF(J498=N498,"No","Yes"))</x:f>
      </x:c>
      <x:c r="V498" s="98" t="n">
        <x:v>0</x:v>
      </x:c>
    </x:row>
    <x:row r="499" ht="54" hidden="0" customHeight="1">
      <x:c r="A499" s="38" t="str">
        <x:v>Q013::B0012XZQGC_review_1798200</x:v>
      </x:c>
      <x:c r="B499" s="38" t="str">
        <x:v>Q013</x:v>
      </x:c>
      <x:c r="C499" s="91" t="str">
        <x:v>Which digital camera performs well in low light and focuses quickly?</x:v>
      </x:c>
      <x:c r="D499" s="38" t="n">
        <x:v>26</x:v>
      </x:c>
      <x:c r="E499" s="38" t="str">
        <x:v>B0012XZQGC</x:v>
      </x:c>
      <x:c r="F499" s="38" t="str">
        <x:v>review</x:v>
      </x:c>
      <x:c r="G499" s="38" t="str">
        <x:v>general</x:v>
      </x:c>
      <x:c r="H499" s="38" t="str">
        <x:v>Camera &amp; Photo</x:v>
      </x:c>
      <x:c r="I499" s="91" t="str">
        <x:v>[Product: Sony Cybershot DSCW170/B 10.1MP Digital Camera with 5x Optical Zoom with Super Steady Shot (Black) | ASIN: B0012XZQGC] /&gt;With all that said, I got this camera for snapshots and for that purpose it cannot be beat. but the camera gets good pictures in ridiculously low-light situations. I have found virtually no situation in which I could not get the shot, in natural light, no matter how little of that there is.&lt;br /&gt;&lt;br /&gt;The camera is pocketable, slim, lightweight, and that automatic optimizing means it is always good for the shot. For those reasons, this is the camera I use.&lt;br /&gt;&lt;br It is intermittent -- it comes and goes. It has not yet stopped me from getting a shot, just a nuisance.</x:v>
      </x:c>
      <x:c r="J499" s="101" t="n">
        <x:v>2</x:v>
      </x:c>
      <x:c r="K499" s="92" t="str">
        <x:v>Human_Reviewer_01</x:v>
      </x:c>
      <x:c r="L499" s="92" t="str">
        <x:v>High</x:v>
      </x:c>
      <x:c r="M499" s="93" t="str">
        <x:v>Digital camera obtains good photographs in extremely low natural light.</x:v>
      </x:c>
      <x:c r="N499" s="94"/>
      <x:c r="O499" s="94"/>
      <x:c r="P499" s="94"/>
      <x:c r="Q499" s="95"/>
      <x:c r="R499" s="96"/>
      <x:c r="S499" s="96"/>
      <x:c r="T499" s="97"/>
      <x:c r="U499" s="98" t="str">
        <x:f>IF(OR(J499="",N499=""),"",IF(J499=N499,"No","Yes"))</x:f>
      </x:c>
      <x:c r="V499" s="98" t="n">
        <x:v>2</x:v>
      </x:c>
    </x:row>
    <x:row r="500" ht="54" hidden="0" customHeight="1">
      <x:c r="A500" s="38" t="str">
        <x:v>Q013::B09TZPCR8F_review_3167411</x:v>
      </x:c>
      <x:c r="B500" s="38" t="str">
        <x:v>Q013</x:v>
      </x:c>
      <x:c r="C500" s="91" t="str">
        <x:v>Which digital camera performs well in low light and focuses quickly?</x:v>
      </x:c>
      <x:c r="D500" s="38" t="n">
        <x:v>27</x:v>
      </x:c>
      <x:c r="E500" s="38" t="str">
        <x:v>B09TZPCR8F</x:v>
      </x:c>
      <x:c r="F500" s="38" t="str">
        <x:v>review</x:v>
      </x:c>
      <x:c r="G500" s="38" t="str">
        <x:v>screen/display</x:v>
      </x:c>
      <x:c r="H500" s="38" t="str">
        <x:v>Camera &amp; Photo</x:v>
      </x:c>
      <x:c r="I500" s="91" t="str">
        <x:v>[Product: CEDITA 2.7K Digital Camera Vlogging Camera 30MP Full HD Digital Camera with Retractable Flash Light Camera 3 Inch Flip Screen Vlogging Camera for YouTube with Two Batteries, Black | ASIN: B09TZPCR8F] 2.7K Full HD Digital vlogging camera is crystal and clear in image shooting, compact camera record video up to 2.7K/2688×1520, shoot picture at 30.0 megapixels, performs well in low light, pop up front flash, fixed lens, no need for auto focus, light weight.</x:v>
      </x:c>
      <x:c r="J500" s="101" t="n">
        <x:v>2</x:v>
      </x:c>
      <x:c r="K500" s="92" t="str">
        <x:v>Human_Reviewer_01</x:v>
      </x:c>
      <x:c r="L500" s="92" t="str">
        <x:v>Medium</x:v>
      </x:c>
      <x:c r="M500" s="93" t="str">
        <x:v>Digital camera has low-light evidence and a fixed-focus claim; optical claims should be reviewed carefully.</x:v>
      </x:c>
      <x:c r="N500" s="94"/>
      <x:c r="O500" s="94"/>
      <x:c r="P500" s="94"/>
      <x:c r="Q500" s="95"/>
      <x:c r="R500" s="96"/>
      <x:c r="S500" s="96"/>
      <x:c r="T500" s="97"/>
      <x:c r="U500" s="98" t="str">
        <x:f>IF(OR(J500="",N500=""),"",IF(J500=N500,"No","Yes"))</x:f>
      </x:c>
      <x:c r="V500" s="98" t="n">
        <x:v>2</x:v>
      </x:c>
    </x:row>
    <x:row r="501" ht="54" hidden="0" customHeight="1">
      <x:c r="A501" s="38" t="str">
        <x:v>Q013::B000GFZTQO_review_1432474</x:v>
      </x:c>
      <x:c r="B501" s="38" t="str">
        <x:v>Q013</x:v>
      </x:c>
      <x:c r="C501" s="91" t="str">
        <x:v>Which digital camera performs well in low light and focuses quickly?</x:v>
      </x:c>
      <x:c r="D501" s="38" t="n">
        <x:v>28</x:v>
      </x:c>
      <x:c r="E501" s="38" t="str">
        <x:v>B000GFZTQO</x:v>
      </x:c>
      <x:c r="F501" s="38" t="str">
        <x:v>review</x:v>
      </x:c>
      <x:c r="G501" s="38" t="str">
        <x:v>specifications/performance</x:v>
      </x:c>
      <x:c r="H501" s="38" t="str">
        <x:v>Camera &amp; Photo</x:v>
      </x:c>
      <x:c r="I501" s="91" t="str">
        <x:v>[Product: Fuji FinePix F20 Digital Camera | ASIN: B000GFZTQO] Low light performance is very good as advertised however. It is a 'fast' camera; it powers on quickly, very little shutter lag - although the autofocus can be just a tad slow. Anti-Blur uses ISO 2000 to get a faster shutter speed, however, with the noise it is not very useful, I do not think.</x:v>
      </x:c>
      <x:c r="J501" s="101" t="n">
        <x:v>2</x:v>
      </x:c>
      <x:c r="K501" s="92" t="str">
        <x:v>Human_Reviewer_01</x:v>
      </x:c>
      <x:c r="L501" s="92" t="str">
        <x:v>High</x:v>
      </x:c>
      <x:c r="M501" s="93" t="str">
        <x:v>Digital camera has good low-light performance, slightly slow autofocus, and noisy high-ISO mode.</x:v>
      </x:c>
      <x:c r="N501" s="94"/>
      <x:c r="O501" s="94"/>
      <x:c r="P501" s="94"/>
      <x:c r="Q501" s="95"/>
      <x:c r="R501" s="96"/>
      <x:c r="S501" s="96"/>
      <x:c r="T501" s="97"/>
      <x:c r="U501" s="98" t="str">
        <x:f>IF(OR(J501="",N501=""),"",IF(J501=N501,"No","Yes"))</x:f>
      </x:c>
      <x:c r="V501" s="98" t="n">
        <x:v>2</x:v>
      </x:c>
    </x:row>
    <x:row r="502" ht="54" hidden="0" customHeight="1">
      <x:c r="A502" s="38" t="str">
        <x:v>Q013::B007261COS_review_3414566</x:v>
      </x:c>
      <x:c r="B502" s="38" t="str">
        <x:v>Q013</x:v>
      </x:c>
      <x:c r="C502" s="91" t="str">
        <x:v>Which digital camera performs well in low light and focuses quickly?</x:v>
      </x:c>
      <x:c r="D502" s="38" t="n">
        <x:v>29</x:v>
      </x:c>
      <x:c r="E502" s="38" t="str">
        <x:v>B007261COS</x:v>
      </x:c>
      <x:c r="F502" s="38" t="str">
        <x:v>review</x:v>
      </x:c>
      <x:c r="G502" s="38" t="str">
        <x:v>general</x:v>
      </x:c>
      <x:c r="H502" s="38" t="str">
        <x:v>Camera &amp; Photo</x:v>
      </x:c>
      <x:c r="I502" s="91" t="str">
        <x:v>[Product: Samsung ST76 16 MP Compact Digital Camera - Red (EC-ST76ZZBPRUS) | ASIN: B007261COS] In low light it performs better than other point and shoot cameras that I have tried.</x:v>
      </x:c>
      <x:c r="J502" s="101" t="n">
        <x:v>2</x:v>
      </x:c>
      <x:c r="K502" s="92" t="str">
        <x:v>Human_Reviewer_01</x:v>
      </x:c>
      <x:c r="L502" s="92" t="str">
        <x:v>High</x:v>
      </x:c>
      <x:c r="M502" s="93" t="str">
        <x:v>Digital camera explicitly outperforms prior compact cameras in low light.</x:v>
      </x:c>
      <x:c r="N502" s="94"/>
      <x:c r="O502" s="94"/>
      <x:c r="P502" s="94"/>
      <x:c r="Q502" s="95"/>
      <x:c r="R502" s="96"/>
      <x:c r="S502" s="96"/>
      <x:c r="T502" s="97"/>
      <x:c r="U502" s="98" t="str">
        <x:f>IF(OR(J502="",N502=""),"",IF(J502=N502,"No","Yes"))</x:f>
      </x:c>
      <x:c r="V502" s="98" t="n">
        <x:v>2</x:v>
      </x:c>
    </x:row>
    <x:row r="503" ht="54" hidden="0" customHeight="1">
      <x:c r="A503" s="38" t="str">
        <x:v>Q013::B07PJ8JM63_review_268154</x:v>
      </x:c>
      <x:c r="B503" s="38" t="str">
        <x:v>Q013</x:v>
      </x:c>
      <x:c r="C503" s="91" t="str">
        <x:v>Which digital camera performs well in low light and focuses quickly?</x:v>
      </x:c>
      <x:c r="D503" s="38" t="n">
        <x:v>30</x:v>
      </x:c>
      <x:c r="E503" s="38" t="str">
        <x:v>B07PJ8JM63</x:v>
      </x:c>
      <x:c r="F503" s="38" t="str">
        <x:v>review</x:v>
      </x:c>
      <x:c r="G503" s="38" t="str">
        <x:v>design/appearance</x:v>
      </x:c>
      <x:c r="H503" s="38" t="str">
        <x:v>Camera &amp; Photo</x:v>
      </x:c>
      <x:c r="I503" s="91" t="str">
        <x:v>[Product: ViewSonic VB-CAM-001 Full HD 1080p USB Web Camera w/Dual Stereo Microphone with Auto Noise Reduction,110 Degree Ultra-Wide Lens for Zoom/Teams/Skype Conferencing and Video Calls on PC and Mac | ASIN: B07PJ8JM63] so sometimes the video looks a little washed out but it definitely performs well in low light situations.&lt;br /&gt;&lt;br</x:v>
      </x:c>
      <x:c r="J503" s="101" t="n">
        <x:v>0</x:v>
      </x:c>
      <x:c r="K503" s="92" t="str">
        <x:v>Human_Reviewer_01</x:v>
      </x:c>
      <x:c r="L503" s="92" t="str">
        <x:v>High</x:v>
      </x:c>
      <x:c r="M503" s="93" t="str">
        <x:v>This is a USB webcam, not a standalone photographic digital camera.</x:v>
      </x:c>
      <x:c r="N503" s="94"/>
      <x:c r="O503" s="94"/>
      <x:c r="P503" s="94"/>
      <x:c r="Q503" s="95"/>
      <x:c r="R503" s="96"/>
      <x:c r="S503" s="96"/>
      <x:c r="T503" s="97"/>
      <x:c r="U503" s="98" t="str">
        <x:f>IF(OR(J503="",N503=""),"",IF(J503=N503,"No","Yes"))</x:f>
      </x:c>
      <x:c r="V503" s="98" t="n">
        <x:v>0</x:v>
      </x:c>
    </x:row>
    <x:row r="504" ht="54" hidden="0" customHeight="1">
      <x:c r="A504" s="38" t="str">
        <x:v>Q013::B09YYY6P98_review_3009934</x:v>
      </x:c>
      <x:c r="B504" s="38" t="str">
        <x:v>Q013</x:v>
      </x:c>
      <x:c r="C504" s="91" t="str">
        <x:v>Which digital camera performs well in low light and focuses quickly?</x:v>
      </x:c>
      <x:c r="D504" s="38" t="n">
        <x:v>31</x:v>
      </x:c>
      <x:c r="E504" s="38" t="str">
        <x:v>B09YYY6P98</x:v>
      </x:c>
      <x:c r="F504" s="38" t="str">
        <x:v>review</x:v>
      </x:c>
      <x:c r="G504" s="38" t="str">
        <x:v>specifications/performance</x:v>
      </x:c>
      <x:c r="H504" s="38" t="str">
        <x:v>Camera &amp; Photo</x:v>
      </x:c>
      <x:c r="I504" s="91" t="str">
        <x:v>[Product: Sony FE 24-70mm F2.8 GM II Lens | ASIN: B09YYY6P98] This lens is sharp, focuses fast even in low light and much lighter and shorter than the alternatives. It is a fantastic video lens with low breathing, fast auto focus and stepless aperture ring.</x:v>
      </x:c>
      <x:c r="J504" s="101" t="n">
        <x:v>0</x:v>
      </x:c>
      <x:c r="K504" s="92" t="str">
        <x:v>Human_Reviewer_01</x:v>
      </x:c>
      <x:c r="L504" s="92" t="str">
        <x:v>High</x:v>
      </x:c>
      <x:c r="M504" s="93" t="str">
        <x:v>This is a camera lens, not a digital camera.</x:v>
      </x:c>
      <x:c r="N504" s="94"/>
      <x:c r="O504" s="94"/>
      <x:c r="P504" s="94"/>
      <x:c r="Q504" s="95"/>
      <x:c r="R504" s="96"/>
      <x:c r="S504" s="96"/>
      <x:c r="T504" s="97"/>
      <x:c r="U504" s="98" t="str">
        <x:f>IF(OR(J504="",N504=""),"",IF(J504=N504,"No","Yes"))</x:f>
      </x:c>
      <x:c r="V504" s="98" t="n">
        <x:v>0</x:v>
      </x:c>
    </x:row>
    <x:row r="505" ht="54" hidden="0" customHeight="1">
      <x:c r="A505" s="38" t="str">
        <x:v>Q013::B000GFZTQO_review_1432495</x:v>
      </x:c>
      <x:c r="B505" s="38" t="str">
        <x:v>Q013</x:v>
      </x:c>
      <x:c r="C505" s="91" t="str">
        <x:v>Which digital camera performs well in low light and focuses quickly?</x:v>
      </x:c>
      <x:c r="D505" s="38" t="n">
        <x:v>32</x:v>
      </x:c>
      <x:c r="E505" s="38" t="str">
        <x:v>B000GFZTQO</x:v>
      </x:c>
      <x:c r="F505" s="38" t="str">
        <x:v>review</x:v>
      </x:c>
      <x:c r="G505" s="38" t="str">
        <x:v>price/value</x:v>
      </x:c>
      <x:c r="H505" s="38" t="str">
        <x:v>Camera &amp; Photo</x:v>
      </x:c>
      <x:c r="I505" s="91" t="str">
        <x:v>[Product: Fuji FinePix F20 Digital Camera | ASIN: B000GFZTQO] An excellent camera with great low-light sensitivity for the price.</x:v>
      </x:c>
      <x:c r="J505" s="101" t="n">
        <x:v>2</x:v>
      </x:c>
      <x:c r="K505" s="92" t="str">
        <x:v>Human_Reviewer_01</x:v>
      </x:c>
      <x:c r="L505" s="92" t="str">
        <x:v>High</x:v>
      </x:c>
      <x:c r="M505" s="93" t="str">
        <x:v>Digital camera explicitly has good low-light sensitivity.</x:v>
      </x:c>
      <x:c r="N505" s="94"/>
      <x:c r="O505" s="94"/>
      <x:c r="P505" s="94"/>
      <x:c r="Q505" s="95"/>
      <x:c r="R505" s="96"/>
      <x:c r="S505" s="96"/>
      <x:c r="T505" s="97"/>
      <x:c r="U505" s="98" t="str">
        <x:f>IF(OR(J505="",N505=""),"",IF(J505=N505,"No","Yes"))</x:f>
      </x:c>
      <x:c r="V505" s="98" t="n">
        <x:v>2</x:v>
      </x:c>
    </x:row>
    <x:row r="506" ht="54" hidden="0" customHeight="1">
      <x:c r="A506" s="38" t="str">
        <x:v>Q013::B000A8QDW6_review_3430449</x:v>
      </x:c>
      <x:c r="B506" s="38" t="str">
        <x:v>Q013</x:v>
      </x:c>
      <x:c r="C506" s="91" t="str">
        <x:v>Which digital camera performs well in low light and focuses quickly?</x:v>
      </x:c>
      <x:c r="D506" s="38" t="n">
        <x:v>33</x:v>
      </x:c>
      <x:c r="E506" s="38" t="str">
        <x:v>B000A8QDW6</x:v>
      </x:c>
      <x:c r="F506" s="38" t="str">
        <x:v>review</x:v>
      </x:c>
      <x:c r="G506" s="38" t="str">
        <x:v>sound quality</x:v>
      </x:c>
      <x:c r="H506" s="38" t="str">
        <x:v>Camera &amp; Photo</x:v>
      </x:c>
      <x:c r="I506" s="91" t="str">
        <x:v>[Product: Mustek DV 9300 3MP MPEG-4 Digital Video Camcorder (Discontinued by Manufacturer) | ASIN: B000A8QDW6] The Mustek DV 9300 performs pretty well for its price.&lt;br /&gt;The microphone is very clean and clear, and the built in speaker is tin-can-ish but sufficient for replaying and does not cut out at high noise levels.&lt;br /&gt;My experience with the video is that it adapts decently, but not great, to low light situations, and it automatically focuses pretty quickly.&lt;br /&gt;The covers for the memory card and jacks do snap closed, but not well at all, i find them hanging open from time to time.</x:v>
      </x:c>
      <x:c r="J506" s="101" t="n">
        <x:v>0</x:v>
      </x:c>
      <x:c r="K506" s="92" t="str">
        <x:v>Human_Reviewer_01</x:v>
      </x:c>
      <x:c r="L506" s="92" t="str">
        <x:v>Medium</x:v>
      </x:c>
      <x:c r="M506" s="93" t="str">
        <x:v>The product is a digital video camcorder rather than the requested photographic digital camera.</x:v>
      </x:c>
      <x:c r="N506" s="94"/>
      <x:c r="O506" s="94"/>
      <x:c r="P506" s="94"/>
      <x:c r="Q506" s="95"/>
      <x:c r="R506" s="96"/>
      <x:c r="S506" s="96"/>
      <x:c r="T506" s="97"/>
      <x:c r="U506" s="98" t="str">
        <x:f>IF(OR(J506="",N506=""),"",IF(J506=N506,"No","Yes"))</x:f>
      </x:c>
      <x:c r="V506" s="98" t="n">
        <x:v>0</x:v>
      </x:c>
    </x:row>
    <x:row r="507" ht="54" hidden="0" customHeight="1">
      <x:c r="A507" s="38" t="str">
        <x:v>Q013::B00PHRVPJG_review_2567469</x:v>
      </x:c>
      <x:c r="B507" s="38" t="str">
        <x:v>Q013</x:v>
      </x:c>
      <x:c r="C507" s="91" t="str">
        <x:v>Which digital camera performs well in low light and focuses quickly?</x:v>
      </x:c>
      <x:c r="D507" s="38" t="n">
        <x:v>34</x:v>
      </x:c>
      <x:c r="E507" s="38" t="str">
        <x:v>B00PHRVPJG</x:v>
      </x:c>
      <x:c r="F507" s="38" t="str">
        <x:v>review</x:v>
      </x:c>
      <x:c r="G507" s="38" t="str">
        <x:v>specifications/performance</x:v>
      </x:c>
      <x:c r="H507" s="38" t="str">
        <x:v>Camera &amp; Photo</x:v>
      </x:c>
      <x:c r="I507" s="91" t="str">
        <x:v>[Product: Nikon D7100 DX-Format Digital SLR Camera Bundle with 18-55mm and 55-300mm VR NIKKOR Zoom Lenses | ASIN: B00PHRVPJG] It performs better in low light, and there is two memory card slots.</x:v>
      </x:c>
      <x:c r="J507" s="101" t="n">
        <x:v>2</x:v>
      </x:c>
      <x:c r="K507" s="92" t="str">
        <x:v>Human_Reviewer_01</x:v>
      </x:c>
      <x:c r="L507" s="92" t="str">
        <x:v>Medium</x:v>
      </x:c>
      <x:c r="M507" s="93" t="str">
        <x:v>Digital SLR has positive low-light comparison testimony, but the comparison baseline is omitted.</x:v>
      </x:c>
      <x:c r="N507" s="94"/>
      <x:c r="O507" s="94"/>
      <x:c r="P507" s="94"/>
      <x:c r="Q507" s="95"/>
      <x:c r="R507" s="96"/>
      <x:c r="S507" s="96"/>
      <x:c r="T507" s="97"/>
      <x:c r="U507" s="98" t="str">
        <x:f>IF(OR(J507="",N507=""),"",IF(J507=N507,"No","Yes"))</x:f>
      </x:c>
      <x:c r="V507" s="98" t="n">
        <x:v>2</x:v>
      </x:c>
    </x:row>
    <x:row r="508" ht="54" hidden="0" customHeight="1">
      <x:c r="A508" s="38" t="str">
        <x:v>Q013::B0000CC619_review_595380</x:v>
      </x:c>
      <x:c r="B508" s="38" t="str">
        <x:v>Q013</x:v>
      </x:c>
      <x:c r="C508" s="91" t="str">
        <x:v>Which digital camera performs well in low light and focuses quickly?</x:v>
      </x:c>
      <x:c r="D508" s="38" t="n">
        <x:v>35</x:v>
      </x:c>
      <x:c r="E508" s="38" t="str">
        <x:v>B0000CC619</x:v>
      </x:c>
      <x:c r="F508" s="38" t="str">
        <x:v>review</x:v>
      </x:c>
      <x:c r="G508" s="38" t="str">
        <x:v>general</x:v>
      </x:c>
      <x:c r="H508" s="38" t="str">
        <x:v>Camera &amp; Photo</x:v>
      </x:c>
      <x:c r="I508" s="91" t="str">
        <x:v>[Product: FujiFilm FinePix S3000 3.1MP Digital Camera w/6x Optical Zoom | ASIN: B0000CC619] This camera takes great pictures, but has one serious problem: it performs lousy indoors. It has major difficulties focusing in low to medium light conditions, so unless your house is exeptionally well lit, this camera will not focuse on the object. It is useless at the parties, museumes, classrooms, etc. Again, if place is very well lit or you use it outdoors, it performs very well. I exchanged it for Sony P72 which like some others has focuse illumination feature and takes crisp pictures indoors. What a relieve!</x:v>
      </x:c>
      <x:c r="J508" s="101" t="n">
        <x:v>2</x:v>
      </x:c>
      <x:c r="K508" s="92" t="str">
        <x:v>Human_Reviewer_01</x:v>
      </x:c>
      <x:c r="L508" s="92" t="str">
        <x:v>High</x:v>
      </x:c>
      <x:c r="M508" s="93" t="str">
        <x:v>Digital camera cannot focus reliably in low-to-medium indoor light.</x:v>
      </x:c>
      <x:c r="N508" s="94"/>
      <x:c r="O508" s="94"/>
      <x:c r="P508" s="94"/>
      <x:c r="Q508" s="95"/>
      <x:c r="R508" s="96"/>
      <x:c r="S508" s="96"/>
      <x:c r="T508" s="97"/>
      <x:c r="U508" s="98" t="str">
        <x:f>IF(OR(J508="",N508=""),"",IF(J508=N508,"No","Yes"))</x:f>
      </x:c>
      <x:c r="V508" s="98" t="n">
        <x:v>2</x:v>
      </x:c>
    </x:row>
    <x:row r="509" ht="54" hidden="0" customHeight="1">
      <x:c r="A509" s="38" t="str">
        <x:v>Q013::B00BBZTHS4_review_1336824</x:v>
      </x:c>
      <x:c r="B509" s="38" t="str">
        <x:v>Q013</x:v>
      </x:c>
      <x:c r="C509" s="91" t="str">
        <x:v>Which digital camera performs well in low light and focuses quickly?</x:v>
      </x:c>
      <x:c r="D509" s="38" t="n">
        <x:v>36</x:v>
      </x:c>
      <x:c r="E509" s="38" t="str">
        <x:v>B00BBZTHS4</x:v>
      </x:c>
      <x:c r="F509" s="38" t="str">
        <x:v>review</x:v>
      </x:c>
      <x:c r="G509" s="38" t="str">
        <x:v>design/appearance</x:v>
      </x:c>
      <x:c r="H509" s="38" t="str">
        <x:v>Camera &amp; Photo</x:v>
      </x:c>
      <x:c r="I509" s="91" t="str">
        <x:v>[Product: Fujifilm FinePix T500 16MP Digital Camera (Black) | ASIN: B00BBZTHS4] They offer great color and low light performance.</x:v>
      </x:c>
      <x:c r="J509" s="101" t="n">
        <x:v>2</x:v>
      </x:c>
      <x:c r="K509" s="92" t="str">
        <x:v>Human_Reviewer_01</x:v>
      </x:c>
      <x:c r="L509" s="92" t="str">
        <x:v>Medium</x:v>
      </x:c>
      <x:c r="M509" s="93" t="str">
        <x:v>Digital-camera low-light performance is praised, but the plural pronoun leaves exact model attribution less clear.</x:v>
      </x:c>
      <x:c r="N509" s="94"/>
      <x:c r="O509" s="94"/>
      <x:c r="P509" s="94"/>
      <x:c r="Q509" s="95"/>
      <x:c r="R509" s="96"/>
      <x:c r="S509" s="96"/>
      <x:c r="T509" s="97"/>
      <x:c r="U509" s="98" t="str">
        <x:f>IF(OR(J509="",N509=""),"",IF(J509=N509,"No","Yes"))</x:f>
      </x:c>
      <x:c r="V509" s="98" t="n">
        <x:v>2</x:v>
      </x:c>
    </x:row>
    <x:row r="510" ht="54" hidden="0" customHeight="1">
      <x:c r="A510" s="38" t="str">
        <x:v>Q013::B00ARDJKWO_review_1567137</x:v>
      </x:c>
      <x:c r="B510" s="38" t="str">
        <x:v>Q013</x:v>
      </x:c>
      <x:c r="C510" s="91" t="str">
        <x:v>Which digital camera performs well in low light and focuses quickly?</x:v>
      </x:c>
      <x:c r="D510" s="38" t="n">
        <x:v>37</x:v>
      </x:c>
      <x:c r="E510" s="38" t="str">
        <x:v>B00ARDJKWO</x:v>
      </x:c>
      <x:c r="F510" s="38" t="str">
        <x:v>review</x:v>
      </x:c>
      <x:c r="G510" s="38" t="str">
        <x:v>battery life</x:v>
      </x:c>
      <x:c r="H510" s="38" t="str">
        <x:v>Camera &amp; Photo</x:v>
      </x:c>
      <x:c r="I510" s="91" t="str">
        <x:v>[Product: Sony DSC-WX80/R 16 MP Digital Camera with 2.7-Inch LCD (Red) | ASIN: B00ARDJKWO] It is a very powerful and compact device and after using it for a week it performs much better than my older Sony model in overall speed and low light conditions.</x:v>
      </x:c>
      <x:c r="J510" s="101" t="n">
        <x:v>2</x:v>
      </x:c>
      <x:c r="K510" s="92" t="str">
        <x:v>Human_Reviewer_01</x:v>
      </x:c>
      <x:c r="L510" s="92" t="str">
        <x:v>High</x:v>
      </x:c>
      <x:c r="M510" s="93" t="str">
        <x:v>Digital camera improves low-light performance and overall speed over the reviewer's older model.</x:v>
      </x:c>
      <x:c r="N510" s="94"/>
      <x:c r="O510" s="94"/>
      <x:c r="P510" s="94"/>
      <x:c r="Q510" s="95"/>
      <x:c r="R510" s="96"/>
      <x:c r="S510" s="96"/>
      <x:c r="T510" s="97"/>
      <x:c r="U510" s="98" t="str">
        <x:f>IF(OR(J510="",N510=""),"",IF(J510=N510,"No","Yes"))</x:f>
      </x:c>
      <x:c r="V510" s="98" t="n">
        <x:v>2</x:v>
      </x:c>
    </x:row>
    <x:row r="511" ht="54" hidden="0" customHeight="1">
      <x:c r="A511" s="38" t="str">
        <x:v>Q013::B005JQZT7E_review_4012242</x:v>
      </x:c>
      <x:c r="B511" s="38" t="str">
        <x:v>Q013</x:v>
      </x:c>
      <x:c r="C511" s="91" t="str">
        <x:v>Which digital camera performs well in low light and focuses quickly?</x:v>
      </x:c>
      <x:c r="D511" s="38" t="n">
        <x:v>38</x:v>
      </x:c>
      <x:c r="E511" s="38" t="str">
        <x:v>B005JQZT7E</x:v>
      </x:c>
      <x:c r="F511" s="38" t="str">
        <x:v>review</x:v>
      </x:c>
      <x:c r="G511" s="38" t="str">
        <x:v>specifications/performance</x:v>
      </x:c>
      <x:c r="H511" s="38" t="str">
        <x:v>Camera &amp; Photo</x:v>
      </x:c>
      <x:c r="I511" s="91" t="str">
        <x:v>[Product: Nikon COOLPIX S8200 16.1 MP CMOS Digital Camera with 14x Optical Zoom NIKKOR ED Glass Lens and Full HD 1080p Video (Black) (Discontinued by Manufacturer) | ASIN: B005JQZT7E] When compared to my last camera, the low light performance was great. Pros:&lt;br /&gt;* Very fast, but make sure you have a fast SD card or there will be some writing lag with the large file size.&lt;br /&gt;* Panoramic shots are very easy!!! Lots of special modes for your picture needs.&lt;br /&gt;*</x:v>
      </x:c>
      <x:c r="J511" s="101" t="n">
        <x:v>2</x:v>
      </x:c>
      <x:c r="K511" s="92" t="str">
        <x:v>Human_Reviewer_01</x:v>
      </x:c>
      <x:c r="L511" s="92" t="str">
        <x:v>High</x:v>
      </x:c>
      <x:c r="M511" s="93" t="str">
        <x:v>Digital camera has strong low-light performance and fast operation with a card-speed caveat.</x:v>
      </x:c>
      <x:c r="N511" s="94"/>
      <x:c r="O511" s="94"/>
      <x:c r="P511" s="94"/>
      <x:c r="Q511" s="95"/>
      <x:c r="R511" s="96"/>
      <x:c r="S511" s="96"/>
      <x:c r="T511" s="97"/>
      <x:c r="U511" s="98" t="str">
        <x:f>IF(OR(J511="",N511=""),"",IF(J511=N511,"No","Yes"))</x:f>
      </x:c>
      <x:c r="V511" s="98" t="n">
        <x:v>2</x:v>
      </x:c>
    </x:row>
    <x:row r="512" ht="54" hidden="0" customHeight="1">
      <x:c r="A512" s="38" t="str">
        <x:v>Q013::B006T7QXOA_review_3824874</x:v>
      </x:c>
      <x:c r="B512" s="38" t="str">
        <x:v>Q013</x:v>
      </x:c>
      <x:c r="C512" s="91" t="str">
        <x:v>Which digital camera performs well in low light and focuses quickly?</x:v>
      </x:c>
      <x:c r="D512" s="38" t="n">
        <x:v>39</x:v>
      </x:c>
      <x:c r="E512" s="38" t="str">
        <x:v>B006T7QXOA</x:v>
      </x:c>
      <x:c r="F512" s="38" t="str">
        <x:v>review</x:v>
      </x:c>
      <x:c r="G512" s="38" t="str">
        <x:v>specifications/performance</x:v>
      </x:c>
      <x:c r="H512" s="38" t="str">
        <x:v>Camera &amp; Photo</x:v>
      </x:c>
      <x:c r="I512" s="91" t="str">
        <x:v>[Product: Fujifilm FinePix AX550 Digital Camera (OLD MODEL) | ASIN: B006T7QXOA] Low light performance is adequate.</x:v>
      </x:c>
      <x:c r="J512" s="101" t="n">
        <x:v>2</x:v>
      </x:c>
      <x:c r="K512" s="92" t="str">
        <x:v>Human_Reviewer_01</x:v>
      </x:c>
      <x:c r="L512" s="92" t="str">
        <x:v>High</x:v>
      </x:c>
      <x:c r="M512" s="93" t="str">
        <x:v>Digital camera explicitly has adequate low-light performance.</x:v>
      </x:c>
      <x:c r="N512" s="94"/>
      <x:c r="O512" s="94"/>
      <x:c r="P512" s="94"/>
      <x:c r="Q512" s="95"/>
      <x:c r="R512" s="96"/>
      <x:c r="S512" s="96"/>
      <x:c r="T512" s="97"/>
      <x:c r="U512" s="98" t="str">
        <x:f>IF(OR(J512="",N512=""),"",IF(J512=N512,"No","Yes"))</x:f>
      </x:c>
      <x:c r="V512" s="98" t="n">
        <x:v>2</x:v>
      </x:c>
    </x:row>
    <x:row r="513" ht="54" hidden="0" customHeight="1">
      <x:c r="A513" s="38" t="str">
        <x:v>Q013::B00PHRVANC_review_2043969</x:v>
      </x:c>
      <x:c r="B513" s="38" t="str">
        <x:v>Q013</x:v>
      </x:c>
      <x:c r="C513" s="91" t="str">
        <x:v>Which digital camera performs well in low light and focuses quickly?</x:v>
      </x:c>
      <x:c r="D513" s="38" t="n">
        <x:v>40</x:v>
      </x:c>
      <x:c r="E513" s="38" t="str">
        <x:v>B00PHRVANC</x:v>
      </x:c>
      <x:c r="F513" s="38" t="str">
        <x:v>review</x:v>
      </x:c>
      <x:c r="G513" s="38" t="str">
        <x:v>specifications/performance</x:v>
      </x:c>
      <x:c r="H513" s="38" t="str">
        <x:v>Camera &amp; Photo</x:v>
      </x:c>
      <x:c r="I513" s="91" t="str">
        <x:v>[Product: Nikon COOLPIX P340 Digital Camera (Black) | ASIN: B00PHRVANC] Relative fast lens at the wide angles and excellent vibration reduction allow very good hand-held pictures in moderately low light conditions.&lt;br /&gt;5) Somewhat slow in focusing and even scrolling through the menus.&lt;br /&gt;4)</x:v>
      </x:c>
      <x:c r="J513" s="101" t="n">
        <x:v>2</x:v>
      </x:c>
      <x:c r="K513" s="92" t="str">
        <x:v>Human_Reviewer_01</x:v>
      </x:c>
      <x:c r="L513" s="92" t="str">
        <x:v>High</x:v>
      </x:c>
      <x:c r="M513" s="93" t="str">
        <x:v>Digital camera gives good moderately low-light handheld images but focuses slowly.</x:v>
      </x:c>
      <x:c r="N513" s="94"/>
      <x:c r="O513" s="94"/>
      <x:c r="P513" s="94"/>
      <x:c r="Q513" s="95"/>
      <x:c r="R513" s="96"/>
      <x:c r="S513" s="96"/>
      <x:c r="T513" s="97"/>
      <x:c r="U513" s="98" t="str">
        <x:f>IF(OR(J513="",N513=""),"",IF(J513=N513,"No","Yes"))</x:f>
      </x:c>
      <x:c r="V513" s="98" t="n">
        <x:v>2</x:v>
      </x:c>
    </x:row>
    <x:row r="514" ht="54" hidden="0" customHeight="1">
      <x:c r="A514" s="38" t="str">
        <x:v>Q014::B00KQQSZRS_review_619759</x:v>
      </x:c>
      <x:c r="B514" s="38" t="str">
        <x:v>Q014</x:v>
      </x:c>
      <x:c r="C514" s="91" t="str">
        <x:v>Find a camera battery with long runtime and dependable build quality.</x:v>
      </x:c>
      <x:c r="D514" s="38" t="n">
        <x:v>1</x:v>
      </x:c>
      <x:c r="E514" s="38" t="str">
        <x:v>B00KQQSZRS</x:v>
      </x:c>
      <x:c r="F514" s="38" t="str">
        <x:v>review</x:v>
      </x:c>
      <x:c r="G514" s="38" t="str">
        <x:v>build quality</x:v>
      </x:c>
      <x:c r="H514" s="38" t="str">
        <x:v>Computers</x:v>
      </x:c>
      <x:c r="I514" s="91" t="str">
        <x:v>[Product: Glyph Studio 4TB External Hard Drive Level 1 | ASIN: B00KQQSZRS] They are STURDY, dependable and work long and hard for years and years.</x:v>
      </x:c>
      <x:c r="J514" s="101" t="n">
        <x:v>0</x:v>
      </x:c>
      <x:c r="K514" s="92" t="str">
        <x:v>Human_Reviewer_01</x:v>
      </x:c>
      <x:c r="L514" s="92" t="str">
        <x:v>High</x:v>
      </x:c>
      <x:c r="M514" s="93" t="str">
        <x:v>This is an external hard drive, not a camera battery.</x:v>
      </x:c>
      <x:c r="N514" s="94"/>
      <x:c r="O514" s="94"/>
      <x:c r="P514" s="94"/>
      <x:c r="Q514" s="95"/>
      <x:c r="R514" s="96"/>
      <x:c r="S514" s="96"/>
      <x:c r="T514" s="97"/>
      <x:c r="U514" s="98" t="str">
        <x:f>IF(OR(J514="",N514=""),"",IF(J514=N514,"No","Yes"))</x:f>
      </x:c>
      <x:c r="V514" s="98" t="n">
        <x:v>0</x:v>
      </x:c>
    </x:row>
    <x:row r="515" ht="54" hidden="0" customHeight="1">
      <x:c r="A515" s="38" t="str">
        <x:v>Q014::B002P3KMP8_review_454898</x:v>
      </x:c>
      <x:c r="B515" s="38" t="str">
        <x:v>Q014</x:v>
      </x:c>
      <x:c r="C515" s="91" t="str">
        <x:v>Find a camera battery with long runtime and dependable build quality.</x:v>
      </x:c>
      <x:c r="D515" s="38" t="n">
        <x:v>2</x:v>
      </x:c>
      <x:c r="E515" s="38" t="str">
        <x:v>B002P3KMP8</x:v>
      </x:c>
      <x:c r="F515" s="38" t="str">
        <x:v>review</x:v>
      </x:c>
      <x:c r="G515" s="38" t="str">
        <x:v>build quality</x:v>
      </x:c>
      <x:c r="H515" s="38" t="str">
        <x:v>Computers</x:v>
      </x:c>
      <x:c r="I515" s="91" t="str">
        <x:v>[Product: ASUS UL50AG-A2 Thin and Light 15.6-Inch Black Laptop - 12 Hours of Battery Life (Windows 7 Home Premium) | ASIN: B002P3KMP8] It is thin and light and with great decent build quality.</x:v>
      </x:c>
      <x:c r="J515" s="101" t="n">
        <x:v>0</x:v>
      </x:c>
      <x:c r="K515" s="92" t="str">
        <x:v>Human_Reviewer_01</x:v>
      </x:c>
      <x:c r="L515" s="92" t="str">
        <x:v>High</x:v>
      </x:c>
      <x:c r="M515" s="93" t="str">
        <x:v>This is a laptop, not a camera battery.</x:v>
      </x:c>
      <x:c r="N515" s="94"/>
      <x:c r="O515" s="94"/>
      <x:c r="P515" s="94"/>
      <x:c r="Q515" s="95"/>
      <x:c r="R515" s="96"/>
      <x:c r="S515" s="96"/>
      <x:c r="T515" s="97"/>
      <x:c r="U515" s="98" t="str">
        <x:f>IF(OR(J515="",N515=""),"",IF(J515=N515,"No","Yes"))</x:f>
      </x:c>
      <x:c r="V515" s="98" t="n">
        <x:v>0</x:v>
      </x:c>
    </x:row>
    <x:row r="516" ht="54" hidden="0" customHeight="1">
      <x:c r="A516" s="38" t="str">
        <x:v>Q014::B00OK7AV0S_review_4038880</x:v>
      </x:c>
      <x:c r="B516" s="38" t="str">
        <x:v>Q014</x:v>
      </x:c>
      <x:c r="C516" s="91" t="str">
        <x:v>Find a camera battery with long runtime and dependable build quality.</x:v>
      </x:c>
      <x:c r="D516" s="38" t="n">
        <x:v>3</x:v>
      </x:c>
      <x:c r="E516" s="38" t="str">
        <x:v>B00OK7AV0S</x:v>
      </x:c>
      <x:c r="F516" s="38" t="str">
        <x:v>review</x:v>
      </x:c>
      <x:c r="G516" s="38" t="str">
        <x:v>build quality</x:v>
      </x:c>
      <x:c r="H516" s="38" t="str">
        <x:v>Camera &amp; Photo</x:v>
      </x:c>
      <x:c r="I516" s="91" t="str">
        <x:v>[Product: DSTE Replacement for Pro IR Remote MB-D31 Vertical Battery Grip + 2X EN-EL14 EN-EL14A Compatible Nikon D3100 D3200 D3300 D5300 SLR Digital Camera | ASIN: B00OK7AV0S] and I love the build quality.</x:v>
      </x:c>
      <x:c r="J516" s="101" t="n">
        <x:v>1</x:v>
      </x:c>
      <x:c r="K516" s="92" t="str">
        <x:v>Human_Reviewer_01</x:v>
      </x:c>
      <x:c r="L516" s="92" t="str">
        <x:v>Medium</x:v>
      </x:c>
      <x:c r="M516" s="93" t="str">
        <x:v>Camera bundle includes batteries, but build praise may concern the grip rather than the batteries.</x:v>
      </x:c>
      <x:c r="N516" s="94"/>
      <x:c r="O516" s="94"/>
      <x:c r="P516" s="94"/>
      <x:c r="Q516" s="95"/>
      <x:c r="R516" s="96"/>
      <x:c r="S516" s="96"/>
      <x:c r="T516" s="97"/>
      <x:c r="U516" s="98" t="str">
        <x:f>IF(OR(J516="",N516=""),"",IF(J516=N516,"No","Yes"))</x:f>
      </x:c>
      <x:c r="V516" s="98" t="n">
        <x:v>1</x:v>
      </x:c>
    </x:row>
    <x:row r="517" ht="54" hidden="0" customHeight="1">
      <x:c r="A517" s="38" t="str">
        <x:v>Q014::B00IA819NQ_review_1601396</x:v>
      </x:c>
      <x:c r="B517" s="38" t="str">
        <x:v>Q014</x:v>
      </x:c>
      <x:c r="C517" s="91" t="str">
        <x:v>Find a camera battery with long runtime and dependable build quality.</x:v>
      </x:c>
      <x:c r="D517" s="38" t="n">
        <x:v>4</x:v>
      </x:c>
      <x:c r="E517" s="38" t="str">
        <x:v>B00IA819NQ</x:v>
      </x:c>
      <x:c r="F517" s="38" t="str">
        <x:v>review</x:v>
      </x:c>
      <x:c r="G517" s="38" t="str">
        <x:v>build quality</x:v>
      </x:c>
      <x:c r="H517" s="38" t="str">
        <x:v>Camera &amp; Photo</x:v>
      </x:c>
      <x:c r="I517" s="91" t="str">
        <x:v>[Product: Four Halcyon 7200 mAH Lithium Ion Replacement Battery and Charger Kit for Sony NEX-FS400 Professional Camcorder and Sony NP-F970 | ASIN: B00IA819NQ] The product seems to last as long as it should and has a solid build quality.</x:v>
      </x:c>
      <x:c r="J517" s="101" t="n">
        <x:v>2</x:v>
      </x:c>
      <x:c r="K517" s="92" t="str">
        <x:v>Human_Reviewer_01</x:v>
      </x:c>
      <x:c r="L517" s="92" t="str">
        <x:v>High</x:v>
      </x:c>
      <x:c r="M517" s="93" t="str">
        <x:v>Camera battery kit has expected endurance and solid construction testimony.</x:v>
      </x:c>
      <x:c r="N517" s="94"/>
      <x:c r="O517" s="94"/>
      <x:c r="P517" s="94"/>
      <x:c r="Q517" s="95"/>
      <x:c r="R517" s="96"/>
      <x:c r="S517" s="96"/>
      <x:c r="T517" s="97"/>
      <x:c r="U517" s="98" t="str">
        <x:f>IF(OR(J517="",N517=""),"",IF(J517=N517,"No","Yes"))</x:f>
      </x:c>
      <x:c r="V517" s="98" t="n">
        <x:v>2</x:v>
      </x:c>
    </x:row>
    <x:row r="518" ht="54" hidden="0" customHeight="1">
      <x:c r="A518" s="38" t="str">
        <x:v>Q014::B000EGNZC0_review_3215427</x:v>
      </x:c>
      <x:c r="B518" s="38" t="str">
        <x:v>Q014</x:v>
      </x:c>
      <x:c r="C518" s="91" t="str">
        <x:v>Find a camera battery with long runtime and dependable build quality.</x:v>
      </x:c>
      <x:c r="D518" s="38" t="n">
        <x:v>5</x:v>
      </x:c>
      <x:c r="E518" s="38" t="str">
        <x:v>B000EGNZC0</x:v>
      </x:c>
      <x:c r="F518" s="38" t="str">
        <x:v>review</x:v>
      </x:c>
      <x:c r="G518" s="38" t="str">
        <x:v>specifications/performance</x:v>
      </x:c>
      <x:c r="H518" s="38" t="str">
        <x:v>Camera &amp; Photo</x:v>
      </x:c>
      <x:c r="I518" s="91" t="str">
        <x:v>[Product: Olympus LI-42B LI42B battery Digital Camera &amp; More | ASIN: B000EGNZC0] Made good extremely and I mean road runner fast.</x:v>
      </x:c>
      <x:c r="J518" s="101" t="n">
        <x:v>1</x:v>
      </x:c>
      <x:c r="K518" s="92" t="str">
        <x:v>Human_Reviewer_01</x:v>
      </x:c>
      <x:c r="L518" s="92" t="str">
        <x:v>Medium</x:v>
      </x:c>
      <x:c r="M518" s="93" t="str">
        <x:v>Camera battery quality is praised in garbled wording; endurance and concrete durability are unclear.</x:v>
      </x:c>
      <x:c r="N518" s="94"/>
      <x:c r="O518" s="94"/>
      <x:c r="P518" s="94"/>
      <x:c r="Q518" s="95"/>
      <x:c r="R518" s="96"/>
      <x:c r="S518" s="96"/>
      <x:c r="T518" s="97"/>
      <x:c r="U518" s="98" t="str">
        <x:f>IF(OR(J518="",N518=""),"",IF(J518=N518,"No","Yes"))</x:f>
      </x:c>
      <x:c r="V518" s="98" t="n">
        <x:v>1</x:v>
      </x:c>
    </x:row>
    <x:row r="519" ht="54" hidden="0" customHeight="1">
      <x:c r="A519" s="38" t="str">
        <x:v>Q014::B0002T471C_review_1368246</x:v>
      </x:c>
      <x:c r="B519" s="38" t="str">
        <x:v>Q014</x:v>
      </x:c>
      <x:c r="C519" s="91" t="str">
        <x:v>Find a camera battery with long runtime and dependable build quality.</x:v>
      </x:c>
      <x:c r="D519" s="38" t="n">
        <x:v>6</x:v>
      </x:c>
      <x:c r="E519" s="38" t="str">
        <x:v>B0002T471C</x:v>
      </x:c>
      <x:c r="F519" s="38" t="str">
        <x:v>review</x:v>
      </x:c>
      <x:c r="G519" s="38" t="str">
        <x:v>battery life</x:v>
      </x:c>
      <x:c r="H519" s="38" t="str">
        <x:v>Camera &amp; Photo</x:v>
      </x:c>
      <x:c r="I519" s="91" t="str">
        <x:v>[Product: Konica Minolta NP700 Lithium-ion Battery for Dimage X50 &amp; X60 Digital Cameras | ASIN: B0002T471C] Long battery life.</x:v>
      </x:c>
      <x:c r="J519" s="101" t="n">
        <x:v>2</x:v>
      </x:c>
      <x:c r="K519" s="92" t="str">
        <x:v>Human_Reviewer_01</x:v>
      </x:c>
      <x:c r="L519" s="92" t="str">
        <x:v>High</x:v>
      </x:c>
      <x:c r="M519" s="93" t="str">
        <x:v>Digital-camera battery explicitly has long battery life.</x:v>
      </x:c>
      <x:c r="N519" s="94"/>
      <x:c r="O519" s="94"/>
      <x:c r="P519" s="94"/>
      <x:c r="Q519" s="95"/>
      <x:c r="R519" s="96"/>
      <x:c r="S519" s="96"/>
      <x:c r="T519" s="97"/>
      <x:c r="U519" s="98" t="str">
        <x:f>IF(OR(J519="",N519=""),"",IF(J519=N519,"No","Yes"))</x:f>
      </x:c>
      <x:c r="V519" s="98" t="n">
        <x:v>2</x:v>
      </x:c>
    </x:row>
    <x:row r="520" ht="54" hidden="0" customHeight="1">
      <x:c r="A520" s="38" t="str">
        <x:v>Q014::B004L54EQG_review_4196260</x:v>
      </x:c>
      <x:c r="B520" s="38" t="str">
        <x:v>Q014</x:v>
      </x:c>
      <x:c r="C520" s="91" t="str">
        <x:v>Find a camera battery with long runtime and dependable build quality.</x:v>
      </x:c>
      <x:c r="D520" s="38" t="n">
        <x:v>7</x:v>
      </x:c>
      <x:c r="E520" s="38" t="str">
        <x:v>B004L54EQG</x:v>
      </x:c>
      <x:c r="F520" s="38" t="str">
        <x:v>review</x:v>
      </x:c>
      <x:c r="G520" s="38" t="str">
        <x:v>battery life</x:v>
      </x:c>
      <x:c r="H520" s="38" t="str">
        <x:v>Camera &amp; Photo</x:v>
      </x:c>
      <x:c r="I520" s="91" t="str">
        <x:v>[Product: Everio Flash Memory Camera Blk | ASIN: B004L54EQG] Battery lasts a long time.</x:v>
      </x:c>
      <x:c r="J520" s="101" t="n">
        <x:v>0</x:v>
      </x:c>
      <x:c r="K520" s="92" t="str">
        <x:v>Human_Reviewer_01</x:v>
      </x:c>
      <x:c r="L520" s="92" t="str">
        <x:v>High</x:v>
      </x:c>
      <x:c r="M520" s="93" t="str">
        <x:v>The product is a camera, not a standalone camera battery.</x:v>
      </x:c>
      <x:c r="N520" s="94"/>
      <x:c r="O520" s="94"/>
      <x:c r="P520" s="94"/>
      <x:c r="Q520" s="95"/>
      <x:c r="R520" s="96"/>
      <x:c r="S520" s="96"/>
      <x:c r="T520" s="97"/>
      <x:c r="U520" s="98" t="str">
        <x:f>IF(OR(J520="",N520=""),"",IF(J520=N520,"No","Yes"))</x:f>
      </x:c>
      <x:c r="V520" s="98" t="n">
        <x:v>0</x:v>
      </x:c>
    </x:row>
    <x:row r="521" ht="54" hidden="0" customHeight="1">
      <x:c r="A521" s="38" t="str">
        <x:v>Q014::B018J184S6_review_1493652</x:v>
      </x:c>
      <x:c r="B521" s="38" t="str">
        <x:v>Q014</x:v>
      </x:c>
      <x:c r="C521" s="91" t="str">
        <x:v>Find a camera battery with long runtime and dependable build quality.</x:v>
      </x:c>
      <x:c r="D521" s="38" t="n">
        <x:v>8</x:v>
      </x:c>
      <x:c r="E521" s="38" t="str">
        <x:v>B018J184S6</x:v>
      </x:c>
      <x:c r="F521" s="38" t="str">
        <x:v>review</x:v>
      </x:c>
      <x:c r="G521" s="38" t="str">
        <x:v>price/value</x:v>
      </x:c>
      <x:c r="H521" s="38" t="str">
        <x:v>Camera &amp; Photo</x:v>
      </x:c>
      <x:c r="I521" s="91" t="str">
        <x:v>[Product: Vivitar Pro Multi-Power Battery Grip for Nikon D5500 DSLR Camera | ASIN: B018J184S6] The material of this Vivitar grip feels much cheaper in build quality, has fewer control functions, and is double the price! I could not imagine actually in the field.&lt;br /&gt;&lt;br /&gt;Needless to say, I was offended when I opened my package to find this product to be twice the price and half the quality.</x:v>
      </x:c>
      <x:c r="J521" s="101" t="n">
        <x:v>0</x:v>
      </x:c>
      <x:c r="K521" s="92" t="str">
        <x:v>Human_Reviewer_01</x:v>
      </x:c>
      <x:c r="L521" s="92" t="str">
        <x:v>High</x:v>
      </x:c>
      <x:c r="M521" s="93" t="str">
        <x:v>This is a battery grip, not a battery.</x:v>
      </x:c>
      <x:c r="N521" s="94"/>
      <x:c r="O521" s="94"/>
      <x:c r="P521" s="94"/>
      <x:c r="Q521" s="95"/>
      <x:c r="R521" s="96"/>
      <x:c r="S521" s="96"/>
      <x:c r="T521" s="97"/>
      <x:c r="U521" s="98" t="str">
        <x:f>IF(OR(J521="",N521=""),"",IF(J521=N521,"No","Yes"))</x:f>
      </x:c>
      <x:c r="V521" s="98" t="n">
        <x:v>0</x:v>
      </x:c>
    </x:row>
    <x:row r="522" ht="54" hidden="0" customHeight="1">
      <x:c r="A522" s="38" t="str">
        <x:v>Q014::B005EE9Z8U_review_3563767</x:v>
      </x:c>
      <x:c r="B522" s="38" t="str">
        <x:v>Q014</x:v>
      </x:c>
      <x:c r="C522" s="91" t="str">
        <x:v>Find a camera battery with long runtime and dependable build quality.</x:v>
      </x:c>
      <x:c r="D522" s="38" t="n">
        <x:v>9</x:v>
      </x:c>
      <x:c r="E522" s="38" t="str">
        <x:v>B005EE9Z8U</x:v>
      </x:c>
      <x:c r="F522" s="38" t="str">
        <x:v>review</x:v>
      </x:c>
      <x:c r="G522" s="38" t="str">
        <x:v>general</x:v>
      </x:c>
      <x:c r="H522" s="38" t="str">
        <x:v>Computers</x:v>
      </x:c>
      <x:c r="I522" s="91" t="str">
        <x:v>[Product: PowerSmart Li-ion,Replacement Laptop Battery for ACER TravelMate P453-M-6888. | ASIN: B005EE9Z8U] The capacity is great and the runtime is good as well.</x:v>
      </x:c>
      <x:c r="J522" s="101" t="n">
        <x:v>0</x:v>
      </x:c>
      <x:c r="K522" s="92" t="str">
        <x:v>Human_Reviewer_01</x:v>
      </x:c>
      <x:c r="L522" s="92" t="str">
        <x:v>High</x:v>
      </x:c>
      <x:c r="M522" s="93" t="str">
        <x:v>This is a laptop battery, not a camera battery.</x:v>
      </x:c>
      <x:c r="N522" s="94"/>
      <x:c r="O522" s="94"/>
      <x:c r="P522" s="94"/>
      <x:c r="Q522" s="95"/>
      <x:c r="R522" s="96"/>
      <x:c r="S522" s="96"/>
      <x:c r="T522" s="97"/>
      <x:c r="U522" s="98" t="str">
        <x:f>IF(OR(J522="",N522=""),"",IF(J522=N522,"No","Yes"))</x:f>
      </x:c>
      <x:c r="V522" s="98" t="n">
        <x:v>0</x:v>
      </x:c>
    </x:row>
    <x:row r="523" ht="54" hidden="0" customHeight="1">
      <x:c r="A523" s="38" t="str">
        <x:v>Q014::B000CP10O8_review_323679</x:v>
      </x:c>
      <x:c r="B523" s="38" t="str">
        <x:v>Q014</x:v>
      </x:c>
      <x:c r="C523" s="91" t="str">
        <x:v>Find a camera battery with long runtime and dependable build quality.</x:v>
      </x:c>
      <x:c r="D523" s="38" t="n">
        <x:v>10</x:v>
      </x:c>
      <x:c r="E523" s="38" t="str">
        <x:v>B000CP10O8</x:v>
      </x:c>
      <x:c r="F523" s="38" t="str">
        <x:v>review</x:v>
      </x:c>
      <x:c r="G523" s="38" t="str">
        <x:v>general</x:v>
      </x:c>
      <x:c r="H523" s="38" t="str">
        <x:v>Camera &amp; Photo</x:v>
      </x:c>
      <x:c r="I523" s="91" t="str">
        <x:v>[Product: Ultralast UL-NB1LH Canon NB-1LH Equivalent Digital Camera Battery | ASIN: B000CP10O8] Years later its still going strong.</x:v>
      </x:c>
      <x:c r="J523" s="101" t="n">
        <x:v>2</x:v>
      </x:c>
      <x:c r="K523" s="92" t="str">
        <x:v>Human_Reviewer_01</x:v>
      </x:c>
      <x:c r="L523" s="92" t="str">
        <x:v>High</x:v>
      </x:c>
      <x:c r="M523" s="93" t="str">
        <x:v>Digital-camera battery remains reliable after years of use.</x:v>
      </x:c>
      <x:c r="N523" s="94"/>
      <x:c r="O523" s="94"/>
      <x:c r="P523" s="94"/>
      <x:c r="Q523" s="95"/>
      <x:c r="R523" s="96"/>
      <x:c r="S523" s="96"/>
      <x:c r="T523" s="97"/>
      <x:c r="U523" s="98" t="str">
        <x:f>IF(OR(J523="",N523=""),"",IF(J523=N523,"No","Yes"))</x:f>
      </x:c>
      <x:c r="V523" s="98" t="n">
        <x:v>2</x:v>
      </x:c>
    </x:row>
    <x:row r="524" ht="54" hidden="0" customHeight="1">
      <x:c r="A524" s="38" t="str">
        <x:v>Q014::B00261T8LI_review_1182026</x:v>
      </x:c>
      <x:c r="B524" s="38" t="str">
        <x:v>Q014</x:v>
      </x:c>
      <x:c r="C524" s="91" t="str">
        <x:v>Find a camera battery with long runtime and dependable build quality.</x:v>
      </x:c>
      <x:c r="D524" s="38" t="n">
        <x:v>11</x:v>
      </x:c>
      <x:c r="E524" s="38" t="str">
        <x:v>B00261T8LI</x:v>
      </x:c>
      <x:c r="F524" s="38" t="str">
        <x:v>review</x:v>
      </x:c>
      <x:c r="G524" s="38" t="str">
        <x:v>battery life</x:v>
      </x:c>
      <x:c r="H524" s="38" t="str">
        <x:v>Camera &amp; Photo</x:v>
      </x:c>
      <x:c r="I524" s="91" t="str">
        <x:v>[Product: Li-ion Battery D-LI92 | ASIN: B00261T8LI] They still charge quickly and last through hundreds of photos.</x:v>
      </x:c>
      <x:c r="J524" s="101" t="n">
        <x:v>2</x:v>
      </x:c>
      <x:c r="K524" s="92" t="str">
        <x:v>Human_Reviewer_01</x:v>
      </x:c>
      <x:c r="L524" s="92" t="str">
        <x:v>High</x:v>
      </x:c>
      <x:c r="M524" s="93" t="str">
        <x:v>Battery supports hundreds of photographs per charge and continues charging quickly.</x:v>
      </x:c>
      <x:c r="N524" s="94"/>
      <x:c r="O524" s="94"/>
      <x:c r="P524" s="94"/>
      <x:c r="Q524" s="95"/>
      <x:c r="R524" s="96"/>
      <x:c r="S524" s="96"/>
      <x:c r="T524" s="97"/>
      <x:c r="U524" s="98" t="str">
        <x:f>IF(OR(J524="",N524=""),"",IF(J524=N524,"No","Yes"))</x:f>
      </x:c>
      <x:c r="V524" s="98" t="n">
        <x:v>2</x:v>
      </x:c>
    </x:row>
    <x:row r="525" ht="54" hidden="0" customHeight="1">
      <x:c r="A525" s="38" t="str">
        <x:v>Q014::B077W1XFTZ_review_550138</x:v>
      </x:c>
      <x:c r="B525" s="38" t="str">
        <x:v>Q014</x:v>
      </x:c>
      <x:c r="C525" s="91" t="str">
        <x:v>Find a camera battery with long runtime and dependable build quality.</x:v>
      </x:c>
      <x:c r="D525" s="38" t="n">
        <x:v>12</x:v>
      </x:c>
      <x:c r="E525" s="38" t="str">
        <x:v>B077W1XFTZ</x:v>
      </x:c>
      <x:c r="F525" s="38" t="str">
        <x:v>review</x:v>
      </x:c>
      <x:c r="G525" s="38" t="str">
        <x:v>build quality</x:v>
      </x:c>
      <x:c r="H525" s="38" t="str">
        <x:v>Camera &amp; Photo</x:v>
      </x:c>
      <x:c r="I525" s="91" t="str">
        <x:v>[Product: Sony 35mm F2.8 Sonnar T FE ZA Full Frame Prime Fixed Lens | ASIN: B077W1XFTZ] /&gt;First, I find the build quality quite high. The lens feels sturdy, and has a good build quality.</x:v>
      </x:c>
      <x:c r="J525" s="101" t="n">
        <x:v>0</x:v>
      </x:c>
      <x:c r="K525" s="92" t="str">
        <x:v>Human_Reviewer_01</x:v>
      </x:c>
      <x:c r="L525" s="92" t="str">
        <x:v>High</x:v>
      </x:c>
      <x:c r="M525" s="93" t="str">
        <x:v>This is a camera lens, not a battery.</x:v>
      </x:c>
      <x:c r="N525" s="94"/>
      <x:c r="O525" s="94"/>
      <x:c r="P525" s="94"/>
      <x:c r="Q525" s="95"/>
      <x:c r="R525" s="96"/>
      <x:c r="S525" s="96"/>
      <x:c r="T525" s="97"/>
      <x:c r="U525" s="98" t="str">
        <x:f>IF(OR(J525="",N525=""),"",IF(J525=N525,"No","Yes"))</x:f>
      </x:c>
      <x:c r="V525" s="98" t="n">
        <x:v>0</x:v>
      </x:c>
    </x:row>
    <x:row r="526" ht="54" hidden="0" customHeight="1">
      <x:c r="A526" s="38" t="str">
        <x:v>Q014::B00383WNF6_review_1767306</x:v>
      </x:c>
      <x:c r="B526" s="38" t="str">
        <x:v>Q014</x:v>
      </x:c>
      <x:c r="C526" s="91" t="str">
        <x:v>Find a camera battery with long runtime and dependable build quality.</x:v>
      </x:c>
      <x:c r="D526" s="38" t="n">
        <x:v>13</x:v>
      </x:c>
      <x:c r="E526" s="38" t="str">
        <x:v>B00383WNF6</x:v>
      </x:c>
      <x:c r="F526" s="38" t="str">
        <x:v>review</x:v>
      </x:c>
      <x:c r="G526" s="38" t="str">
        <x:v>battery life</x:v>
      </x:c>
      <x:c r="H526" s="38" t="str">
        <x:v>Camera &amp; Photo</x:v>
      </x:c>
      <x:c r="I526" s="91" t="str">
        <x:v>[Product: Wasabi Power Battery for Pentax D-LI88 and Pentax Optio H90, P70, P80, W90, WS80 | ASIN: B00383WNF6] I wanted to wait and give this battery a fair chance before giving a revue on it. And I can say without a doubt it performs as a quality battery should. Has a long shelf life and plenty of power for a good long picture taking session.&lt;br /&gt;And</x:v>
      </x:c>
      <x:c r="J526" s="101" t="n">
        <x:v>2</x:v>
      </x:c>
      <x:c r="K526" s="92" t="str">
        <x:v>Human_Reviewer_01</x:v>
      </x:c>
      <x:c r="L526" s="92" t="str">
        <x:v>High</x:v>
      </x:c>
      <x:c r="M526" s="93" t="str">
        <x:v>Camera battery retains power in storage and supports long photography sessions.</x:v>
      </x:c>
      <x:c r="N526" s="94"/>
      <x:c r="O526" s="94"/>
      <x:c r="P526" s="94"/>
      <x:c r="Q526" s="95"/>
      <x:c r="R526" s="96"/>
      <x:c r="S526" s="96"/>
      <x:c r="T526" s="97"/>
      <x:c r="U526" s="98" t="str">
        <x:f>IF(OR(J526="",N526=""),"",IF(J526=N526,"No","Yes"))</x:f>
      </x:c>
      <x:c r="V526" s="98" t="n">
        <x:v>2</x:v>
      </x:c>
    </x:row>
    <x:row r="527" ht="54" hidden="0" customHeight="1">
      <x:c r="A527" s="38" t="str">
        <x:v>Q014::B00F8BOPT8_review_3516482</x:v>
      </x:c>
      <x:c r="B527" s="38" t="str">
        <x:v>Q014</x:v>
      </x:c>
      <x:c r="C527" s="91" t="str">
        <x:v>Find a camera battery with long runtime and dependable build quality.</x:v>
      </x:c>
      <x:c r="D527" s="38" t="n">
        <x:v>14</x:v>
      </x:c>
      <x:c r="E527" s="38" t="str">
        <x:v>B00F8BOPT8</x:v>
      </x:c>
      <x:c r="F527" s="38" t="str">
        <x:v>review</x:v>
      </x:c>
      <x:c r="G527" s="38" t="str">
        <x:v>battery life</x:v>
      </x:c>
      <x:c r="H527" s="38" t="str">
        <x:v>Camera &amp; Photo</x:v>
      </x:c>
      <x:c r="I527" s="91" t="str">
        <x:v>[Product: Leica 18536 C Camera Battery BP-DC14-U (Black) | ASIN: B00F8BOPT8] I can shoot all day and not worry about running out of battery life.</x:v>
      </x:c>
      <x:c r="J527" s="101" t="n">
        <x:v>2</x:v>
      </x:c>
      <x:c r="K527" s="92" t="str">
        <x:v>Human_Reviewer_01</x:v>
      </x:c>
      <x:c r="L527" s="92" t="str">
        <x:v>High</x:v>
      </x:c>
      <x:c r="M527" s="93" t="str">
        <x:v>Camera battery supports all-day shooting without running out.</x:v>
      </x:c>
      <x:c r="N527" s="94"/>
      <x:c r="O527" s="94"/>
      <x:c r="P527" s="94"/>
      <x:c r="Q527" s="95"/>
      <x:c r="R527" s="96"/>
      <x:c r="S527" s="96"/>
      <x:c r="T527" s="97"/>
      <x:c r="U527" s="98" t="str">
        <x:f>IF(OR(J527="",N527=""),"",IF(J527=N527,"No","Yes"))</x:f>
      </x:c>
      <x:c r="V527" s="98" t="n">
        <x:v>2</x:v>
      </x:c>
    </x:row>
    <x:row r="528" ht="54" hidden="0" customHeight="1">
      <x:c r="A528" s="38" t="str">
        <x:v>Q014::B0046ZG7OI_review_2461846</x:v>
      </x:c>
      <x:c r="B528" s="38" t="str">
        <x:v>Q014</x:v>
      </x:c>
      <x:c r="C528" s="91" t="str">
        <x:v>Find a camera battery with long runtime and dependable build quality.</x:v>
      </x:c>
      <x:c r="D528" s="38" t="n">
        <x:v>15</x:v>
      </x:c>
      <x:c r="E528" s="38" t="str">
        <x:v>B0046ZG7OI</x:v>
      </x:c>
      <x:c r="F528" s="38" t="str">
        <x:v>review</x:v>
      </x:c>
      <x:c r="G528" s="38" t="str">
        <x:v>general</x:v>
      </x:c>
      <x:c r="H528" s="38" t="str">
        <x:v>Camera &amp; Photo</x:v>
      </x:c>
      <x:c r="I528" s="91" t="str">
        <x:v>[Product: Drift LLBAT Long Life Battery | ASIN: B0046ZG7OI] i love my drift camera and use it all the time.</x:v>
      </x:c>
      <x:c r="J528" s="101" t="n">
        <x:v>1</x:v>
      </x:c>
      <x:c r="K528" s="92" t="str">
        <x:v>Human_Reviewer_01</x:v>
      </x:c>
      <x:c r="L528" s="92" t="str">
        <x:v>High</x:v>
      </x:c>
      <x:c r="M528" s="93" t="str">
        <x:v>Camera-battery product is correct, but testimony praises the camera rather than battery endurance.</x:v>
      </x:c>
      <x:c r="N528" s="94"/>
      <x:c r="O528" s="94"/>
      <x:c r="P528" s="94"/>
      <x:c r="Q528" s="95"/>
      <x:c r="R528" s="96"/>
      <x:c r="S528" s="96"/>
      <x:c r="T528" s="97"/>
      <x:c r="U528" s="98" t="str">
        <x:f>IF(OR(J528="",N528=""),"",IF(J528=N528,"No","Yes"))</x:f>
      </x:c>
      <x:c r="V528" s="98" t="n">
        <x:v>1</x:v>
      </x:c>
    </x:row>
    <x:row r="529" ht="54" hidden="0" customHeight="1">
      <x:c r="A529" s="38" t="str">
        <x:v>Q014::B0000D8G7E_review_1411895</x:v>
      </x:c>
      <x:c r="B529" s="38" t="str">
        <x:v>Q014</x:v>
      </x:c>
      <x:c r="C529" s="91" t="str">
        <x:v>Find a camera battery with long runtime and dependable build quality.</x:v>
      </x:c>
      <x:c r="D529" s="38" t="n">
        <x:v>16</x:v>
      </x:c>
      <x:c r="E529" s="38" t="str">
        <x:v>B0000D8G7E</x:v>
      </x:c>
      <x:c r="F529" s="38" t="str">
        <x:v>review</x:v>
      </x:c>
      <x:c r="G529" s="38" t="str">
        <x:v>build quality</x:v>
      </x:c>
      <x:c r="H529" s="38" t="str">
        <x:v>Camera &amp; Photo</x:v>
      </x:c>
      <x:c r="I529" s="91" t="str">
        <x:v>[Product: Minolta NP400 Li-ion Battery for Dimage A1 &amp; A2 Digital Cameras | ASIN: B0000D8G7E] Excellent build quality.</x:v>
      </x:c>
      <x:c r="J529" s="101" t="n">
        <x:v>2</x:v>
      </x:c>
      <x:c r="K529" s="92" t="str">
        <x:v>Human_Reviewer_01</x:v>
      </x:c>
      <x:c r="L529" s="92" t="str">
        <x:v>High</x:v>
      </x:c>
      <x:c r="M529" s="93" t="str">
        <x:v>Digital-camera battery explicitly has excellent build quality.</x:v>
      </x:c>
      <x:c r="N529" s="94"/>
      <x:c r="O529" s="94"/>
      <x:c r="P529" s="94"/>
      <x:c r="Q529" s="95"/>
      <x:c r="R529" s="96"/>
      <x:c r="S529" s="96"/>
      <x:c r="T529" s="97"/>
      <x:c r="U529" s="98" t="str">
        <x:f>IF(OR(J529="",N529=""),"",IF(J529=N529,"No","Yes"))</x:f>
      </x:c>
      <x:c r="V529" s="98" t="n">
        <x:v>2</x:v>
      </x:c>
    </x:row>
    <x:row r="530" ht="54" hidden="0" customHeight="1">
      <x:c r="A530" s="38" t="str">
        <x:v>Q014::B005OMOKN2_review_732943</x:v>
      </x:c>
      <x:c r="B530" s="38" t="str">
        <x:v>Q014</x:v>
      </x:c>
      <x:c r="C530" s="91" t="str">
        <x:v>Find a camera battery with long runtime and dependable build quality.</x:v>
      </x:c>
      <x:c r="D530" s="38" t="n">
        <x:v>17</x:v>
      </x:c>
      <x:c r="E530" s="38" t="str">
        <x:v>B005OMOKN2</x:v>
      </x:c>
      <x:c r="F530" s="38" t="str">
        <x:v>review</x:v>
      </x:c>
      <x:c r="G530" s="38" t="str">
        <x:v>build quality</x:v>
      </x:c>
      <x:c r="H530" s="38" t="str">
        <x:v>Camera &amp; Photo</x:v>
      </x:c>
      <x:c r="I530" s="91" t="str">
        <x:v>[Product: Nikon EN-EL20 Rechargeable Li-ion Battery (repl.) | ASIN: B005OMOKN2] These are super reliable and well made.</x:v>
      </x:c>
      <x:c r="J530" s="101" t="n">
        <x:v>1</x:v>
      </x:c>
      <x:c r="K530" s="92" t="str">
        <x:v>Human_Reviewer_01</x:v>
      </x:c>
      <x:c r="L530" s="92" t="str">
        <x:v>Medium</x:v>
      </x:c>
      <x:c r="M530" s="93" t="str">
        <x:v>Rechargeable battery is reliable and well made, but camera compatibility is not established in the chunk.</x:v>
      </x:c>
      <x:c r="N530" s="94"/>
      <x:c r="O530" s="94"/>
      <x:c r="P530" s="94"/>
      <x:c r="Q530" s="95"/>
      <x:c r="R530" s="96"/>
      <x:c r="S530" s="96"/>
      <x:c r="T530" s="97"/>
      <x:c r="U530" s="98" t="str">
        <x:f>IF(OR(J530="",N530=""),"",IF(J530=N530,"No","Yes"))</x:f>
      </x:c>
      <x:c r="V530" s="98" t="n">
        <x:v>1</x:v>
      </x:c>
    </x:row>
    <x:row r="531" ht="54" hidden="0" customHeight="1">
      <x:c r="A531" s="38" t="str">
        <x:v>Q014::B00BW4USGY_review_3634449</x:v>
      </x:c>
      <x:c r="B531" s="38" t="str">
        <x:v>Q014</x:v>
      </x:c>
      <x:c r="C531" s="91" t="str">
        <x:v>Find a camera battery with long runtime and dependable build quality.</x:v>
      </x:c>
      <x:c r="D531" s="38" t="n">
        <x:v>18</x:v>
      </x:c>
      <x:c r="E531" s="38" t="str">
        <x:v>B00BW4USGY</x:v>
      </x:c>
      <x:c r="F531" s="38" t="str">
        <x:v>review</x:v>
      </x:c>
      <x:c r="G531" s="38" t="str">
        <x:v>battery life</x:v>
      </x:c>
      <x:c r="H531" s="38" t="str">
        <x:v>Camera &amp; Photo</x:v>
      </x:c>
      <x:c r="I531" s="91" t="str">
        <x:v>[Product: Wasabi Power Battery for Panasonic DMW-BLF19 and Panasonic Lumix DMC-GH3, DMC-GH4, DC-GH5, DC-GH5S, DC-G9 | ASIN: B00BW4USGY] After testing, the runtime and battery indicator on my gh5 are identical between the wasabi and panasonic.</x:v>
      </x:c>
      <x:c r="J531" s="101" t="n">
        <x:v>2</x:v>
      </x:c>
      <x:c r="K531" s="92" t="str">
        <x:v>Human_Reviewer_01</x:v>
      </x:c>
      <x:c r="L531" s="92" t="str">
        <x:v>High</x:v>
      </x:c>
      <x:c r="M531" s="93" t="str">
        <x:v>Camera battery has tested runtime equivalent to the original Panasonic battery on a GH5.</x:v>
      </x:c>
      <x:c r="N531" s="94"/>
      <x:c r="O531" s="94"/>
      <x:c r="P531" s="94"/>
      <x:c r="Q531" s="95"/>
      <x:c r="R531" s="96"/>
      <x:c r="S531" s="96"/>
      <x:c r="T531" s="97"/>
      <x:c r="U531" s="98" t="str">
        <x:f>IF(OR(J531="",N531=""),"",IF(J531=N531,"No","Yes"))</x:f>
      </x:c>
      <x:c r="V531" s="98" t="n">
        <x:v>2</x:v>
      </x:c>
    </x:row>
    <x:row r="532" ht="54" hidden="0" customHeight="1">
      <x:c r="A532" s="38" t="str">
        <x:v>Q014::B00D49VO3G_review_2003423</x:v>
      </x:c>
      <x:c r="B532" s="38" t="str">
        <x:v>Q014</x:v>
      </x:c>
      <x:c r="C532" s="91" t="str">
        <x:v>Find a camera battery with long runtime and dependable build quality.</x:v>
      </x:c>
      <x:c r="D532" s="38" t="n">
        <x:v>19</x:v>
      </x:c>
      <x:c r="E532" s="38" t="str">
        <x:v>B00D49VO3G</x:v>
      </x:c>
      <x:c r="F532" s="38" t="str">
        <x:v>review</x:v>
      </x:c>
      <x:c r="G532" s="38" t="str">
        <x:v>build quality</x:v>
      </x:c>
      <x:c r="H532" s="38" t="str">
        <x:v>Camera &amp; Photo</x:v>
      </x:c>
      <x:c r="I532" s="91" t="str">
        <x:v>[Product: Vello BG-C8 Battery Grip for Canon EOS 6D | ASIN: B00D49VO3G] I bought the script because of all the great reviews on the construction and build quality. Great Packaging and a really good feel to the build quality.</x:v>
      </x:c>
      <x:c r="J532" s="101" t="n">
        <x:v>0</x:v>
      </x:c>
      <x:c r="K532" s="92" t="str">
        <x:v>Human_Reviewer_01</x:v>
      </x:c>
      <x:c r="L532" s="92" t="str">
        <x:v>High</x:v>
      </x:c>
      <x:c r="M532" s="93" t="str">
        <x:v>This is a battery grip, not a battery.</x:v>
      </x:c>
      <x:c r="N532" s="94"/>
      <x:c r="O532" s="94"/>
      <x:c r="P532" s="94"/>
      <x:c r="Q532" s="95"/>
      <x:c r="R532" s="96"/>
      <x:c r="S532" s="96"/>
      <x:c r="T532" s="97"/>
      <x:c r="U532" s="98" t="str">
        <x:f>IF(OR(J532="",N532=""),"",IF(J532=N532,"No","Yes"))</x:f>
      </x:c>
      <x:c r="V532" s="98" t="n">
        <x:v>0</x:v>
      </x:c>
    </x:row>
    <x:row r="533" ht="54" hidden="0" customHeight="1">
      <x:c r="A533" s="38" t="str">
        <x:v>Q014::B0046ZG7OI_review_2461843</x:v>
      </x:c>
      <x:c r="B533" s="38" t="str">
        <x:v>Q014</x:v>
      </x:c>
      <x:c r="C533" s="91" t="str">
        <x:v>Find a camera battery with long runtime and dependable build quality.</x:v>
      </x:c>
      <x:c r="D533" s="38" t="n">
        <x:v>20</x:v>
      </x:c>
      <x:c r="E533" s="38" t="str">
        <x:v>B0046ZG7OI</x:v>
      </x:c>
      <x:c r="F533" s="38" t="str">
        <x:v>review</x:v>
      </x:c>
      <x:c r="G533" s="38" t="str">
        <x:v>battery life</x:v>
      </x:c>
      <x:c r="H533" s="38" t="str">
        <x:v>Camera &amp; Photo</x:v>
      </x:c>
      <x:c r="I533" s="91" t="str">
        <x:v>[Product: Drift LLBAT Long Life Battery | ASIN: B0046ZG7OI] This battery greatly extends the uptime of the camera, a must when shooting video or continuous stills while on the road.</x:v>
      </x:c>
      <x:c r="J533" s="101" t="n">
        <x:v>2</x:v>
      </x:c>
      <x:c r="K533" s="92" t="str">
        <x:v>Human_Reviewer_01</x:v>
      </x:c>
      <x:c r="L533" s="92" t="str">
        <x:v>High</x:v>
      </x:c>
      <x:c r="M533" s="93" t="str">
        <x:v>Camera battery explicitly extends recording and continuous-shooting runtime.</x:v>
      </x:c>
      <x:c r="N533" s="94"/>
      <x:c r="O533" s="94"/>
      <x:c r="P533" s="94"/>
      <x:c r="Q533" s="95"/>
      <x:c r="R533" s="96"/>
      <x:c r="S533" s="96"/>
      <x:c r="T533" s="97"/>
      <x:c r="U533" s="98" t="str">
        <x:f>IF(OR(J533="",N533=""),"",IF(J533=N533,"No","Yes"))</x:f>
      </x:c>
      <x:c r="V533" s="98" t="n">
        <x:v>2</x:v>
      </x:c>
    </x:row>
    <x:row r="534" ht="54" hidden="0" customHeight="1">
      <x:c r="A534" s="38" t="str">
        <x:v>Q014::B0000D8G7E_review_1411879</x:v>
      </x:c>
      <x:c r="B534" s="38" t="str">
        <x:v>Q014</x:v>
      </x:c>
      <x:c r="C534" s="91" t="str">
        <x:v>Find a camera battery with long runtime and dependable build quality.</x:v>
      </x:c>
      <x:c r="D534" s="38" t="n">
        <x:v>21</x:v>
      </x:c>
      <x:c r="E534" s="38" t="str">
        <x:v>B0000D8G7E</x:v>
      </x:c>
      <x:c r="F534" s="38" t="str">
        <x:v>review</x:v>
      </x:c>
      <x:c r="G534" s="38" t="str">
        <x:v>general</x:v>
      </x:c>
      <x:c r="H534" s="38" t="str">
        <x:v>Camera &amp; Photo</x:v>
      </x:c>
      <x:c r="I534" s="91" t="str">
        <x:v>[Product: Minolta NP400 Li-ion Battery for Dimage A1 &amp; A2 Digital Cameras | ASIN: B0000D8G7E] And they last for years. Could not be more pleased with them.</x:v>
      </x:c>
      <x:c r="J534" s="101" t="n">
        <x:v>2</x:v>
      </x:c>
      <x:c r="K534" s="92" t="str">
        <x:v>Human_Reviewer_01</x:v>
      </x:c>
      <x:c r="L534" s="92" t="str">
        <x:v>High</x:v>
      </x:c>
      <x:c r="M534" s="93" t="str">
        <x:v>Digital-camera batteries explicitly last for years.</x:v>
      </x:c>
      <x:c r="N534" s="94"/>
      <x:c r="O534" s="94"/>
      <x:c r="P534" s="94"/>
      <x:c r="Q534" s="95"/>
      <x:c r="R534" s="96"/>
      <x:c r="S534" s="96"/>
      <x:c r="T534" s="97"/>
      <x:c r="U534" s="98" t="str">
        <x:f>IF(OR(J534="",N534=""),"",IF(J534=N534,"No","Yes"))</x:f>
      </x:c>
      <x:c r="V534" s="98" t="n">
        <x:v>2</x:v>
      </x:c>
    </x:row>
    <x:row r="535" ht="54" hidden="0" customHeight="1">
      <x:c r="A535" s="38" t="str">
        <x:v>Q014::B00BLRJMQ4_review_595675</x:v>
      </x:c>
      <x:c r="B535" s="38" t="str">
        <x:v>Q014</x:v>
      </x:c>
      <x:c r="C535" s="91" t="str">
        <x:v>Find a camera battery with long runtime and dependable build quality.</x:v>
      </x:c>
      <x:c r="D535" s="38" t="n">
        <x:v>22</x:v>
      </x:c>
      <x:c r="E535" s="38" t="str">
        <x:v>B00BLRJMQ4</x:v>
      </x:c>
      <x:c r="F535" s="38" t="str">
        <x:v>review</x:v>
      </x:c>
      <x:c r="G535" s="38" t="str">
        <x:v>general</x:v>
      </x:c>
      <x:c r="H535" s="38" t="str">
        <x:v>Camera &amp; Photo</x:v>
      </x:c>
      <x:c r="I535" s="91" t="str">
        <x:v>[Product: Two Halcyon 1800 mAH Lithium Ion Replacement Battery and Charger Kit for Sony Cyber-Shot DSC-HX300 20.4MP Digital Camera and Sony NP-BX1 | ASIN: B00BLRJMQ4] Dependable batteries.</x:v>
      </x:c>
      <x:c r="J535" s="101" t="n">
        <x:v>2</x:v>
      </x:c>
      <x:c r="K535" s="92" t="str">
        <x:v>Human_Reviewer_01</x:v>
      </x:c>
      <x:c r="L535" s="92" t="str">
        <x:v>High</x:v>
      </x:c>
      <x:c r="M535" s="93" t="str">
        <x:v>Camera replacement batteries are explicitly dependable.</x:v>
      </x:c>
      <x:c r="N535" s="94"/>
      <x:c r="O535" s="94"/>
      <x:c r="P535" s="94"/>
      <x:c r="Q535" s="95"/>
      <x:c r="R535" s="96"/>
      <x:c r="S535" s="96"/>
      <x:c r="T535" s="97"/>
      <x:c r="U535" s="98" t="str">
        <x:f>IF(OR(J535="",N535=""),"",IF(J535=N535,"No","Yes"))</x:f>
      </x:c>
      <x:c r="V535" s="98" t="n">
        <x:v>2</x:v>
      </x:c>
    </x:row>
    <x:row r="536" ht="54" hidden="0" customHeight="1">
      <x:c r="A536" s="38" t="str">
        <x:v>Q014::B06WWMLFJ7_review_1079831</x:v>
      </x:c>
      <x:c r="B536" s="38" t="str">
        <x:v>Q014</x:v>
      </x:c>
      <x:c r="C536" s="91" t="str">
        <x:v>Find a camera battery with long runtime and dependable build quality.</x:v>
      </x:c>
      <x:c r="D536" s="38" t="n">
        <x:v>23</x:v>
      </x:c>
      <x:c r="E536" s="38" t="str">
        <x:v>B06WWMLFJ7</x:v>
      </x:c>
      <x:c r="F536" s="38" t="str">
        <x:v>review</x:v>
      </x:c>
      <x:c r="G536" s="38" t="str">
        <x:v>build quality</x:v>
      </x:c>
      <x:c r="H536" s="38" t="str">
        <x:v>Camera &amp; Photo</x:v>
      </x:c>
      <x:c r="I536" s="91" t="str">
        <x:v>[Product: Fujifilm X-T20 Mirrorless Digital Camera w/XF18-55mmF2.8-4.0 R LM OIS Lens-Silver | ASIN: B06WWMLFJ7] Same image quality. Amazing image quality and incredibly fast AF.&lt;br /&gt;&lt;br /&gt;Cons Build quality. I am keeping 4 star rating because of the slightly inferior build quality and lack of weather sealing.</x:v>
      </x:c>
      <x:c r="J536" s="101" t="n">
        <x:v>0</x:v>
      </x:c>
      <x:c r="K536" s="92" t="str">
        <x:v>Human_Reviewer_01</x:v>
      </x:c>
      <x:c r="L536" s="92" t="str">
        <x:v>High</x:v>
      </x:c>
      <x:c r="M536" s="93" t="str">
        <x:v>This is a camera-and-lens kit, not a battery.</x:v>
      </x:c>
      <x:c r="N536" s="94"/>
      <x:c r="O536" s="94"/>
      <x:c r="P536" s="94"/>
      <x:c r="Q536" s="95"/>
      <x:c r="R536" s="96"/>
      <x:c r="S536" s="96"/>
      <x:c r="T536" s="97"/>
      <x:c r="U536" s="98" t="str">
        <x:f>IF(OR(J536="",N536=""),"",IF(J536=N536,"No","Yes"))</x:f>
      </x:c>
      <x:c r="V536" s="98" t="n">
        <x:v>0</x:v>
      </x:c>
    </x:row>
    <x:row r="537" ht="54" hidden="0" customHeight="1">
      <x:c r="A537" s="38" t="str">
        <x:v>Q014::B07RWPGWX3_review_4200827</x:v>
      </x:c>
      <x:c r="B537" s="38" t="str">
        <x:v>Q014</x:v>
      </x:c>
      <x:c r="C537" s="91" t="str">
        <x:v>Find a camera battery with long runtime and dependable build quality.</x:v>
      </x:c>
      <x:c r="D537" s="38" t="n">
        <x:v>24</x:v>
      </x:c>
      <x:c r="E537" s="38" t="str">
        <x:v>B07RWPGWX3</x:v>
      </x:c>
      <x:c r="F537" s="38" t="str">
        <x:v>review</x:v>
      </x:c>
      <x:c r="G537" s="38" t="str">
        <x:v>build quality</x:v>
      </x:c>
      <x:c r="H537" s="38" t="str">
        <x:v>Camera &amp; Photo</x:v>
      </x:c>
      <x:c r="I537" s="91" t="str">
        <x:v>[Product: Skyreat Camera Lens ND Filters Set 6 Pack-(CPL, ND8, ND16, ND32, ND64, ND1000) Compatible with DJI Osmo Action Camera Long Exposure | ASIN: B07RWPGWX3] Solid build and quality.</x:v>
      </x:c>
      <x:c r="J537" s="101" t="n">
        <x:v>0</x:v>
      </x:c>
      <x:c r="K537" s="92" t="str">
        <x:v>Human_Reviewer_01</x:v>
      </x:c>
      <x:c r="L537" s="92" t="str">
        <x:v>High</x:v>
      </x:c>
      <x:c r="M537" s="93" t="str">
        <x:v>These are camera lens filters, not batteries.</x:v>
      </x:c>
      <x:c r="N537" s="94"/>
      <x:c r="O537" s="94"/>
      <x:c r="P537" s="94"/>
      <x:c r="Q537" s="95"/>
      <x:c r="R537" s="96"/>
      <x:c r="S537" s="96"/>
      <x:c r="T537" s="97"/>
      <x:c r="U537" s="98" t="str">
        <x:f>IF(OR(J537="",N537=""),"",IF(J537=N537,"No","Yes"))</x:f>
      </x:c>
      <x:c r="V537" s="98" t="n">
        <x:v>0</x:v>
      </x:c>
    </x:row>
    <x:row r="538" ht="54" hidden="0" customHeight="1">
      <x:c r="A538" s="38" t="str">
        <x:v>Q014::B00UNNQQ34_review_1873896</x:v>
      </x:c>
      <x:c r="B538" s="38" t="str">
        <x:v>Q014</x:v>
      </x:c>
      <x:c r="C538" s="91" t="str">
        <x:v>Find a camera battery with long runtime and dependable build quality.</x:v>
      </x:c>
      <x:c r="D538" s="38" t="n">
        <x:v>25</x:v>
      </x:c>
      <x:c r="E538" s="38" t="str">
        <x:v>B00UNNQQ34</x:v>
      </x:c>
      <x:c r="F538" s="38" t="str">
        <x:v>review</x:v>
      </x:c>
      <x:c r="G538" s="38" t="str">
        <x:v>general</x:v>
      </x:c>
      <x:c r="H538" s="38" t="str">
        <x:v>Camera &amp; Photo</x:v>
      </x:c>
      <x:c r="I538" s="91" t="str">
        <x:v>[Product: MegaGear MG504 SLR, DSLR Camera Leather Wrist Strap, Brown | ASIN: B00UNNQQ34] I use this on my x100t and find it to be very dependable and attractive.</x:v>
      </x:c>
      <x:c r="J538" s="101" t="n">
        <x:v>0</x:v>
      </x:c>
      <x:c r="K538" s="92" t="str">
        <x:v>Human_Reviewer_01</x:v>
      </x:c>
      <x:c r="L538" s="92" t="str">
        <x:v>High</x:v>
      </x:c>
      <x:c r="M538" s="93" t="str">
        <x:v>This is a camera wrist strap, not a battery.</x:v>
      </x:c>
      <x:c r="N538" s="94"/>
      <x:c r="O538" s="94"/>
      <x:c r="P538" s="94"/>
      <x:c r="Q538" s="95"/>
      <x:c r="R538" s="96"/>
      <x:c r="S538" s="96"/>
      <x:c r="T538" s="97"/>
      <x:c r="U538" s="98" t="str">
        <x:f>IF(OR(J538="",N538=""),"",IF(J538=N538,"No","Yes"))</x:f>
      </x:c>
      <x:c r="V538" s="98" t="n">
        <x:v>0</x:v>
      </x:c>
    </x:row>
    <x:row r="539" ht="54" hidden="0" customHeight="1">
      <x:c r="A539" s="38" t="str">
        <x:v>Q014::B004S233D2_review_2933501</x:v>
      </x:c>
      <x:c r="B539" s="38" t="str">
        <x:v>Q014</x:v>
      </x:c>
      <x:c r="C539" s="91" t="str">
        <x:v>Find a camera battery with long runtime and dependable build quality.</x:v>
      </x:c>
      <x:c r="D539" s="38" t="n">
        <x:v>26</x:v>
      </x:c>
      <x:c r="E539" s="38" t="str">
        <x:v>B004S233D2</x:v>
      </x:c>
      <x:c r="F539" s="38" t="str">
        <x:v>review</x:v>
      </x:c>
      <x:c r="G539" s="38" t="str">
        <x:v>build quality</x:v>
      </x:c>
      <x:c r="H539" s="38" t="str">
        <x:v>Cell Phones &amp; Accessories</x:v>
      </x:c>
      <x:c r="I539" s="91" t="str">
        <x:v>[Product: Williams Sound PPA R37-00 Select FM Receiver For PPA T46, PPA T45, PPA T45NET, and PPA T27 Transmitters | ASIN: B004S233D2] They are very dependable and have great sound quality.</x:v>
      </x:c>
      <x:c r="J539" s="101" t="n">
        <x:v>0</x:v>
      </x:c>
      <x:c r="K539" s="92" t="str">
        <x:v>Human_Reviewer_01</x:v>
      </x:c>
      <x:c r="L539" s="92" t="str">
        <x:v>High</x:v>
      </x:c>
      <x:c r="M539" s="93" t="str">
        <x:v>This is an FM receiver, not a camera battery.</x:v>
      </x:c>
      <x:c r="N539" s="94"/>
      <x:c r="O539" s="94"/>
      <x:c r="P539" s="94"/>
      <x:c r="Q539" s="95"/>
      <x:c r="R539" s="96"/>
      <x:c r="S539" s="96"/>
      <x:c r="T539" s="97"/>
      <x:c r="U539" s="98" t="str">
        <x:f>IF(OR(J539="",N539=""),"",IF(J539=N539,"No","Yes"))</x:f>
      </x:c>
      <x:c r="V539" s="98" t="n">
        <x:v>0</x:v>
      </x:c>
    </x:row>
    <x:row r="540" ht="54" hidden="0" customHeight="1">
      <x:c r="A540" s="38" t="str">
        <x:v>Q014::B002LITT7O_review_1309461</x:v>
      </x:c>
      <x:c r="B540" s="38" t="str">
        <x:v>Q014</x:v>
      </x:c>
      <x:c r="C540" s="91" t="str">
        <x:v>Find a camera battery with long runtime and dependable build quality.</x:v>
      </x:c>
      <x:c r="D540" s="38" t="n">
        <x:v>27</x:v>
      </x:c>
      <x:c r="E540" s="38" t="str">
        <x:v>B002LITT7O</x:v>
      </x:c>
      <x:c r="F540" s="38" t="str">
        <x:v>review</x:v>
      </x:c>
      <x:c r="G540" s="38" t="str">
        <x:v>battery life</x:v>
      </x:c>
      <x:c r="H540" s="38" t="str">
        <x:v>Camera &amp; Photo</x:v>
      </x:c>
      <x:c r="I540" s="91" t="str">
        <x:v>[Product: Canon PowerShot SD940IS 12.1MP Digital Camera with 4x Wide Angle Optical Image Stabilized Zoom and 2.7-inch LCD (Brown) | ASIN: B002LITT7O] Very dependable and long battery life.</x:v>
      </x:c>
      <x:c r="J540" s="101" t="n">
        <x:v>0</x:v>
      </x:c>
      <x:c r="K540" s="92" t="str">
        <x:v>Human_Reviewer_01</x:v>
      </x:c>
      <x:c r="L540" s="92" t="str">
        <x:v>High</x:v>
      </x:c>
      <x:c r="M540" s="93" t="str">
        <x:v>This is a digital camera, not a standalone camera battery.</x:v>
      </x:c>
      <x:c r="N540" s="94"/>
      <x:c r="O540" s="94"/>
      <x:c r="P540" s="94"/>
      <x:c r="Q540" s="95"/>
      <x:c r="R540" s="96"/>
      <x:c r="S540" s="96"/>
      <x:c r="T540" s="97"/>
      <x:c r="U540" s="98" t="str">
        <x:f>IF(OR(J540="",N540=""),"",IF(J540=N540,"No","Yes"))</x:f>
      </x:c>
      <x:c r="V540" s="98" t="n">
        <x:v>0</x:v>
      </x:c>
    </x:row>
    <x:row r="541" ht="54" hidden="0" customHeight="1">
      <x:c r="A541" s="38" t="str">
        <x:v>Q014::B0B5L66FRT_review_1101124</x:v>
      </x:c>
      <x:c r="B541" s="38" t="str">
        <x:v>Q014</x:v>
      </x:c>
      <x:c r="C541" s="91" t="str">
        <x:v>Find a camera battery with long runtime and dependable build quality.</x:v>
      </x:c>
      <x:c r="D541" s="38" t="n">
        <x:v>28</x:v>
      </x:c>
      <x:c r="E541" s="38" t="str">
        <x:v>B0B5L66FRT</x:v>
      </x:c>
      <x:c r="F541" s="38" t="str">
        <x:v>review</x:v>
      </x:c>
      <x:c r="G541" s="38" t="str">
        <x:v>customer service</x:v>
      </x:c>
      <x:c r="H541" s="38" t="str">
        <x:v>Camera &amp; Photo</x:v>
      </x:c>
      <x:c r="I541" s="91" t="str">
        <x:v>[Product: GoPro HERO8 Black Bundle: Includes HERO8 Black Camera, Rechargeable Battery (2 Total), Protective Housing, and Carrying Case | ASIN: B0B5L66FRT] Seems I am always returning defective stuff. Wish they could build dependable products.&lt;br /&gt;UPDATE: GoPro replaced camera but the Hero8 is out of production and they sent me a Hero9 which is an upgrade BUT none of the hero8 accessories fit the Hero9!</x:v>
      </x:c>
      <x:c r="J541" s="101" t="n">
        <x:v>0</x:v>
      </x:c>
      <x:c r="K541" s="92" t="str">
        <x:v>Human_Reviewer_01</x:v>
      </x:c>
      <x:c r="L541" s="92" t="str">
        <x:v>High</x:v>
      </x:c>
      <x:c r="M541" s="93" t="str">
        <x:v>Camera-bundle defect testimony concerns the camera, not the included batteries.</x:v>
      </x:c>
      <x:c r="N541" s="94"/>
      <x:c r="O541" s="94"/>
      <x:c r="P541" s="94"/>
      <x:c r="Q541" s="95"/>
      <x:c r="R541" s="96"/>
      <x:c r="S541" s="96"/>
      <x:c r="T541" s="97"/>
      <x:c r="U541" s="98" t="str">
        <x:f>IF(OR(J541="",N541=""),"",IF(J541=N541,"No","Yes"))</x:f>
      </x:c>
      <x:c r="V541" s="98" t="n">
        <x:v>0</x:v>
      </x:c>
    </x:row>
    <x:row r="542" ht="54" hidden="0" customHeight="1">
      <x:c r="A542" s="38" t="str">
        <x:v>Q014::B002V2RRYC_review_3889011</x:v>
      </x:c>
      <x:c r="B542" s="38" t="str">
        <x:v>Q014</x:v>
      </x:c>
      <x:c r="C542" s="91" t="str">
        <x:v>Find a camera battery with long runtime and dependable build quality.</x:v>
      </x:c>
      <x:c r="D542" s="38" t="n">
        <x:v>29</x:v>
      </x:c>
      <x:c r="E542" s="38" t="str">
        <x:v>B002V2RRYC</x:v>
      </x:c>
      <x:c r="F542" s="38" t="str">
        <x:v>review</x:v>
      </x:c>
      <x:c r="G542" s="38" t="str">
        <x:v>build quality</x:v>
      </x:c>
      <x:c r="H542" s="38" t="str">
        <x:v>Camera &amp; Photo</x:v>
      </x:c>
      <x:c r="I542" s="91" t="str">
        <x:v>[Product: Vortex Optics Digital Camera Adapters | ASIN: B002V2RRYC] Functions perfectly and excellent build quality.</x:v>
      </x:c>
      <x:c r="J542" s="101" t="n">
        <x:v>0</x:v>
      </x:c>
      <x:c r="K542" s="92" t="str">
        <x:v>Human_Reviewer_01</x:v>
      </x:c>
      <x:c r="L542" s="92" t="str">
        <x:v>High</x:v>
      </x:c>
      <x:c r="M542" s="93" t="str">
        <x:v>These are camera adapters, not batteries.</x:v>
      </x:c>
      <x:c r="N542" s="94"/>
      <x:c r="O542" s="94"/>
      <x:c r="P542" s="94"/>
      <x:c r="Q542" s="95"/>
      <x:c r="R542" s="96"/>
      <x:c r="S542" s="96"/>
      <x:c r="T542" s="97"/>
      <x:c r="U542" s="98" t="str">
        <x:f>IF(OR(J542="",N542=""),"",IF(J542=N542,"No","Yes"))</x:f>
      </x:c>
      <x:c r="V542" s="98" t="n">
        <x:v>0</x:v>
      </x:c>
    </x:row>
    <x:row r="543" ht="54" hidden="0" customHeight="1">
      <x:c r="A543" s="38" t="str">
        <x:v>Q014::B003ZN8QUU_review_4166048</x:v>
      </x:c>
      <x:c r="B543" s="38" t="str">
        <x:v>Q014</x:v>
      </x:c>
      <x:c r="C543" s="91" t="str">
        <x:v>Find a camera battery with long runtime and dependable build quality.</x:v>
      </x:c>
      <x:c r="D543" s="38" t="n">
        <x:v>30</x:v>
      </x:c>
      <x:c r="E543" s="38" t="str">
        <x:v>B003ZN8QUU</x:v>
      </x:c>
      <x:c r="F543" s="38" t="str">
        <x:v>review</x:v>
      </x:c>
      <x:c r="G543" s="38" t="str">
        <x:v>build quality</x:v>
      </x:c>
      <x:c r="H543" s="38" t="str">
        <x:v>Camera &amp; Photo</x:v>
      </x:c>
      <x:c r="I543" s="91" t="str">
        <x:v>[Product: Minolta Lens MC Rokkor-X PF 1:1.7 F=50mm Camera Lens | ASIN: B003ZN8QUU] All three later generation MD's are worse in the corners, bokeh smoothness, and build quality. 50mm 1.7 strengths are great center and corner sharpness, smooth bokeh, good CA control, and superior build quality.</x:v>
      </x:c>
      <x:c r="J543" s="101" t="n">
        <x:v>0</x:v>
      </x:c>
      <x:c r="K543" s="92" t="str">
        <x:v>Human_Reviewer_01</x:v>
      </x:c>
      <x:c r="L543" s="92" t="str">
        <x:v>High</x:v>
      </x:c>
      <x:c r="M543" s="93" t="str">
        <x:v>This is a camera lens, not a battery.</x:v>
      </x:c>
      <x:c r="N543" s="94"/>
      <x:c r="O543" s="94"/>
      <x:c r="P543" s="94"/>
      <x:c r="Q543" s="95"/>
      <x:c r="R543" s="96"/>
      <x:c r="S543" s="96"/>
      <x:c r="T543" s="97"/>
      <x:c r="U543" s="98" t="str">
        <x:f>IF(OR(J543="",N543=""),"",IF(J543=N543,"No","Yes"))</x:f>
      </x:c>
      <x:c r="V543" s="98" t="n">
        <x:v>0</x:v>
      </x:c>
    </x:row>
    <x:row r="544" ht="54" hidden="0" customHeight="1">
      <x:c r="A544" s="38" t="str">
        <x:v>Q014::B06W2MD6G9_review_147440</x:v>
      </x:c>
      <x:c r="B544" s="38" t="str">
        <x:v>Q014</x:v>
      </x:c>
      <x:c r="C544" s="91" t="str">
        <x:v>Find a camera battery with long runtime and dependable build quality.</x:v>
      </x:c>
      <x:c r="D544" s="38" t="n">
        <x:v>31</x:v>
      </x:c>
      <x:c r="E544" s="38" t="str">
        <x:v>B06W2MD6G9</x:v>
      </x:c>
      <x:c r="F544" s="38" t="str">
        <x:v>review</x:v>
      </x:c>
      <x:c r="G544" s="38" t="str">
        <x:v>build quality</x:v>
      </x:c>
      <x:c r="H544" s="38" t="str">
        <x:v>Camera &amp; Photo</x:v>
      </x:c>
      <x:c r="I544" s="91" t="str">
        <x:v>[Product: Neewer NW759 7 inches HD Camera Monitor Kit with 1280x800 IPS Screen Camera Monitor, 7 inches Magic Arm, USB Dual Battery Charger,F550 Replacement Battery for Sony Canon Nikon Olympus Pentax Panasonic | ASIN: B06W2MD6G9] Great picture and build quality.</x:v>
      </x:c>
      <x:c r="J544" s="101" t="n">
        <x:v>0</x:v>
      </x:c>
      <x:c r="K544" s="92" t="str">
        <x:v>Human_Reviewer_01</x:v>
      </x:c>
      <x:c r="L544" s="92" t="str">
        <x:v>High</x:v>
      </x:c>
      <x:c r="M544" s="93" t="str">
        <x:v>Monitor kit includes a battery, but picture and construction praise does not establish battery performance.</x:v>
      </x:c>
      <x:c r="N544" s="94"/>
      <x:c r="O544" s="94"/>
      <x:c r="P544" s="94"/>
      <x:c r="Q544" s="95"/>
      <x:c r="R544" s="96"/>
      <x:c r="S544" s="96"/>
      <x:c r="T544" s="97"/>
      <x:c r="U544" s="98" t="str">
        <x:f>IF(OR(J544="",N544=""),"",IF(J544=N544,"No","Yes"))</x:f>
      </x:c>
      <x:c r="V544" s="98" t="n">
        <x:v>0</x:v>
      </x:c>
    </x:row>
    <x:row r="545" ht="54" hidden="0" customHeight="1">
      <x:c r="A545" s="38" t="str">
        <x:v>Q014::B00Z9QUZIM_review_3506035</x:v>
      </x:c>
      <x:c r="B545" s="38" t="str">
        <x:v>Q014</x:v>
      </x:c>
      <x:c r="C545" s="91" t="str">
        <x:v>Find a camera battery with long runtime and dependable build quality.</x:v>
      </x:c>
      <x:c r="D545" s="38" t="n">
        <x:v>32</x:v>
      </x:c>
      <x:c r="E545" s="38" t="str">
        <x:v>B00Z9QUZIM</x:v>
      </x:c>
      <x:c r="F545" s="38" t="str">
        <x:v>review</x:v>
      </x:c>
      <x:c r="G545" s="38" t="str">
        <x:v>design/appearance</x:v>
      </x:c>
      <x:c r="H545" s="38" t="str">
        <x:v>Camera &amp; Photo</x:v>
      </x:c>
      <x:c r="I545" s="91" t="str">
        <x:v>[Product: MaximalPower DB NIK EN-EL20 x2 ENEL20 1 J1 J2 J3 S1 SLR Digital Camera Battery (Black) | ASIN: B00Z9QUZIM] I would look to them.</x:v>
      </x:c>
      <x:c r="J545" s="101" t="n">
        <x:v>1</x:v>
      </x:c>
      <x:c r="K545" s="92" t="str">
        <x:v>Human_Reviewer_01</x:v>
      </x:c>
      <x:c r="L545" s="92" t="str">
        <x:v>High</x:v>
      </x:c>
      <x:c r="M545" s="93" t="str">
        <x:v>Correct camera batteries, but the recommendation lacks runtime or durability evidence.</x:v>
      </x:c>
      <x:c r="N545" s="94"/>
      <x:c r="O545" s="94"/>
      <x:c r="P545" s="94"/>
      <x:c r="Q545" s="95"/>
      <x:c r="R545" s="96"/>
      <x:c r="S545" s="96"/>
      <x:c r="T545" s="97"/>
      <x:c r="U545" s="98" t="str">
        <x:f>IF(OR(J545="",N545=""),"",IF(J545=N545,"No","Yes"))</x:f>
      </x:c>
      <x:c r="V545" s="98" t="n">
        <x:v>1</x:v>
      </x:c>
    </x:row>
    <x:row r="546" ht="54" hidden="0" customHeight="1">
      <x:c r="A546" s="38" t="str">
        <x:v>Q014::B07H4SZF7P_review_1984416</x:v>
      </x:c>
      <x:c r="B546" s="38" t="str">
        <x:v>Q014</x:v>
      </x:c>
      <x:c r="C546" s="91" t="str">
        <x:v>Find a camera battery with long runtime and dependable build quality.</x:v>
      </x:c>
      <x:c r="D546" s="38" t="n">
        <x:v>33</x:v>
      </x:c>
      <x:c r="E546" s="38" t="str">
        <x:v>B07H4SZF7P</x:v>
      </x:c>
      <x:c r="F546" s="38" t="str">
        <x:v>review</x:v>
      </x:c>
      <x:c r="G546" s="38" t="str">
        <x:v>build quality</x:v>
      </x:c>
      <x:c r="H546" s="38" t="str">
        <x:v>Camera &amp; Photo</x:v>
      </x:c>
      <x:c r="I546" s="91" t="str">
        <x:v>[Product: Canon 3086C002 BG-E22 Battery Grip, Black, Full-Size | ASIN: B07H4SZF7P] Power that lasts a long time, Quality build and Design that matches and becomes a solid part of the camera when attached.</x:v>
      </x:c>
      <x:c r="J546" s="101" t="n">
        <x:v>0</x:v>
      </x:c>
      <x:c r="K546" s="92" t="str">
        <x:v>Human_Reviewer_01</x:v>
      </x:c>
      <x:c r="L546" s="92" t="str">
        <x:v>High</x:v>
      </x:c>
      <x:c r="M546" s="93" t="str">
        <x:v>This is a battery grip, not a battery.</x:v>
      </x:c>
      <x:c r="N546" s="94"/>
      <x:c r="O546" s="94"/>
      <x:c r="P546" s="94"/>
      <x:c r="Q546" s="95"/>
      <x:c r="R546" s="96"/>
      <x:c r="S546" s="96"/>
      <x:c r="T546" s="97"/>
      <x:c r="U546" s="98" t="str">
        <x:f>IF(OR(J546="",N546=""),"",IF(J546=N546,"No","Yes"))</x:f>
      </x:c>
      <x:c r="V546" s="98" t="n">
        <x:v>0</x:v>
      </x:c>
    </x:row>
    <x:row r="547" ht="54" hidden="0" customHeight="1">
      <x:c r="A547" s="38" t="str">
        <x:v>Q014::B0046ZG7OI_review_2461825</x:v>
      </x:c>
      <x:c r="B547" s="38" t="str">
        <x:v>Q014</x:v>
      </x:c>
      <x:c r="C547" s="91" t="str">
        <x:v>Find a camera battery with long runtime and dependable build quality.</x:v>
      </x:c>
      <x:c r="D547" s="38" t="n">
        <x:v>34</x:v>
      </x:c>
      <x:c r="E547" s="38" t="str">
        <x:v>B0046ZG7OI</x:v>
      </x:c>
      <x:c r="F547" s="38" t="str">
        <x:v>review</x:v>
      </x:c>
      <x:c r="G547" s="38" t="str">
        <x:v>general</x:v>
      </x:c>
      <x:c r="H547" s="38" t="str">
        <x:v>Camera &amp; Photo</x:v>
      </x:c>
      <x:c r="I547" s="91" t="str">
        <x:v>[Product: Drift LLBAT Long Life Battery | ASIN: B0046ZG7OI] The Drift cameras are clearly excellent products. I have no complaints.</x:v>
      </x:c>
      <x:c r="J547" s="101" t="n">
        <x:v>1</x:v>
      </x:c>
      <x:c r="K547" s="92" t="str">
        <x:v>Human_Reviewer_01</x:v>
      </x:c>
      <x:c r="L547" s="92" t="str">
        <x:v>High</x:v>
      </x:c>
      <x:c r="M547" s="93" t="str">
        <x:v>Correct camera-battery product, but the review praises cameras rather than the battery.</x:v>
      </x:c>
      <x:c r="N547" s="94"/>
      <x:c r="O547" s="94"/>
      <x:c r="P547" s="94"/>
      <x:c r="Q547" s="95"/>
      <x:c r="R547" s="96"/>
      <x:c r="S547" s="96"/>
      <x:c r="T547" s="97"/>
      <x:c r="U547" s="98" t="str">
        <x:f>IF(OR(J547="",N547=""),"",IF(J547=N547,"No","Yes"))</x:f>
      </x:c>
      <x:c r="V547" s="98" t="n">
        <x:v>1</x:v>
      </x:c>
    </x:row>
    <x:row r="548" ht="54" hidden="0" customHeight="1">
      <x:c r="A548" s="38" t="str">
        <x:v>Q014::B00G0J3FRK_review_2362779</x:v>
      </x:c>
      <x:c r="B548" s="38" t="str">
        <x:v>Q014</x:v>
      </x:c>
      <x:c r="C548" s="91" t="str">
        <x:v>Find a camera battery with long runtime and dependable build quality.</x:v>
      </x:c>
      <x:c r="D548" s="38" t="n">
        <x:v>35</x:v>
      </x:c>
      <x:c r="E548" s="38" t="str">
        <x:v>B00G0J3FRK</x:v>
      </x:c>
      <x:c r="F548" s="38" t="str">
        <x:v>review</x:v>
      </x:c>
      <x:c r="G548" s="38" t="str">
        <x:v>price/value</x:v>
      </x:c>
      <x:c r="H548" s="38" t="str">
        <x:v>Camera &amp; Photo</x:v>
      </x:c>
      <x:c r="I548" s="91" t="str">
        <x:v>[Product: Blackmagic Design Pocket Cinema Camera Battery | ASIN: B00G0J3FRK] But it might be worth your time to look for one, I have heard it exists somewhere out there.&lt;br /&gt;&lt;br /&gt;Once</x:v>
      </x:c>
      <x:c r="J548" s="101" t="n">
        <x:v>1</x:v>
      </x:c>
      <x:c r="K548" s="92" t="str">
        <x:v>Human_Reviewer_01</x:v>
      </x:c>
      <x:c r="L548" s="92" t="str">
        <x:v>High</x:v>
      </x:c>
      <x:c r="M548" s="93" t="str">
        <x:v>Correct camera battery, but incomplete sourcing commentary gives no runtime or build evidence.</x:v>
      </x:c>
      <x:c r="N548" s="94"/>
      <x:c r="O548" s="94"/>
      <x:c r="P548" s="94"/>
      <x:c r="Q548" s="95"/>
      <x:c r="R548" s="96"/>
      <x:c r="S548" s="96"/>
      <x:c r="T548" s="97"/>
      <x:c r="U548" s="98" t="str">
        <x:f>IF(OR(J548="",N548=""),"",IF(J548=N548,"No","Yes"))</x:f>
      </x:c>
      <x:c r="V548" s="98" t="n">
        <x:v>1</x:v>
      </x:c>
    </x:row>
    <x:row r="549" ht="54" hidden="0" customHeight="1">
      <x:c r="A549" s="38" t="str">
        <x:v>Q014::B00008XY4E_review_2346776</x:v>
      </x:c>
      <x:c r="B549" s="38" t="str">
        <x:v>Q014</x:v>
      </x:c>
      <x:c r="C549" s="91" t="str">
        <x:v>Find a camera battery with long runtime and dependable build quality.</x:v>
      </x:c>
      <x:c r="D549" s="38" t="n">
        <x:v>36</x:v>
      </x:c>
      <x:c r="E549" s="38" t="str">
        <x:v>B00008XY4E</x:v>
      </x:c>
      <x:c r="F549" s="38" t="str">
        <x:v>review</x:v>
      </x:c>
      <x:c r="G549" s="38" t="str">
        <x:v>general</x:v>
      </x:c>
      <x:c r="H549" s="38" t="str">
        <x:v>Camera &amp; Photo</x:v>
      </x:c>
      <x:c r="I549" s="91" t="str">
        <x:v>[Product: Sony NP-QM71D Super Quick High Capacity InfoLithium Camcorder Battery for DCRDVD301 &amp; HDRSR1 | ASIN: B00008XY4E] Reliable. Lasts a long, long time (used it for a wedding recently)</x:v>
      </x:c>
      <x:c r="J549" s="101" t="n">
        <x:v>2</x:v>
      </x:c>
      <x:c r="K549" s="92" t="str">
        <x:v>Human_Reviewer_01</x:v>
      </x:c>
      <x:c r="L549" s="92" t="str">
        <x:v>High</x:v>
      </x:c>
      <x:c r="M549" s="93" t="str">
        <x:v>Camcorder battery is reliable and provides long wedding-recording runtime.</x:v>
      </x:c>
      <x:c r="N549" s="94"/>
      <x:c r="O549" s="94"/>
      <x:c r="P549" s="94"/>
      <x:c r="Q549" s="95"/>
      <x:c r="R549" s="96"/>
      <x:c r="S549" s="96"/>
      <x:c r="T549" s="97"/>
      <x:c r="U549" s="98" t="str">
        <x:f>IF(OR(J549="",N549=""),"",IF(J549=N549,"No","Yes"))</x:f>
      </x:c>
      <x:c r="V549" s="98" t="n">
        <x:v>2</x:v>
      </x:c>
    </x:row>
    <x:row r="550" ht="54" hidden="0" customHeight="1">
      <x:c r="A550" s="38" t="str">
        <x:v>Q014::B00005T3MW_review_1194160</x:v>
      </x:c>
      <x:c r="B550" s="38" t="str">
        <x:v>Q014</x:v>
      </x:c>
      <x:c r="C550" s="91" t="str">
        <x:v>Find a camera battery with long runtime and dependable build quality.</x:v>
      </x:c>
      <x:c r="D550" s="38" t="n">
        <x:v>37</x:v>
      </x:c>
      <x:c r="E550" s="38" t="str">
        <x:v>B00005T3MW</x:v>
      </x:c>
      <x:c r="F550" s="38" t="str">
        <x:v>review</x:v>
      </x:c>
      <x:c r="G550" s="38" t="str">
        <x:v>price/value</x:v>
      </x:c>
      <x:c r="H550" s="38" t="str">
        <x:v>Camera &amp; Photo</x:v>
      </x:c>
      <x:c r="I550" s="91" t="str">
        <x:v>[Product: Sony NPFS11 Digital Camera Battery | ASIN: B00005T3MW] Worth a try.</x:v>
      </x:c>
      <x:c r="J550" s="101" t="n">
        <x:v>1</x:v>
      </x:c>
      <x:c r="K550" s="92" t="str">
        <x:v>Human_Reviewer_01</x:v>
      </x:c>
      <x:c r="L550" s="92" t="str">
        <x:v>High</x:v>
      </x:c>
      <x:c r="M550" s="93" t="str">
        <x:v>Correct camera battery, but the recommendation is generic.</x:v>
      </x:c>
      <x:c r="N550" s="94"/>
      <x:c r="O550" s="94"/>
      <x:c r="P550" s="94"/>
      <x:c r="Q550" s="95"/>
      <x:c r="R550" s="96"/>
      <x:c r="S550" s="96"/>
      <x:c r="T550" s="97"/>
      <x:c r="U550" s="98" t="str">
        <x:f>IF(OR(J550="",N550=""),"",IF(J550=N550,"No","Yes"))</x:f>
      </x:c>
      <x:c r="V550" s="98" t="n">
        <x:v>1</x:v>
      </x:c>
    </x:row>
    <x:row r="551" ht="54" hidden="0" customHeight="1">
      <x:c r="A551" s="38" t="str">
        <x:v>Q014::B00Z9QVHHK_review_3496173</x:v>
      </x:c>
      <x:c r="B551" s="38" t="str">
        <x:v>Q014</x:v>
      </x:c>
      <x:c r="C551" s="91" t="str">
        <x:v>Find a camera battery with long runtime and dependable build quality.</x:v>
      </x:c>
      <x:c r="D551" s="38" t="n">
        <x:v>38</x:v>
      </x:c>
      <x:c r="E551" s="38" t="str">
        <x:v>B00Z9QVHHK</x:v>
      </x:c>
      <x:c r="F551" s="38" t="str">
        <x:v>review</x:v>
      </x:c>
      <x:c r="G551" s="38" t="str">
        <x:v>battery life</x:v>
      </x:c>
      <x:c r="H551" s="38" t="str">
        <x:v>Camera &amp; Photo</x:v>
      </x:c>
      <x:c r="I551" s="91" t="str">
        <x:v>[Product: Maximal Power DB OLY LI-50B Replacement Battery for Olympus Digital Camera/Camcorder | ASIN: B00Z9QVHHK] The maximal power brand really is a dependable battery.</x:v>
      </x:c>
      <x:c r="J551" s="101" t="n">
        <x:v>2</x:v>
      </x:c>
      <x:c r="K551" s="92" t="str">
        <x:v>Human_Reviewer_01</x:v>
      </x:c>
      <x:c r="L551" s="92" t="str">
        <x:v>High</x:v>
      </x:c>
      <x:c r="M551" s="93" t="str">
        <x:v>Camera replacement battery is explicitly dependable.</x:v>
      </x:c>
      <x:c r="N551" s="94"/>
      <x:c r="O551" s="94"/>
      <x:c r="P551" s="94"/>
      <x:c r="Q551" s="95"/>
      <x:c r="R551" s="96"/>
      <x:c r="S551" s="96"/>
      <x:c r="T551" s="97"/>
      <x:c r="U551" s="98" t="str">
        <x:f>IF(OR(J551="",N551=""),"",IF(J551=N551,"No","Yes"))</x:f>
      </x:c>
      <x:c r="V551" s="98" t="n">
        <x:v>2</x:v>
      </x:c>
    </x:row>
    <x:row r="552" ht="54" hidden="0" customHeight="1">
      <x:c r="A552" s="38" t="str">
        <x:v>Q014::B000E4BA5Q_review_499982</x:v>
      </x:c>
      <x:c r="B552" s="38" t="str">
        <x:v>Q014</x:v>
      </x:c>
      <x:c r="C552" s="91" t="str">
        <x:v>Find a camera battery with long runtime and dependable build quality.</x:v>
      </x:c>
      <x:c r="D552" s="38" t="n">
        <x:v>39</x:v>
      </x:c>
      <x:c r="E552" s="38" t="str">
        <x:v>B000E4BA5Q</x:v>
      </x:c>
      <x:c r="F552" s="38" t="str">
        <x:v>review</x:v>
      </x:c>
      <x:c r="G552" s="38" t="str">
        <x:v>design/appearance</x:v>
      </x:c>
      <x:c r="H552" s="38" t="str">
        <x:v>Camera &amp; Photo</x:v>
      </x:c>
      <x:c r="I552" s="91" t="str">
        <x:v>[Product: Hi-quality Camera Battery for KODAK EasyShare M340, M341, M863, M893 IS, M1063 &amp; M1073 Digital Cameras (720mAh) | ASIN: B000E4BA5Q] Just what I was looking for!</x:v>
      </x:c>
      <x:c r="J552" s="101" t="n">
        <x:v>1</x:v>
      </x:c>
      <x:c r="K552" s="92" t="str">
        <x:v>Human_Reviewer_01</x:v>
      </x:c>
      <x:c r="L552" s="92" t="str">
        <x:v>High</x:v>
      </x:c>
      <x:c r="M552" s="93" t="str">
        <x:v>Correct camera battery, but satisfaction is generic.</x:v>
      </x:c>
      <x:c r="N552" s="94"/>
      <x:c r="O552" s="94"/>
      <x:c r="P552" s="94"/>
      <x:c r="Q552" s="95"/>
      <x:c r="R552" s="96"/>
      <x:c r="S552" s="96"/>
      <x:c r="T552" s="97"/>
      <x:c r="U552" s="98" t="str">
        <x:f>IF(OR(J552="",N552=""),"",IF(J552=N552,"No","Yes"))</x:f>
      </x:c>
      <x:c r="V552" s="98" t="n">
        <x:v>1</x:v>
      </x:c>
    </x:row>
    <x:row r="553" ht="54" hidden="0" customHeight="1">
      <x:c r="A553" s="38" t="str">
        <x:v>Q014::B0046ZG7OI_review_2461839</x:v>
      </x:c>
      <x:c r="B553" s="38" t="str">
        <x:v>Q014</x:v>
      </x:c>
      <x:c r="C553" s="91" t="str">
        <x:v>Find a camera battery with long runtime and dependable build quality.</x:v>
      </x:c>
      <x:c r="D553" s="38" t="n">
        <x:v>40</x:v>
      </x:c>
      <x:c r="E553" s="38" t="str">
        <x:v>B0046ZG7OI</x:v>
      </x:c>
      <x:c r="F553" s="38" t="str">
        <x:v>review</x:v>
      </x:c>
      <x:c r="G553" s="38" t="str">
        <x:v>general</x:v>
      </x:c>
      <x:c r="H553" s="38" t="str">
        <x:v>Camera &amp; Photo</x:v>
      </x:c>
      <x:c r="I553" s="91" t="str">
        <x:v>[Product: Drift LLBAT Long Life Battery | ASIN: B0046ZG7OI] /&gt;With Perfect for most of my videoing needs.&lt;br /&gt;&lt;br However, I never change it anymore.</x:v>
      </x:c>
      <x:c r="J553" s="101" t="n">
        <x:v>1</x:v>
      </x:c>
      <x:c r="K553" s="92" t="str">
        <x:v>Human_Reviewer_01</x:v>
      </x:c>
      <x:c r="L553" s="92" t="str">
        <x:v>Medium</x:v>
      </x:c>
      <x:c r="M553" s="93" t="str">
        <x:v>Camera battery suits video use, but the incomplete replacement statement gives no clear endurance measure.</x:v>
      </x:c>
      <x:c r="N553" s="94"/>
      <x:c r="O553" s="94"/>
      <x:c r="P553" s="94"/>
      <x:c r="Q553" s="95"/>
      <x:c r="R553" s="96"/>
      <x:c r="S553" s="96"/>
      <x:c r="T553" s="97"/>
      <x:c r="U553" s="98" t="str">
        <x:f>IF(OR(J553="",N553=""),"",IF(J553=N553,"No","Yes"))</x:f>
      </x:c>
      <x:c r="V553" s="98" t="n">
        <x:v>1</x:v>
      </x:c>
    </x:row>
    <x:row r="554" ht="54" hidden="0" customHeight="1">
      <x:c r="A554" s="38" t="str">
        <x:v>Q015::B073XLJV8P_review_2307590</x:v>
      </x:c>
      <x:c r="B554" s="38" t="str">
        <x:v>Q015</x:v>
      </x:c>
      <x:c r="C554" s="91" t="str">
        <x:v>I need a camera bag that protects equipment and is comfortable to carry.</x:v>
      </x:c>
      <x:c r="D554" s="38" t="n">
        <x:v>1</x:v>
      </x:c>
      <x:c r="E554" s="38" t="str">
        <x:v>B073XLJV8P</x:v>
      </x:c>
      <x:c r="F554" s="38" t="str">
        <x:v>review</x:v>
      </x:c>
      <x:c r="G554" s="38" t="str">
        <x:v>ease of use</x:v>
      </x:c>
      <x:c r="H554" s="38" t="str">
        <x:v>Camera &amp; Photo</x:v>
      </x:c>
      <x:c r="I554" s="91" t="str">
        <x:v>[Product: SLIK Universal Large Tripod Bag for Tripods up to 30", Black | ASIN: B073XLJV8P] /&gt;It is definitely light weight, and very comfortable and easy to carry.</x:v>
      </x:c>
      <x:c r="J554" s="101" t="n">
        <x:v>0</x:v>
      </x:c>
      <x:c r="K554" s="92" t="str">
        <x:v>Human_Reviewer_01</x:v>
      </x:c>
      <x:c r="L554" s="92" t="str">
        <x:v>High</x:v>
      </x:c>
      <x:c r="M554" s="93" t="str">
        <x:v>This is a tripod bag, not a camera bag.</x:v>
      </x:c>
      <x:c r="N554" s="94"/>
      <x:c r="O554" s="94"/>
      <x:c r="P554" s="94"/>
      <x:c r="Q554" s="95"/>
      <x:c r="R554" s="96"/>
      <x:c r="S554" s="96"/>
      <x:c r="T554" s="97"/>
      <x:c r="U554" s="98" t="str">
        <x:f>IF(OR(J554="",N554=""),"",IF(J554=N554,"No","Yes"))</x:f>
      </x:c>
      <x:c r="V554" s="98" t="n">
        <x:v>0</x:v>
      </x:c>
    </x:row>
    <x:row r="555" ht="54" hidden="0" customHeight="1">
      <x:c r="A555" s="38" t="str">
        <x:v>Q015::B000RZC38K_review_3024904</x:v>
      </x:c>
      <x:c r="B555" s="38" t="str">
        <x:v>Q015</x:v>
      </x:c>
      <x:c r="C555" s="91" t="str">
        <x:v>I need a camera bag that protects equipment and is comfortable to carry.</x:v>
      </x:c>
      <x:c r="D555" s="38" t="n">
        <x:v>2</x:v>
      </x:c>
      <x:c r="E555" s="38" t="str">
        <x:v>B000RZC38K</x:v>
      </x:c>
      <x:c r="F555" s="38" t="str">
        <x:v>review</x:v>
      </x:c>
      <x:c r="G555" s="38" t="str">
        <x:v>ease of use</x:v>
      </x:c>
      <x:c r="H555" s="38" t="str">
        <x:v>Camera &amp; Photo</x:v>
      </x:c>
      <x:c r="I555" s="91" t="str">
        <x:v>[Product: National Geographic NG 2345 Earth Explorer Midi Shoulder Bag | ASIN: B000RZC38K] The look of the bag is great and it is easy and comfortable to carry.</x:v>
      </x:c>
      <x:c r="J555" s="101" t="n">
        <x:v>1</x:v>
      </x:c>
      <x:c r="K555" s="92" t="str">
        <x:v>Human_Reviewer_01</x:v>
      </x:c>
      <x:c r="L555" s="92" t="str">
        <x:v>Medium</x:v>
      </x:c>
      <x:c r="M555" s="93" t="str">
        <x:v>Shoulder bag is comfortable, but camera-specific use and protection are not established.</x:v>
      </x:c>
      <x:c r="N555" s="94"/>
      <x:c r="O555" s="94"/>
      <x:c r="P555" s="94"/>
      <x:c r="Q555" s="95"/>
      <x:c r="R555" s="96"/>
      <x:c r="S555" s="96"/>
      <x:c r="T555" s="97"/>
      <x:c r="U555" s="98" t="str">
        <x:f>IF(OR(J555="",N555=""),"",IF(J555=N555,"No","Yes"))</x:f>
      </x:c>
      <x:c r="V555" s="98" t="n">
        <x:v>1</x:v>
      </x:c>
    </x:row>
    <x:row r="556" ht="54" hidden="0" customHeight="1">
      <x:c r="A556" s="38" t="str">
        <x:v>Q015::B00EHSLAK0_review_4015807</x:v>
      </x:c>
      <x:c r="B556" s="38" t="str">
        <x:v>Q015</x:v>
      </x:c>
      <x:c r="C556" s="91" t="str">
        <x:v>I need a camera bag that protects equipment and is comfortable to carry.</x:v>
      </x:c>
      <x:c r="D556" s="38" t="n">
        <x:v>3</x:v>
      </x:c>
      <x:c r="E556" s="38" t="str">
        <x:v>B00EHSLAK0</x:v>
      </x:c>
      <x:c r="F556" s="38" t="str">
        <x:v>review</x:v>
      </x:c>
      <x:c r="G556" s="38" t="str">
        <x:v>connectivity</x:v>
      </x:c>
      <x:c r="H556" s="38" t="str">
        <x:v>Camera &amp; Photo</x:v>
      </x:c>
      <x:c r="I556" s="91" t="str">
        <x:v>[Product: RUGGARD Hunter Pro 75 DSLR Holster Bag | ASIN: B00EHSLAK0] Has nice, padded supports that you can adjust to hold the camera.</x:v>
      </x:c>
      <x:c r="J556" s="101" t="n">
        <x:v>2</x:v>
      </x:c>
      <x:c r="K556" s="92" t="str">
        <x:v>Human_Reviewer_01</x:v>
      </x:c>
      <x:c r="L556" s="92" t="str">
        <x:v>High</x:v>
      </x:c>
      <x:c r="M556" s="93" t="str">
        <x:v>Camera holster has adjustable padded supports that protect and hold the camera.</x:v>
      </x:c>
      <x:c r="N556" s="94"/>
      <x:c r="O556" s="94"/>
      <x:c r="P556" s="94"/>
      <x:c r="Q556" s="95"/>
      <x:c r="R556" s="96"/>
      <x:c r="S556" s="96"/>
      <x:c r="T556" s="97"/>
      <x:c r="U556" s="98" t="str">
        <x:f>IF(OR(J556="",N556=""),"",IF(J556=N556,"No","Yes"))</x:f>
      </x:c>
      <x:c r="V556" s="98" t="n">
        <x:v>2</x:v>
      </x:c>
    </x:row>
    <x:row r="557" ht="54" hidden="0" customHeight="1">
      <x:c r="A557" s="38" t="str">
        <x:v>Q015::B00A2ONP2E_review_4093082</x:v>
      </x:c>
      <x:c r="B557" s="38" t="str">
        <x:v>Q015</x:v>
      </x:c>
      <x:c r="C557" s="91" t="str">
        <x:v>I need a camera bag that protects equipment and is comfortable to carry.</x:v>
      </x:c>
      <x:c r="D557" s="38" t="n">
        <x:v>4</x:v>
      </x:c>
      <x:c r="E557" s="38" t="str">
        <x:v>B00A2ONP2E</x:v>
      </x:c>
      <x:c r="F557" s="38" t="str">
        <x:v>review</x:v>
      </x:c>
      <x:c r="G557" s="38" t="str">
        <x:v>design/appearance</x:v>
      </x:c>
      <x:c r="H557" s="38" t="str">
        <x:v>Camera &amp; Photo</x:v>
      </x:c>
      <x:c r="I557" s="91" t="str">
        <x:v>[Product: Tamrac 5684 Digital Zoom 4 Camera Bag (Black) | ASIN: B00A2ONP2E] I look for gear that is lightweight and can stand up to the elements.</x:v>
      </x:c>
      <x:c r="J557" s="101" t="n">
        <x:v>1</x:v>
      </x:c>
      <x:c r="K557" s="92" t="str">
        <x:v>Human_Reviewer_01</x:v>
      </x:c>
      <x:c r="L557" s="92" t="str">
        <x:v>High</x:v>
      </x:c>
      <x:c r="M557" s="93" t="str">
        <x:v>Reviewer states desired lightness and weather resistance without reporting this bag's performance.</x:v>
      </x:c>
      <x:c r="N557" s="94"/>
      <x:c r="O557" s="94"/>
      <x:c r="P557" s="94"/>
      <x:c r="Q557" s="95"/>
      <x:c r="R557" s="96"/>
      <x:c r="S557" s="96"/>
      <x:c r="T557" s="97"/>
      <x:c r="U557" s="98" t="str">
        <x:f>IF(OR(J557="",N557=""),"",IF(J557=N557,"No","Yes"))</x:f>
      </x:c>
      <x:c r="V557" s="98" t="n">
        <x:v>1</x:v>
      </x:c>
    </x:row>
    <x:row r="558" ht="54" hidden="0" customHeight="1">
      <x:c r="A558" s="38" t="str">
        <x:v>Q015::B000EXHYK2_review_1087656</x:v>
      </x:c>
      <x:c r="B558" s="38" t="str">
        <x:v>Q015</x:v>
      </x:c>
      <x:c r="C558" s="91" t="str">
        <x:v>I need a camera bag that protects equipment and is comfortable to carry.</x:v>
      </x:c>
      <x:c r="D558" s="38" t="n">
        <x:v>5</x:v>
      </x:c>
      <x:c r="E558" s="38" t="str">
        <x:v>B000EXHYK2</x:v>
      </x:c>
      <x:c r="F558" s="38" t="str">
        <x:v>review</x:v>
      </x:c>
      <x:c r="G558" s="38" t="str">
        <x:v>build quality</x:v>
      </x:c>
      <x:c r="H558" s="38" t="str">
        <x:v>Camera &amp; Photo</x:v>
      </x:c>
      <x:c r="I558" s="91" t="str">
        <x:v>[Product: Lowepro Stealth Reporter D300 AW Camera Bag | ASIN: B000EXHYK2] Good sturdy bag that fits my camera plus 5 different lenses.</x:v>
      </x:c>
      <x:c r="J558" s="101" t="n">
        <x:v>2</x:v>
      </x:c>
      <x:c r="K558" s="92" t="str">
        <x:v>Human_Reviewer_01</x:v>
      </x:c>
      <x:c r="L558" s="92" t="str">
        <x:v>High</x:v>
      </x:c>
      <x:c r="M558" s="93" t="str">
        <x:v>Camera bag is sturdy and holds a camera with five lenses.</x:v>
      </x:c>
      <x:c r="N558" s="94"/>
      <x:c r="O558" s="94"/>
      <x:c r="P558" s="94"/>
      <x:c r="Q558" s="95"/>
      <x:c r="R558" s="96"/>
      <x:c r="S558" s="96"/>
      <x:c r="T558" s="97"/>
      <x:c r="U558" s="98" t="str">
        <x:f>IF(OR(J558="",N558=""),"",IF(J558=N558,"No","Yes"))</x:f>
      </x:c>
      <x:c r="V558" s="98" t="n">
        <x:v>2</x:v>
      </x:c>
    </x:row>
    <x:row r="559" ht="54" hidden="0" customHeight="1">
      <x:c r="A559" s="38" t="str">
        <x:v>Q015::B07P67Z2TM_review_3541985</x:v>
      </x:c>
      <x:c r="B559" s="38" t="str">
        <x:v>Q015</x:v>
      </x:c>
      <x:c r="C559" s="91" t="str">
        <x:v>I need a camera bag that protects equipment and is comfortable to carry.</x:v>
      </x:c>
      <x:c r="D559" s="38" t="n">
        <x:v>6</x:v>
      </x:c>
      <x:c r="E559" s="38" t="str">
        <x:v>B07P67Z2TM</x:v>
      </x:c>
      <x:c r="F559" s="38" t="str">
        <x:v>review</x:v>
      </x:c>
      <x:c r="G559" s="38" t="str">
        <x:v>ease of use</x:v>
      </x:c>
      <x:c r="H559" s="38" t="str">
        <x:v>Camera &amp; Photo</x:v>
      </x:c>
      <x:c r="I559" s="91" t="str">
        <x:v>[Product: Canon T7 EOS Rebel DSLR Camera with EF-S 18-55mm f/3.5-5.6 is II and EF 75-300mm f/4-5.6 III Lens and Two (2) 32GB SDHC Memory Cards Plus Double Battery Accessory Bundle | ASIN: B07P67Z2TM] The camera is easy to use. The editing software is easy to use, and the camera bag is comfortable to carry.</x:v>
      </x:c>
      <x:c r="J559" s="101" t="n">
        <x:v>2</x:v>
      </x:c>
      <x:c r="K559" s="92" t="str">
        <x:v>Human_Reviewer_01</x:v>
      </x:c>
      <x:c r="L559" s="92" t="str">
        <x:v>Medium</x:v>
      </x:c>
      <x:c r="M559" s="93" t="str">
        <x:v>The camera bundle's bag is explicitly comfortable to carry. This directly addresses a central aspect, although protection is not tested.</x:v>
      </x:c>
      <x:c r="N559" s="94"/>
      <x:c r="O559" s="94"/>
      <x:c r="P559" s="94"/>
      <x:c r="Q559" s="95"/>
      <x:c r="R559" s="96"/>
      <x:c r="S559" s="96"/>
      <x:c r="T559" s="97"/>
      <x:c r="U559" s="98" t="str">
        <x:f>IF(OR(J559="",N559=""),"",IF(J559=N559,"No","Yes"))</x:f>
      </x:c>
      <x:c r="V559" s="98" t="n">
        <x:v>2</x:v>
      </x:c>
    </x:row>
    <x:row r="560" ht="54" hidden="0" customHeight="1">
      <x:c r="A560" s="38" t="str">
        <x:v>Q015::B001AYW91I_review_2908787</x:v>
      </x:c>
      <x:c r="B560" s="38" t="str">
        <x:v>Q015</x:v>
      </x:c>
      <x:c r="C560" s="91" t="str">
        <x:v>I need a camera bag that protects equipment and is comfortable to carry.</x:v>
      </x:c>
      <x:c r="D560" s="38" t="n">
        <x:v>7</x:v>
      </x:c>
      <x:c r="E560" s="38" t="str">
        <x:v>B001AYW91I</x:v>
      </x:c>
      <x:c r="F560" s="38" t="str">
        <x:v>review</x:v>
      </x:c>
      <x:c r="G560" s="38" t="str">
        <x:v>general</x:v>
      </x:c>
      <x:c r="H560" s="38" t="str">
        <x:v>Camera &amp; Photo</x:v>
      </x:c>
      <x:c r="I560" s="91" t="str">
        <x:v>[Product: MADE Products CA-2001-BLK Seattle Sling Waterproof Bag (Black) | ASIN: B001AYW91I] This bag is for the serious photographer who carries a lot of equipment. I would recommend for serious travel. It protects the camera and other equipment and is comfortable to carry. Not much to add to the other reviews that have been posted.</x:v>
      </x:c>
      <x:c r="J560" s="101" t="n">
        <x:v>2</x:v>
      </x:c>
      <x:c r="K560" s="92" t="str">
        <x:v>Human_Reviewer_01</x:v>
      </x:c>
      <x:c r="L560" s="92" t="str">
        <x:v>High</x:v>
      </x:c>
      <x:c r="M560" s="93" t="str">
        <x:v>Photographer's bag explicitly protects camera gear and is comfortable to carry.</x:v>
      </x:c>
      <x:c r="N560" s="94"/>
      <x:c r="O560" s="94"/>
      <x:c r="P560" s="94"/>
      <x:c r="Q560" s="95"/>
      <x:c r="R560" s="96"/>
      <x:c r="S560" s="96"/>
      <x:c r="T560" s="97"/>
      <x:c r="U560" s="98" t="str">
        <x:f>IF(OR(J560="",N560=""),"",IF(J560=N560,"No","Yes"))</x:f>
      </x:c>
      <x:c r="V560" s="98" t="n">
        <x:v>2</x:v>
      </x:c>
    </x:row>
    <x:row r="561" ht="54" hidden="0" customHeight="1">
      <x:c r="A561" s="38" t="str">
        <x:v>Q015::B00HYMA7GO_review_3895405</x:v>
      </x:c>
      <x:c r="B561" s="38" t="str">
        <x:v>Q015</x:v>
      </x:c>
      <x:c r="C561" s="91" t="str">
        <x:v>I need a camera bag that protects equipment and is comfortable to carry.</x:v>
      </x:c>
      <x:c r="D561" s="38" t="n">
        <x:v>8</x:v>
      </x:c>
      <x:c r="E561" s="38" t="str">
        <x:v>B00HYMA7GO</x:v>
      </x:c>
      <x:c r="F561" s="38" t="str">
        <x:v>review</x:v>
      </x:c>
      <x:c r="G561" s="38" t="str">
        <x:v>general</x:v>
      </x:c>
      <x:c r="H561" s="38" t="str">
        <x:v>Camera &amp; Photo</x:v>
      </x:c>
      <x:c r="I561" s="91" t="str">
        <x:v>[Product: Large Digital Camera / Video Padded Carrying Bag / Case for Nikon, Sony, Pentax, Olympus Panasonic, Samsung, and Canon DSLR Cameras + eCostConnection Microfiber Cloth | ASIN: B00HYMA7GO] If you are someone who travels frequently with your camera(s) and equipment, you will need something with more padding and protection. The bag's alright, but not great. Being someone who does not take my camera out much, it is alright for keeping it safe in my closet when not in use. /&gt;As for space, my Nikon D7500 and Nikor lense fit just fine with space for a few cleaning supplies. The two side pockets are not large but fit a few flashdrives, card readers, other small supplies.</x:v>
      </x:c>
      <x:c r="J561" s="101" t="n">
        <x:v>2</x:v>
      </x:c>
      <x:c r="K561" s="92" t="str">
        <x:v>Human_Reviewer_01</x:v>
      </x:c>
      <x:c r="L561" s="92" t="str">
        <x:v>High</x:v>
      </x:c>
      <x:c r="M561" s="93" t="str">
        <x:v>Camera bag has insufficient padding for frequent travel, with concrete equipment-fit evidence.</x:v>
      </x:c>
      <x:c r="N561" s="94"/>
      <x:c r="O561" s="94"/>
      <x:c r="P561" s="94"/>
      <x:c r="Q561" s="95"/>
      <x:c r="R561" s="96"/>
      <x:c r="S561" s="96"/>
      <x:c r="T561" s="97"/>
      <x:c r="U561" s="98" t="str">
        <x:f>IF(OR(J561="",N561=""),"",IF(J561=N561,"No","Yes"))</x:f>
      </x:c>
      <x:c r="V561" s="98" t="n">
        <x:v>2</x:v>
      </x:c>
    </x:row>
    <x:row r="562" ht="54" hidden="0" customHeight="1">
      <x:c r="A562" s="38" t="str">
        <x:v>Q015::B071P2JW8F_review_1602938</x:v>
      </x:c>
      <x:c r="B562" s="38" t="str">
        <x:v>Q015</x:v>
      </x:c>
      <x:c r="C562" s="91" t="str">
        <x:v>I need a camera bag that protects equipment and is comfortable to carry.</x:v>
      </x:c>
      <x:c r="D562" s="38" t="n">
        <x:v>9</x:v>
      </x:c>
      <x:c r="E562" s="38" t="str">
        <x:v>B071P2JW8F</x:v>
      </x:c>
      <x:c r="F562" s="38" t="str">
        <x:v>review</x:v>
      </x:c>
      <x:c r="G562" s="38" t="str">
        <x:v>general</x:v>
      </x:c>
      <x:c r="H562" s="38" t="str">
        <x:v>Camera &amp; Photo</x:v>
      </x:c>
      <x:c r="I562" s="91" t="str">
        <x:v>[Product: Peacechaos Vintage Canvas Leather Trim DSLR SLR Shockproof Camera Shoulder Messenger Bag | ASIN: B071P2JW8F] And very comfortable to carry.</x:v>
      </x:c>
      <x:c r="J562" s="101" t="n">
        <x:v>2</x:v>
      </x:c>
      <x:c r="K562" s="92" t="str">
        <x:v>Human_Reviewer_01</x:v>
      </x:c>
      <x:c r="L562" s="92" t="str">
        <x:v>High</x:v>
      </x:c>
      <x:c r="M562" s="93" t="str">
        <x:v>Camera shoulder bag is explicitly comfortable to carry.</x:v>
      </x:c>
      <x:c r="N562" s="94"/>
      <x:c r="O562" s="94"/>
      <x:c r="P562" s="94"/>
      <x:c r="Q562" s="95"/>
      <x:c r="R562" s="96"/>
      <x:c r="S562" s="96"/>
      <x:c r="T562" s="97"/>
      <x:c r="U562" s="98" t="str">
        <x:f>IF(OR(J562="",N562=""),"",IF(J562=N562,"No","Yes"))</x:f>
      </x:c>
      <x:c r="V562" s="98" t="n">
        <x:v>2</x:v>
      </x:c>
    </x:row>
    <x:row r="563" ht="54" hidden="0" customHeight="1">
      <x:c r="A563" s="38" t="str">
        <x:v>Q015::B01C9YDZYW_review_3164578</x:v>
      </x:c>
      <x:c r="B563" s="38" t="str">
        <x:v>Q015</x:v>
      </x:c>
      <x:c r="C563" s="91" t="str">
        <x:v>I need a camera bag that protects equipment and is comfortable to carry.</x:v>
      </x:c>
      <x:c r="D563" s="38" t="n">
        <x:v>10</x:v>
      </x:c>
      <x:c r="E563" s="38" t="str">
        <x:v>B01C9YDZYW</x:v>
      </x:c>
      <x:c r="F563" s="38" t="str">
        <x:v>review</x:v>
      </x:c>
      <x:c r="G563" s="38" t="str">
        <x:v>general</x:v>
      </x:c>
      <x:c r="H563" s="38" t="str">
        <x:v>Camera &amp; Photo</x:v>
      </x:c>
      <x:c r="I563" s="91" t="str">
        <x:v>[Product: LensCoat LW115BK LegCoat Wraps 115 (Set of 3) (Black) | ASIN: B01C9YDZYW] Fits tight and protects my tripod legs and makes it much more comfortable to carry.</x:v>
      </x:c>
      <x:c r="J563" s="101" t="n">
        <x:v>0</x:v>
      </x:c>
      <x:c r="K563" s="92" t="str">
        <x:v>Human_Reviewer_01</x:v>
      </x:c>
      <x:c r="L563" s="92" t="str">
        <x:v>High</x:v>
      </x:c>
      <x:c r="M563" s="93" t="str">
        <x:v>These are tripod-leg wraps, not a camera bag.</x:v>
      </x:c>
      <x:c r="N563" s="94"/>
      <x:c r="O563" s="94"/>
      <x:c r="P563" s="94"/>
      <x:c r="Q563" s="95"/>
      <x:c r="R563" s="96"/>
      <x:c r="S563" s="96"/>
      <x:c r="T563" s="97"/>
      <x:c r="U563" s="98" t="str">
        <x:f>IF(OR(J563="",N563=""),"",IF(J563=N563,"No","Yes"))</x:f>
      </x:c>
      <x:c r="V563" s="98" t="n">
        <x:v>0</x:v>
      </x:c>
    </x:row>
    <x:row r="564" ht="54" hidden="0" customHeight="1">
      <x:c r="A564" s="38" t="str">
        <x:v>Q015::B00009XVM0_review_1290387</x:v>
      </x:c>
      <x:c r="B564" s="38" t="str">
        <x:v>Q015</x:v>
      </x:c>
      <x:c r="C564" s="91" t="str">
        <x:v>I need a camera bag that protects equipment and is comfortable to carry.</x:v>
      </x:c>
      <x:c r="D564" s="38" t="n">
        <x:v>11</x:v>
      </x:c>
      <x:c r="E564" s="38" t="str">
        <x:v>B00009XVM0</x:v>
      </x:c>
      <x:c r="F564" s="38" t="str">
        <x:v>review</x:v>
      </x:c>
      <x:c r="G564" s="38" t="str">
        <x:v>build quality</x:v>
      </x:c>
      <x:c r="H564" s="38" t="str">
        <x:v>Camera &amp; Photo</x:v>
      </x:c>
      <x:c r="I564" s="91" t="str">
        <x:v>[Product: Domke 700-J1B Domke J-Series Camera Bag (Black) | ASIN: B00009XVM0] Quality is very high and the nylon protects your equipment from rain and is resistant to stains.</x:v>
      </x:c>
      <x:c r="J564" s="101" t="n">
        <x:v>2</x:v>
      </x:c>
      <x:c r="K564" s="92" t="str">
        <x:v>Human_Reviewer_01</x:v>
      </x:c>
      <x:c r="L564" s="92" t="str">
        <x:v>High</x:v>
      </x:c>
      <x:c r="M564" s="93" t="str">
        <x:v>Camera bag protects equipment from rain and has high material quality.</x:v>
      </x:c>
      <x:c r="N564" s="94"/>
      <x:c r="O564" s="94"/>
      <x:c r="P564" s="94"/>
      <x:c r="Q564" s="95"/>
      <x:c r="R564" s="96"/>
      <x:c r="S564" s="96"/>
      <x:c r="T564" s="97"/>
      <x:c r="U564" s="98" t="str">
        <x:f>IF(OR(J564="",N564=""),"",IF(J564=N564,"No","Yes"))</x:f>
      </x:c>
      <x:c r="V564" s="98" t="n">
        <x:v>2</x:v>
      </x:c>
    </x:row>
    <x:row r="565" ht="54" hidden="0" customHeight="1">
      <x:c r="A565" s="38" t="str">
        <x:v>Q015::B000EXM06U_review_3981439</x:v>
      </x:c>
      <x:c r="B565" s="38" t="str">
        <x:v>Q015</x:v>
      </x:c>
      <x:c r="C565" s="91" t="str">
        <x:v>I need a camera bag that protects equipment and is comfortable to carry.</x:v>
      </x:c>
      <x:c r="D565" s="38" t="n">
        <x:v>12</x:v>
      </x:c>
      <x:c r="E565" s="38" t="str">
        <x:v>B000EXM06U</x:v>
      </x:c>
      <x:c r="F565" s="38" t="str">
        <x:v>review</x:v>
      </x:c>
      <x:c r="G565" s="38" t="str">
        <x:v>sound quality</x:v>
      </x:c>
      <x:c r="H565" s="38" t="str">
        <x:v>Camera &amp; Photo</x:v>
      </x:c>
      <x:c r="I565" s="91" t="str">
        <x:v>[Product: Lowepro Stealth Reporter D650 AW Camera Bag | ASIN: B000EXM06U] Good ergonomics and layout.</x:v>
      </x:c>
      <x:c r="J565" s="101" t="n">
        <x:v>1</x:v>
      </x:c>
      <x:c r="K565" s="92" t="str">
        <x:v>Human_Reviewer_01</x:v>
      </x:c>
      <x:c r="L565" s="92" t="str">
        <x:v>High</x:v>
      </x:c>
      <x:c r="M565" s="93" t="str">
        <x:v>Camera bag ergonomics are praised generally; protection and carrying comfort are not directly described.</x:v>
      </x:c>
      <x:c r="N565" s="94"/>
      <x:c r="O565" s="94"/>
      <x:c r="P565" s="94"/>
      <x:c r="Q565" s="95"/>
      <x:c r="R565" s="96"/>
      <x:c r="S565" s="96"/>
      <x:c r="T565" s="97"/>
      <x:c r="U565" s="98" t="str">
        <x:f>IF(OR(J565="",N565=""),"",IF(J565=N565,"No","Yes"))</x:f>
      </x:c>
      <x:c r="V565" s="98" t="n">
        <x:v>1</x:v>
      </x:c>
    </x:row>
    <x:row r="566" ht="54" hidden="0" customHeight="1">
      <x:c r="A566" s="38" t="str">
        <x:v>Q015::B007525SLM_review_825270</x:v>
      </x:c>
      <x:c r="B566" s="38" t="str">
        <x:v>Q015</x:v>
      </x:c>
      <x:c r="C566" s="91" t="str">
        <x:v>I need a camera bag that protects equipment and is comfortable to carry.</x:v>
      </x:c>
      <x:c r="D566" s="38" t="n">
        <x:v>13</x:v>
      </x:c>
      <x:c r="E566" s="38" t="str">
        <x:v>B007525SLM</x:v>
      </x:c>
      <x:c r="F566" s="38" t="str">
        <x:v>review</x:v>
      </x:c>
      <x:c r="G566" s="38" t="str">
        <x:v>ease of use</x:v>
      </x:c>
      <x:c r="H566" s="38" t="str">
        <x:v>Camera &amp; Photo</x:v>
      </x:c>
      <x:c r="I566" s="91" t="str">
        <x:v>[Product: Koolertron Canvas DSLR SLR Camera Shoulder Bag Backpack Rucksack Bag For Sony Canon Nikon Olympus | ASIN: B007525SLM] It is extremely easy and comfortable to carry.</x:v>
      </x:c>
      <x:c r="J566" s="101" t="n">
        <x:v>2</x:v>
      </x:c>
      <x:c r="K566" s="92" t="str">
        <x:v>Human_Reviewer_01</x:v>
      </x:c>
      <x:c r="L566" s="92" t="str">
        <x:v>High</x:v>
      </x:c>
      <x:c r="M566" s="93" t="str">
        <x:v>Camera backpack is explicitly easy and comfortable to carry.</x:v>
      </x:c>
      <x:c r="N566" s="94"/>
      <x:c r="O566" s="94"/>
      <x:c r="P566" s="94"/>
      <x:c r="Q566" s="95"/>
      <x:c r="R566" s="96"/>
      <x:c r="S566" s="96"/>
      <x:c r="T566" s="97"/>
      <x:c r="U566" s="98" t="str">
        <x:f>IF(OR(J566="",N566=""),"",IF(J566=N566,"No","Yes"))</x:f>
      </x:c>
      <x:c r="V566" s="98" t="n">
        <x:v>2</x:v>
      </x:c>
    </x:row>
    <x:row r="567" ht="54" hidden="0" customHeight="1">
      <x:c r="A567" s="38" t="str">
        <x:v>Q015::B000LSKBP0_review_2929467</x:v>
      </x:c>
      <x:c r="B567" s="38" t="str">
        <x:v>Q015</x:v>
      </x:c>
      <x:c r="C567" s="91" t="str">
        <x:v>I need a camera bag that protects equipment and is comfortable to carry.</x:v>
      </x:c>
      <x:c r="D567" s="38" t="n">
        <x:v>14</x:v>
      </x:c>
      <x:c r="E567" s="38" t="str">
        <x:v>B000LSKBP0</x:v>
      </x:c>
      <x:c r="F567" s="38" t="str">
        <x:v>review</x:v>
      </x:c>
      <x:c r="G567" s="38" t="str">
        <x:v>general</x:v>
      </x:c>
      <x:c r="H567" s="38" t="str">
        <x:v>Camera &amp; Photo</x:v>
      </x:c>
      <x:c r="I567" s="91" t="str">
        <x:v>[Product: Nikon 5874 Deluxe Digital SLR Camera Case - Gadget Bag | ASIN: B000LSKBP0] I wanted something that had enough pockets, dividers, etc to carry my small dslr and a few lenses and batteries with room for some cleaning supplies, etc. Below is a list of what I fit into this bag and it is pretty full. The bag has soft internal dividers with velcro that you can adjust to fit your equipment. There is a netted zip pocket in the lid that you can see the contents of and a front zip pocket that has pockets for pens, paper, etc. The strap is fairly thick and the shoulder pad is soft and wide. The padding of the bag is suitable for a bit of knocking around without worry of damaging the contents.</x:v>
      </x:c>
      <x:c r="J567" s="101" t="n">
        <x:v>2</x:v>
      </x:c>
      <x:c r="K567" s="92" t="str">
        <x:v>Human_Reviewer_01</x:v>
      </x:c>
      <x:c r="L567" s="92" t="str">
        <x:v>High</x:v>
      </x:c>
      <x:c r="M567" s="93" t="str">
        <x:v>Camera bag has adjustable dividers, protective padding, and a wide soft shoulder pad.</x:v>
      </x:c>
      <x:c r="N567" s="94"/>
      <x:c r="O567" s="94"/>
      <x:c r="P567" s="94"/>
      <x:c r="Q567" s="95"/>
      <x:c r="R567" s="96"/>
      <x:c r="S567" s="96"/>
      <x:c r="T567" s="97"/>
      <x:c r="U567" s="98" t="str">
        <x:f>IF(OR(J567="",N567=""),"",IF(J567=N567,"No","Yes"))</x:f>
      </x:c>
      <x:c r="V567" s="98" t="n">
        <x:v>2</x:v>
      </x:c>
    </x:row>
    <x:row r="568" ht="54" hidden="0" customHeight="1">
      <x:c r="A568" s="38" t="str">
        <x:v>Q015::B00A2ONSF8_review_1569664</x:v>
      </x:c>
      <x:c r="B568" s="38" t="str">
        <x:v>Q015</x:v>
      </x:c>
      <x:c r="C568" s="91" t="str">
        <x:v>I need a camera bag that protects equipment and is comfortable to carry.</x:v>
      </x:c>
      <x:c r="D568" s="38" t="n">
        <x:v>15</x:v>
      </x:c>
      <x:c r="E568" s="38" t="str">
        <x:v>B00A2ONSF8</x:v>
      </x:c>
      <x:c r="F568" s="38" t="str">
        <x:v>review</x:v>
      </x:c>
      <x:c r="G568" s="38" t="str">
        <x:v>design/appearance</x:v>
      </x:c>
      <x:c r="H568" s="38" t="str">
        <x:v>Camera &amp; Photo</x:v>
      </x:c>
      <x:c r="I568" s="91" t="str">
        <x:v>[Product: Tamrac 5692 Digital 2 Camera Bag (Black) | ASIN: B00A2ONSF8] The padding is just right to protect without being too bulky.</x:v>
      </x:c>
      <x:c r="J568" s="101" t="n">
        <x:v>2</x:v>
      </x:c>
      <x:c r="K568" s="92" t="str">
        <x:v>Human_Reviewer_01</x:v>
      </x:c>
      <x:c r="L568" s="92" t="str">
        <x:v>High</x:v>
      </x:c>
      <x:c r="M568" s="93" t="str">
        <x:v>Camera bag padding protects without excess bulk.</x:v>
      </x:c>
      <x:c r="N568" s="94"/>
      <x:c r="O568" s="94"/>
      <x:c r="P568" s="94"/>
      <x:c r="Q568" s="95"/>
      <x:c r="R568" s="96"/>
      <x:c r="S568" s="96"/>
      <x:c r="T568" s="97"/>
      <x:c r="U568" s="98" t="str">
        <x:f>IF(OR(J568="",N568=""),"",IF(J568=N568,"No","Yes"))</x:f>
      </x:c>
      <x:c r="V568" s="98" t="n">
        <x:v>2</x:v>
      </x:c>
    </x:row>
    <x:row r="569" ht="54" hidden="0" customHeight="1">
      <x:c r="A569" s="38" t="str">
        <x:v>Q015::B01F8L8J3U_review_1798615</x:v>
      </x:c>
      <x:c r="B569" s="38" t="str">
        <x:v>Q015</x:v>
      </x:c>
      <x:c r="C569" s="91" t="str">
        <x:v>I need a camera bag that protects equipment and is comfortable to carry.</x:v>
      </x:c>
      <x:c r="D569" s="38" t="n">
        <x:v>16</x:v>
      </x:c>
      <x:c r="E569" s="38" t="str">
        <x:v>B01F8L8J3U</x:v>
      </x:c>
      <x:c r="F569" s="38" t="str">
        <x:v>review</x:v>
      </x:c>
      <x:c r="G569" s="38" t="str">
        <x:v>general</x:v>
      </x:c>
      <x:c r="H569" s="38" t="str">
        <x:v>Computers</x:v>
      </x:c>
      <x:c r="I569" s="91" t="str">
        <x:v>[Product: Kinmac Bohemian Blue Vertical Laptop Shoulder Messenger Bag Case Briefcase for MacBook Air Pro 13 Inch Surface Laptop Book 13.5 Inch iPad 12.9 Inch and 13.3 inch to 13.5 inch Laptop | ASIN: B01F8L8J3U] Protects my Dell laptop nicely. Comfortable to carry.</x:v>
      </x:c>
      <x:c r="J569" s="101" t="n">
        <x:v>0</x:v>
      </x:c>
      <x:c r="K569" s="92" t="str">
        <x:v>Human_Reviewer_01</x:v>
      </x:c>
      <x:c r="L569" s="92" t="str">
        <x:v>High</x:v>
      </x:c>
      <x:c r="M569" s="93" t="str">
        <x:v>This is a laptop bag, not a camera bag.</x:v>
      </x:c>
      <x:c r="N569" s="94"/>
      <x:c r="O569" s="94"/>
      <x:c r="P569" s="94"/>
      <x:c r="Q569" s="95"/>
      <x:c r="R569" s="96"/>
      <x:c r="S569" s="96"/>
      <x:c r="T569" s="97"/>
      <x:c r="U569" s="98" t="str">
        <x:f>IF(OR(J569="",N569=""),"",IF(J569=N569,"No","Yes"))</x:f>
      </x:c>
      <x:c r="V569" s="98" t="n">
        <x:v>0</x:v>
      </x:c>
    </x:row>
    <x:row r="570" ht="54" hidden="0" customHeight="1">
      <x:c r="A570" s="38" t="str">
        <x:v>Q015::B00A2ONMQS_review_81167</x:v>
      </x:c>
      <x:c r="B570" s="38" t="str">
        <x:v>Q015</x:v>
      </x:c>
      <x:c r="C570" s="91" t="str">
        <x:v>I need a camera bag that protects equipment and is comfortable to carry.</x:v>
      </x:c>
      <x:c r="D570" s="38" t="n">
        <x:v>17</x:v>
      </x:c>
      <x:c r="E570" s="38" t="str">
        <x:v>B00A2ONMQS</x:v>
      </x:c>
      <x:c r="F570" s="38" t="str">
        <x:v>review</x:v>
      </x:c>
      <x:c r="G570" s="38" t="str">
        <x:v>design/appearance</x:v>
      </x:c>
      <x:c r="H570" s="38" t="str">
        <x:v>Camera &amp; Photo</x:v>
      </x:c>
      <x:c r="I570" s="91" t="str">
        <x:v>[Product: Tamrac 5608 Pro 8 Camera Bag (Blue) | ASIN: B00A2ONMQS] I think I finally found the bag I was looking for.</x:v>
      </x:c>
      <x:c r="J570" s="101" t="n">
        <x:v>1</x:v>
      </x:c>
      <x:c r="K570" s="92" t="str">
        <x:v>Human_Reviewer_01</x:v>
      </x:c>
      <x:c r="L570" s="92" t="str">
        <x:v>High</x:v>
      </x:c>
      <x:c r="M570" s="93" t="str">
        <x:v>Camera-bag satisfaction is generic, without protection or comfort evidence.</x:v>
      </x:c>
      <x:c r="N570" s="94"/>
      <x:c r="O570" s="94"/>
      <x:c r="P570" s="94"/>
      <x:c r="Q570" s="95"/>
      <x:c r="R570" s="96"/>
      <x:c r="S570" s="96"/>
      <x:c r="T570" s="97"/>
      <x:c r="U570" s="98" t="str">
        <x:f>IF(OR(J570="",N570=""),"",IF(J570=N570,"No","Yes"))</x:f>
      </x:c>
      <x:c r="V570" s="98" t="n">
        <x:v>1</x:v>
      </x:c>
    </x:row>
    <x:row r="571" ht="54" hidden="0" customHeight="1">
      <x:c r="A571" s="38" t="str">
        <x:v>Q015::B004USLVM4_review_1126276</x:v>
      </x:c>
      <x:c r="B571" s="38" t="str">
        <x:v>Q015</x:v>
      </x:c>
      <x:c r="C571" s="91" t="str">
        <x:v>I need a camera bag that protects equipment and is comfortable to carry.</x:v>
      </x:c>
      <x:c r="D571" s="38" t="n">
        <x:v>18</x:v>
      </x:c>
      <x:c r="E571" s="38" t="str">
        <x:v>B004USLVM4</x:v>
      </x:c>
      <x:c r="F571" s="38" t="str">
        <x:v>review</x:v>
      </x:c>
      <x:c r="G571" s="38" t="str">
        <x:v>design/appearance</x:v>
      </x:c>
      <x:c r="H571" s="38" t="str">
        <x:v>Camera &amp; Photo</x:v>
      </x:c>
      <x:c r="I571" s="91" t="str">
        <x:v>[Product: Tamrac 5724014 Zuma 4 Camera bag (Black) | ASIN: B004USLVM4] I have been looking for a small bag that could hold what camera equipment that I wanted to carry.</x:v>
      </x:c>
      <x:c r="J571" s="101" t="n">
        <x:v>1</x:v>
      </x:c>
      <x:c r="K571" s="92" t="str">
        <x:v>Human_Reviewer_01</x:v>
      </x:c>
      <x:c r="L571" s="92" t="str">
        <x:v>High</x:v>
      </x:c>
      <x:c r="M571" s="93" t="str">
        <x:v>Camera-bag size is a stated purchase requirement rather than a reported protection or comfort result.</x:v>
      </x:c>
      <x:c r="N571" s="94"/>
      <x:c r="O571" s="94"/>
      <x:c r="P571" s="94"/>
      <x:c r="Q571" s="95"/>
      <x:c r="R571" s="96"/>
      <x:c r="S571" s="96"/>
      <x:c r="T571" s="97"/>
      <x:c r="U571" s="98" t="str">
        <x:f>IF(OR(J571="",N571=""),"",IF(J571=N571,"No","Yes"))</x:f>
      </x:c>
      <x:c r="V571" s="98" t="n">
        <x:v>1</x:v>
      </x:c>
    </x:row>
    <x:row r="572" ht="54" hidden="0" customHeight="1">
      <x:c r="A572" s="38" t="str">
        <x:v>Q015::B00A4H2DRC_review_4111585</x:v>
      </x:c>
      <x:c r="B572" s="38" t="str">
        <x:v>Q015</x:v>
      </x:c>
      <x:c r="C572" s="91" t="str">
        <x:v>I need a camera bag that protects equipment and is comfortable to carry.</x:v>
      </x:c>
      <x:c r="D572" s="38" t="n">
        <x:v>19</x:v>
      </x:c>
      <x:c r="E572" s="38" t="str">
        <x:v>B00A4H2DRC</x:v>
      </x:c>
      <x:c r="F572" s="38" t="str">
        <x:v>review</x:v>
      </x:c>
      <x:c r="G572" s="38" t="str">
        <x:v>ease of use</x:v>
      </x:c>
      <x:c r="H572" s="38" t="str">
        <x:v>Camera &amp; Photo</x:v>
      </x:c>
      <x:c r="I572" s="91" t="str">
        <x:v>[Product: Kelly Moore 2 Sues Shoulder Bag with Removable Basket (Black) | ASIN: B00A4H2DRC] It is easy to organize, looks great and is comfortable to carry.</x:v>
      </x:c>
      <x:c r="J572" s="101" t="n">
        <x:v>1</x:v>
      </x:c>
      <x:c r="K572" s="92" t="str">
        <x:v>Human_Reviewer_01</x:v>
      </x:c>
      <x:c r="L572" s="92" t="str">
        <x:v>Medium</x:v>
      </x:c>
      <x:c r="M572" s="93" t="str">
        <x:v>Shoulder bag has carrying comfort evidence, but camera-specific use is not established in the chunk.</x:v>
      </x:c>
      <x:c r="N572" s="94"/>
      <x:c r="O572" s="94"/>
      <x:c r="P572" s="94"/>
      <x:c r="Q572" s="95"/>
      <x:c r="R572" s="96"/>
      <x:c r="S572" s="96"/>
      <x:c r="T572" s="97"/>
      <x:c r="U572" s="98" t="str">
        <x:f>IF(OR(J572="",N572=""),"",IF(J572=N572,"No","Yes"))</x:f>
      </x:c>
      <x:c r="V572" s="98" t="n">
        <x:v>1</x:v>
      </x:c>
    </x:row>
    <x:row r="573" ht="54" hidden="0" customHeight="1">
      <x:c r="A573" s="38" t="str">
        <x:v>Q015::B00HYMA7GO_review_3895427</x:v>
      </x:c>
      <x:c r="B573" s="38" t="str">
        <x:v>Q015</x:v>
      </x:c>
      <x:c r="C573" s="91" t="str">
        <x:v>I need a camera bag that protects equipment and is comfortable to carry.</x:v>
      </x:c>
      <x:c r="D573" s="38" t="n">
        <x:v>20</x:v>
      </x:c>
      <x:c r="E573" s="38" t="str">
        <x:v>B00HYMA7GO</x:v>
      </x:c>
      <x:c r="F573" s="38" t="str">
        <x:v>review</x:v>
      </x:c>
      <x:c r="G573" s="38" t="str">
        <x:v>general</x:v>
      </x:c>
      <x:c r="H573" s="38" t="str">
        <x:v>Camera &amp; Photo</x:v>
      </x:c>
      <x:c r="I573" s="91" t="str">
        <x:v>[Product: Large Digital Camera / Video Padded Carrying Bag / Case for Nikon, Sony, Pentax, Olympus Panasonic, Samsung, and Canon DSLR Cameras + eCostConnection Microfiber Cloth | ASIN: B00HYMA7GO] I purchased this bag to carry some basic equipment for a wedding reception, and did not want to bring a large camera bag. This little bag holds my Nikon D3200 with zoom lens, viewfinder hood for shooting video, a flash for stills, a small video light, small shotgun mike, stabilizing bracket, and batteries. The padding is ok, but not as thick as you would find in a larger, sturdier bag. The bag comes with two partitions with Velcro so that you can configure the interior to suit your needs, and also has a shoulder strap.</x:v>
      </x:c>
      <x:c r="J573" s="101" t="n">
        <x:v>2</x:v>
      </x:c>
      <x:c r="K573" s="92" t="str">
        <x:v>Human_Reviewer_01</x:v>
      </x:c>
      <x:c r="L573" s="92" t="str">
        <x:v>High</x:v>
      </x:c>
      <x:c r="M573" s="93" t="str">
        <x:v>Camera bag padding is limited, with configurable dividers and an equipment-fit description.</x:v>
      </x:c>
      <x:c r="N573" s="94"/>
      <x:c r="O573" s="94"/>
      <x:c r="P573" s="94"/>
      <x:c r="Q573" s="95"/>
      <x:c r="R573" s="96"/>
      <x:c r="S573" s="96"/>
      <x:c r="T573" s="97"/>
      <x:c r="U573" s="98" t="str">
        <x:f>IF(OR(J573="",N573=""),"",IF(J573=N573,"No","Yes"))</x:f>
      </x:c>
      <x:c r="V573" s="98" t="n">
        <x:v>2</x:v>
      </x:c>
    </x:row>
    <x:row r="574" ht="54" hidden="0" customHeight="1">
      <x:c r="A574" s="38" t="str">
        <x:v>Q015::B00AFQZGH6_review_3524678</x:v>
      </x:c>
      <x:c r="B574" s="38" t="str">
        <x:v>Q015</x:v>
      </x:c>
      <x:c r="C574" s="91" t="str">
        <x:v>I need a camera bag that protects equipment and is comfortable to carry.</x:v>
      </x:c>
      <x:c r="D574" s="38" t="n">
        <x:v>21</x:v>
      </x:c>
      <x:c r="E574" s="38" t="str">
        <x:v>B00AFQZGH6</x:v>
      </x:c>
      <x:c r="F574" s="38" t="str">
        <x:v>review</x:v>
      </x:c>
      <x:c r="G574" s="38" t="str">
        <x:v>ease of use</x:v>
      </x:c>
      <x:c r="H574" s="38" t="str">
        <x:v>Computers</x:v>
      </x:c>
      <x:c r="I574" s="91" t="str">
        <x:v>[Product: Pro Tec Zip Sling Bag for iPad and Tablet (A502GX) | ASIN: B00AFQZGH6] It was easy and comfortable to carry.</x:v>
      </x:c>
      <x:c r="J574" s="101" t="n">
        <x:v>0</x:v>
      </x:c>
      <x:c r="K574" s="92" t="str">
        <x:v>Human_Reviewer_01</x:v>
      </x:c>
      <x:c r="L574" s="92" t="str">
        <x:v>High</x:v>
      </x:c>
      <x:c r="M574" s="93" t="str">
        <x:v>This is a tablet sling bag, not a camera bag.</x:v>
      </x:c>
      <x:c r="N574" s="94"/>
      <x:c r="O574" s="94"/>
      <x:c r="P574" s="94"/>
      <x:c r="Q574" s="95"/>
      <x:c r="R574" s="96"/>
      <x:c r="S574" s="96"/>
      <x:c r="T574" s="97"/>
      <x:c r="U574" s="98" t="str">
        <x:f>IF(OR(J574="",N574=""),"",IF(J574=N574,"No","Yes"))</x:f>
      </x:c>
      <x:c r="V574" s="98" t="n">
        <x:v>0</x:v>
      </x:c>
    </x:row>
    <x:row r="575" ht="54" hidden="0" customHeight="1">
      <x:c r="A575" s="38" t="str">
        <x:v>Q015::B01HEHP73G_review_4208355</x:v>
      </x:c>
      <x:c r="B575" s="38" t="str">
        <x:v>Q015</x:v>
      </x:c>
      <x:c r="C575" s="91" t="str">
        <x:v>I need a camera bag that protects equipment and is comfortable to carry.</x:v>
      </x:c>
      <x:c r="D575" s="38" t="n">
        <x:v>22</x:v>
      </x:c>
      <x:c r="E575" s="38" t="str">
        <x:v>B01HEHP73G</x:v>
      </x:c>
      <x:c r="F575" s="38" t="str">
        <x:v>review</x:v>
      </x:c>
      <x:c r="G575" s="38" t="str">
        <x:v>general</x:v>
      </x:c>
      <x:c r="H575" s="38" t="str">
        <x:v>Camera &amp; Photo</x:v>
      </x:c>
      <x:c r="I575" s="91" t="str">
        <x:v>[Product: Tenba Cooper 13 Slim Camera Bag (637-402) | ASIN: B01HEHP73G] I might have a problem with getting bags - because I seem to have so many for my cameras for my computer equipment and for me. Well, this bag has solved this issue for me. I have a sony a6300 camera with 2 zoom lens, the kit lens, a wide angle zoom, a macro lens, and a fixed lens. This holds all of those plus the camera and there is room for my iPad Pro - the largest ipad. This means I can toss my electronics in here - take my camera and gear everywhere and use it to shoot the things I love to shoot (food, wildlife, landscapes).&lt;br /&gt;The bag is protective, comfortable, and has a lot of features that protect the camera as well as the lens.</x:v>
      </x:c>
      <x:c r="J575" s="101" t="n">
        <x:v>2</x:v>
      </x:c>
      <x:c r="K575" s="92" t="str">
        <x:v>Human_Reviewer_01</x:v>
      </x:c>
      <x:c r="L575" s="92" t="str">
        <x:v>High</x:v>
      </x:c>
      <x:c r="M575" s="93" t="str">
        <x:v>Camera bag protects a camera and lenses and is comfortable to carry.</x:v>
      </x:c>
      <x:c r="N575" s="94"/>
      <x:c r="O575" s="94"/>
      <x:c r="P575" s="94"/>
      <x:c r="Q575" s="95"/>
      <x:c r="R575" s="96"/>
      <x:c r="S575" s="96"/>
      <x:c r="T575" s="97"/>
      <x:c r="U575" s="98" t="str">
        <x:f>IF(OR(J575="",N575=""),"",IF(J575=N575,"No","Yes"))</x:f>
      </x:c>
      <x:c r="V575" s="98" t="n">
        <x:v>2</x:v>
      </x:c>
    </x:row>
    <x:row r="576" ht="54" hidden="0" customHeight="1">
      <x:c r="A576" s="38" t="str">
        <x:v>Q015::B000S5EWGU_review_877542</x:v>
      </x:c>
      <x:c r="B576" s="38" t="str">
        <x:v>Q015</x:v>
      </x:c>
      <x:c r="C576" s="91" t="str">
        <x:v>I need a camera bag that protects equipment and is comfortable to carry.</x:v>
      </x:c>
      <x:c r="D576" s="38" t="n">
        <x:v>23</x:v>
      </x:c>
      <x:c r="E576" s="38" t="str">
        <x:v>B000S5EWGU</x:v>
      </x:c>
      <x:c r="F576" s="38" t="str">
        <x:v>review</x:v>
      </x:c>
      <x:c r="G576" s="38" t="str">
        <x:v>ease of use</x:v>
      </x:c>
      <x:c r="H576" s="38" t="str">
        <x:v>Computers</x:v>
      </x:c>
      <x:c r="I576" s="91" t="str">
        <x:v>[Product: Belkin Laptop Sling Bag (Jet/Cabernet) | ASIN: B000S5EWGU] The sling design makes it very easy and comfortable to carry.</x:v>
      </x:c>
      <x:c r="J576" s="101" t="n">
        <x:v>0</x:v>
      </x:c>
      <x:c r="K576" s="92" t="str">
        <x:v>Human_Reviewer_01</x:v>
      </x:c>
      <x:c r="L576" s="92" t="str">
        <x:v>High</x:v>
      </x:c>
      <x:c r="M576" s="93" t="str">
        <x:v>This is a laptop sling bag, not a camera bag.</x:v>
      </x:c>
      <x:c r="N576" s="94"/>
      <x:c r="O576" s="94"/>
      <x:c r="P576" s="94"/>
      <x:c r="Q576" s="95"/>
      <x:c r="R576" s="96"/>
      <x:c r="S576" s="96"/>
      <x:c r="T576" s="97"/>
      <x:c r="U576" s="98" t="str">
        <x:f>IF(OR(J576="",N576=""),"",IF(J576=N576,"No","Yes"))</x:f>
      </x:c>
      <x:c r="V576" s="98" t="n">
        <x:v>0</x:v>
      </x:c>
    </x:row>
    <x:row r="577" ht="54" hidden="0" customHeight="1">
      <x:c r="A577" s="38" t="str">
        <x:v>Q015::B00EHSL6IG_review_2609333</x:v>
      </x:c>
      <x:c r="B577" s="38" t="str">
        <x:v>Q015</x:v>
      </x:c>
      <x:c r="C577" s="91" t="str">
        <x:v>I need a camera bag that protects equipment and is comfortable to carry.</x:v>
      </x:c>
      <x:c r="D577" s="38" t="n">
        <x:v>24</x:v>
      </x:c>
      <x:c r="E577" s="38" t="str">
        <x:v>B00EHSL6IG</x:v>
      </x:c>
      <x:c r="F577" s="38" t="str">
        <x:v>review</x:v>
      </x:c>
      <x:c r="G577" s="38" t="str">
        <x:v>ease of use</x:v>
      </x:c>
      <x:c r="H577" s="38" t="str">
        <x:v>Camera &amp; Photo</x:v>
      </x:c>
      <x:c r="I577" s="91" t="str">
        <x:v>[Product: Ruggard Hunter Pro 45 DSLR Holster Bag | ASIN: B00EHSL6IG] Access is easy and the camera is well protected.</x:v>
      </x:c>
      <x:c r="J577" s="101" t="n">
        <x:v>2</x:v>
      </x:c>
      <x:c r="K577" s="92" t="str">
        <x:v>Human_Reviewer_01</x:v>
      </x:c>
      <x:c r="L577" s="92" t="str">
        <x:v>High</x:v>
      </x:c>
      <x:c r="M577" s="93" t="str">
        <x:v>Camera holster explicitly protects the camera and allows easy access.</x:v>
      </x:c>
      <x:c r="N577" s="94"/>
      <x:c r="O577" s="94"/>
      <x:c r="P577" s="94"/>
      <x:c r="Q577" s="95"/>
      <x:c r="R577" s="96"/>
      <x:c r="S577" s="96"/>
      <x:c r="T577" s="97"/>
      <x:c r="U577" s="98" t="str">
        <x:f>IF(OR(J577="",N577=""),"",IF(J577=N577,"No","Yes"))</x:f>
      </x:c>
      <x:c r="V577" s="98" t="n">
        <x:v>2</x:v>
      </x:c>
    </x:row>
    <x:row r="578" ht="54" hidden="0" customHeight="1">
      <x:c r="A578" s="38" t="str">
        <x:v>Q015::B07BRP42JK_review_1269344</x:v>
      </x:c>
      <x:c r="B578" s="38" t="str">
        <x:v>Q015</x:v>
      </x:c>
      <x:c r="C578" s="91" t="str">
        <x:v>I need a camera bag that protects equipment and is comfortable to carry.</x:v>
      </x:c>
      <x:c r="D578" s="38" t="n">
        <x:v>25</x:v>
      </x:c>
      <x:c r="E578" s="38" t="str">
        <x:v>B07BRP42JK</x:v>
      </x:c>
      <x:c r="F578" s="38" t="str">
        <x:v>review</x:v>
      </x:c>
      <x:c r="G578" s="38" t="str">
        <x:v>general</x:v>
      </x:c>
      <x:c r="H578" s="38" t="str">
        <x:v>Camera &amp; Photo</x:v>
      </x:c>
      <x:c r="I578" s="91" t="str">
        <x:v>[Product: Lowepro PHOTOSTREAM SP 200 Black Trolley Case – Camera Cases and Covers (Trolley Case, Universal, Compartment for Notebook, Black) | ASIN: B07BRP42JK] Great Product, complete for all my camera equipment and accessories. It allows me to carry my laptop, so that is one less bag to carry.</x:v>
      </x:c>
      <x:c r="J578" s="101" t="n">
        <x:v>1</x:v>
      </x:c>
      <x:c r="K578" s="92" t="str">
        <x:v>Human_Reviewer_01</x:v>
      </x:c>
      <x:c r="L578" s="92" t="str">
        <x:v>High</x:v>
      </x:c>
      <x:c r="M578" s="93" t="str">
        <x:v>Camera trolley capacity reduces bag count, but protection and carrying comfort are untested.</x:v>
      </x:c>
      <x:c r="N578" s="94"/>
      <x:c r="O578" s="94"/>
      <x:c r="P578" s="94"/>
      <x:c r="Q578" s="95"/>
      <x:c r="R578" s="96"/>
      <x:c r="S578" s="96"/>
      <x:c r="T578" s="97"/>
      <x:c r="U578" s="98" t="str">
        <x:f>IF(OR(J578="",N578=""),"",IF(J578=N578,"No","Yes"))</x:f>
      </x:c>
      <x:c r="V578" s="98" t="n">
        <x:v>1</x:v>
      </x:c>
    </x:row>
    <x:row r="579" ht="54" hidden="0" customHeight="1">
      <x:c r="A579" s="38" t="str">
        <x:v>Q015::B000EXHYJI_review_1661937</x:v>
      </x:c>
      <x:c r="B579" s="38" t="str">
        <x:v>Q015</x:v>
      </x:c>
      <x:c r="C579" s="91" t="str">
        <x:v>I need a camera bag that protects equipment and is comfortable to carry.</x:v>
      </x:c>
      <x:c r="D579" s="38" t="n">
        <x:v>26</x:v>
      </x:c>
      <x:c r="E579" s="38" t="str">
        <x:v>B000EXHYJI</x:v>
      </x:c>
      <x:c r="F579" s="38" t="str">
        <x:v>review</x:v>
      </x:c>
      <x:c r="G579" s="38" t="str">
        <x:v>general</x:v>
      </x:c>
      <x:c r="H579" s="38" t="str">
        <x:v>Camera &amp; Photo</x:v>
      </x:c>
      <x:c r="I579" s="91" t="str">
        <x:v>[Product: Lowepro Stealth Reporter D200 AW Camera Bag | ASIN: B000EXHYJI] I recommend.</x:v>
      </x:c>
      <x:c r="J579" s="101" t="n">
        <x:v>1</x:v>
      </x:c>
      <x:c r="K579" s="92" t="str">
        <x:v>Human_Reviewer_01</x:v>
      </x:c>
      <x:c r="L579" s="92" t="str">
        <x:v>High</x:v>
      </x:c>
      <x:c r="M579" s="93" t="str">
        <x:v>Correct camera bag, but the recommendation is generic.</x:v>
      </x:c>
      <x:c r="N579" s="94"/>
      <x:c r="O579" s="94"/>
      <x:c r="P579" s="94"/>
      <x:c r="Q579" s="95"/>
      <x:c r="R579" s="96"/>
      <x:c r="S579" s="96"/>
      <x:c r="T579" s="97"/>
      <x:c r="U579" s="98" t="str">
        <x:f>IF(OR(J579="",N579=""),"",IF(J579=N579,"No","Yes"))</x:f>
      </x:c>
      <x:c r="V579" s="98" t="n">
        <x:v>1</x:v>
      </x:c>
    </x:row>
    <x:row r="580" ht="54" hidden="0" customHeight="1">
      <x:c r="A580" s="38" t="str">
        <x:v>Q015::B008HP9D9O_review_2306889</x:v>
      </x:c>
      <x:c r="B580" s="38" t="str">
        <x:v>Q015</x:v>
      </x:c>
      <x:c r="C580" s="91" t="str">
        <x:v>I need a camera bag that protects equipment and is comfortable to carry.</x:v>
      </x:c>
      <x:c r="D580" s="38" t="n">
        <x:v>27</x:v>
      </x:c>
      <x:c r="E580" s="38" t="str">
        <x:v>B008HP9D9O</x:v>
      </x:c>
      <x:c r="F580" s="38" t="str">
        <x:v>review</x:v>
      </x:c>
      <x:c r="G580" s="38" t="str">
        <x:v>design/appearance</x:v>
      </x:c>
      <x:c r="H580" s="38" t="str">
        <x:v>Camera &amp; Photo</x:v>
      </x:c>
      <x:c r="I580" s="91" t="str">
        <x:v>[Product: Crumpler Pleasure Dome Camera Bag (S) PD1001-B00G40 - Black | ASIN: B008HP9D9O] I wanted a bag that was just large enough for my camera, that would protect it without being too bulky.</x:v>
      </x:c>
      <x:c r="J580" s="101" t="n">
        <x:v>1</x:v>
      </x:c>
      <x:c r="K580" s="92" t="str">
        <x:v>Human_Reviewer_01</x:v>
      </x:c>
      <x:c r="L580" s="92" t="str">
        <x:v>High</x:v>
      </x:c>
      <x:c r="M580" s="93" t="str">
        <x:v>Desired protection and size are stated without an achieved-result observation.</x:v>
      </x:c>
      <x:c r="N580" s="94"/>
      <x:c r="O580" s="94"/>
      <x:c r="P580" s="94"/>
      <x:c r="Q580" s="95"/>
      <x:c r="R580" s="96"/>
      <x:c r="S580" s="96"/>
      <x:c r="T580" s="97"/>
      <x:c r="U580" s="98" t="str">
        <x:f>IF(OR(J580="",N580=""),"",IF(J580=N580,"No","Yes"))</x:f>
      </x:c>
      <x:c r="V580" s="98" t="n">
        <x:v>1</x:v>
      </x:c>
    </x:row>
    <x:row r="581" ht="54" hidden="0" customHeight="1">
      <x:c r="A581" s="38" t="str">
        <x:v>Q015::B00UJ1L194_review_4242743</x:v>
      </x:c>
      <x:c r="B581" s="38" t="str">
        <x:v>Q015</x:v>
      </x:c>
      <x:c r="C581" s="91" t="str">
        <x:v>I need a camera bag that protects equipment and is comfortable to carry.</x:v>
      </x:c>
      <x:c r="D581" s="38" t="n">
        <x:v>28</x:v>
      </x:c>
      <x:c r="E581" s="38" t="str">
        <x:v>B00UJ1L194</x:v>
      </x:c>
      <x:c r="F581" s="38" t="str">
        <x:v>review</x:v>
      </x:c>
      <x:c r="G581" s="38" t="str">
        <x:v>connectivity</x:v>
      </x:c>
      <x:c r="H581" s="38" t="str">
        <x:v>Camera &amp; Photo</x:v>
      </x:c>
      <x:c r="I581" s="91" t="str">
        <x:v>[Product: Vanguard The Heralder 17Z Zoom Camera Bag (Black) | ASIN: B00UJ1L194] Comfortable yet able to carry most of my gear (e.g., DSL, lenses, etc.) and most importantly a separate and removable sleeve for&lt;br /&gt;an</x:v>
      </x:c>
      <x:c r="J581" s="101" t="n">
        <x:v>2</x:v>
      </x:c>
      <x:c r="K581" s="92" t="str">
        <x:v>Human_Reviewer_01</x:v>
      </x:c>
      <x:c r="L581" s="92" t="str">
        <x:v>High</x:v>
      </x:c>
      <x:c r="M581" s="93" t="str">
        <x:v>Camera bag is comfortable and carries camera gear.</x:v>
      </x:c>
      <x:c r="N581" s="94"/>
      <x:c r="O581" s="94"/>
      <x:c r="P581" s="94"/>
      <x:c r="Q581" s="95"/>
      <x:c r="R581" s="96"/>
      <x:c r="S581" s="96"/>
      <x:c r="T581" s="97"/>
      <x:c r="U581" s="98" t="str">
        <x:f>IF(OR(J581="",N581=""),"",IF(J581=N581,"No","Yes"))</x:f>
      </x:c>
      <x:c r="V581" s="98" t="n">
        <x:v>2</x:v>
      </x:c>
    </x:row>
    <x:row r="582" ht="54" hidden="0" customHeight="1">
      <x:c r="A582" s="38" t="str">
        <x:v>Q015::B001H6W798_review_1623162</x:v>
      </x:c>
      <x:c r="B582" s="38" t="str">
        <x:v>Q015</x:v>
      </x:c>
      <x:c r="C582" s="91" t="str">
        <x:v>I need a camera bag that protects equipment and is comfortable to carry.</x:v>
      </x:c>
      <x:c r="D582" s="38" t="n">
        <x:v>29</x:v>
      </x:c>
      <x:c r="E582" s="38" t="str">
        <x:v>B001H6W798</x:v>
      </x:c>
      <x:c r="F582" s="38" t="str">
        <x:v>review</x:v>
      </x:c>
      <x:c r="G582" s="38" t="str">
        <x:v>design/appearance</x:v>
      </x:c>
      <x:c r="H582" s="38" t="str">
        <x:v>Camera &amp; Photo</x:v>
      </x:c>
      <x:c r="I582" s="91" t="str">
        <x:v>[Product: Lowepro Topload Zoom 1 Camera Bag -Black | ASIN: B001H6W798] Protective without being oversized or bulky.</x:v>
      </x:c>
      <x:c r="J582" s="101" t="n">
        <x:v>2</x:v>
      </x:c>
      <x:c r="K582" s="92" t="str">
        <x:v>Human_Reviewer_01</x:v>
      </x:c>
      <x:c r="L582" s="92" t="str">
        <x:v>High</x:v>
      </x:c>
      <x:c r="M582" s="93" t="str">
        <x:v>Camera bag is protective without excessive size or bulk.</x:v>
      </x:c>
      <x:c r="N582" s="94"/>
      <x:c r="O582" s="94"/>
      <x:c r="P582" s="94"/>
      <x:c r="Q582" s="95"/>
      <x:c r="R582" s="96"/>
      <x:c r="S582" s="96"/>
      <x:c r="T582" s="97"/>
      <x:c r="U582" s="98" t="str">
        <x:f>IF(OR(J582="",N582=""),"",IF(J582=N582,"No","Yes"))</x:f>
      </x:c>
      <x:c r="V582" s="98" t="n">
        <x:v>2</x:v>
      </x:c>
    </x:row>
    <x:row r="583" ht="54" hidden="0" customHeight="1">
      <x:c r="A583" s="38" t="str">
        <x:v>Q015::B008X4ULWW_review_3811856</x:v>
      </x:c>
      <x:c r="B583" s="38" t="str">
        <x:v>Q015</x:v>
      </x:c>
      <x:c r="C583" s="91" t="str">
        <x:v>I need a camera bag that protects equipment and is comfortable to carry.</x:v>
      </x:c>
      <x:c r="D583" s="38" t="n">
        <x:v>30</x:v>
      </x:c>
      <x:c r="E583" s="38" t="str">
        <x:v>B008X4ULWW</x:v>
      </x:c>
      <x:c r="F583" s="38" t="str">
        <x:v>review</x:v>
      </x:c>
      <x:c r="G583" s="38" t="str">
        <x:v>design/appearance</x:v>
      </x:c>
      <x:c r="H583" s="38" t="str">
        <x:v>Camera &amp; Photo</x:v>
      </x:c>
      <x:c r="I583" s="91" t="str">
        <x:v>[Product: Vanguard BIIN 47 Backpack (Black) | ASIN: B008X4ULWW] What I needed was a bag that would securely hold my camera (Canon Rebel T2i) but that did not look like a "camera bag" (for safety reasons), that has space for personal items (water bottle, snack, guidebook, wallet, etc.), that was comfortable to wear for hours at a time, and that fit me and felt secure (so it would not be stolen off of me). The bag does not look like a traditional "camera bag"; the attractive rust-orange color helps with that, as does the slimmer size.</x:v>
      </x:c>
      <x:c r="J583" s="101" t="n">
        <x:v>1</x:v>
      </x:c>
      <x:c r="K583" s="92" t="str">
        <x:v>Human_Reviewer_01</x:v>
      </x:c>
      <x:c r="L583" s="92" t="str">
        <x:v>High</x:v>
      </x:c>
      <x:c r="M583" s="93" t="str">
        <x:v>Camera-bag appearance is observed, but comfortable wearing and protection are only stated needs.</x:v>
      </x:c>
      <x:c r="N583" s="94"/>
      <x:c r="O583" s="94"/>
      <x:c r="P583" s="94"/>
      <x:c r="Q583" s="95"/>
      <x:c r="R583" s="96"/>
      <x:c r="S583" s="96"/>
      <x:c r="T583" s="97"/>
      <x:c r="U583" s="98" t="str">
        <x:f>IF(OR(J583="",N583=""),"",IF(J583=N583,"No","Yes"))</x:f>
      </x:c>
      <x:c r="V583" s="98" t="n">
        <x:v>1</x:v>
      </x:c>
    </x:row>
    <x:row r="584" ht="54" hidden="0" customHeight="1">
      <x:c r="A584" s="38" t="str">
        <x:v>Q015::B00EI3RUA8_review_4197289</x:v>
      </x:c>
      <x:c r="B584" s="38" t="str">
        <x:v>Q015</x:v>
      </x:c>
      <x:c r="C584" s="91" t="str">
        <x:v>I need a camera bag that protects equipment and is comfortable to carry.</x:v>
      </x:c>
      <x:c r="D584" s="38" t="n">
        <x:v>31</x:v>
      </x:c>
      <x:c r="E584" s="38" t="str">
        <x:v>B00EI3RUA8</x:v>
      </x:c>
      <x:c r="F584" s="38" t="str">
        <x:v>review</x:v>
      </x:c>
      <x:c r="G584" s="38" t="str">
        <x:v>general</x:v>
      </x:c>
      <x:c r="H584" s="38" t="str">
        <x:v>Camera &amp; Photo</x:v>
      </x:c>
      <x:c r="I584" s="91" t="str">
        <x:v>[Product: Jo Totes Gracie Camera Bag, Mint | ASIN: B00EI3RUA8] The perfect bag for travel! It is a great carry on bag because I am able to fly with my ipad, camera body and two lenses in this. It is also great for a smaller photoshoot. Lightweight and comfortable to carry.</x:v>
      </x:c>
      <x:c r="J584" s="101" t="n">
        <x:v>2</x:v>
      </x:c>
      <x:c r="K584" s="92" t="str">
        <x:v>Human_Reviewer_01</x:v>
      </x:c>
      <x:c r="L584" s="92" t="str">
        <x:v>High</x:v>
      </x:c>
      <x:c r="M584" s="93" t="str">
        <x:v>Camera bag carries camera gear and is explicitly lightweight and comfortable.</x:v>
      </x:c>
      <x:c r="N584" s="94"/>
      <x:c r="O584" s="94"/>
      <x:c r="P584" s="94"/>
      <x:c r="Q584" s="95"/>
      <x:c r="R584" s="96"/>
      <x:c r="S584" s="96"/>
      <x:c r="T584" s="97"/>
      <x:c r="U584" s="98" t="str">
        <x:f>IF(OR(J584="",N584=""),"",IF(J584=N584,"No","Yes"))</x:f>
      </x:c>
      <x:c r="V584" s="98" t="n">
        <x:v>2</x:v>
      </x:c>
    </x:row>
    <x:row r="585" ht="54" hidden="0" customHeight="1">
      <x:c r="A585" s="38" t="str">
        <x:v>Q015::B00EPCCHL4_review_3732852</x:v>
      </x:c>
      <x:c r="B585" s="38" t="str">
        <x:v>Q015</x:v>
      </x:c>
      <x:c r="C585" s="91" t="str">
        <x:v>I need a camera bag that protects equipment and is comfortable to carry.</x:v>
      </x:c>
      <x:c r="D585" s="38" t="n">
        <x:v>32</x:v>
      </x:c>
      <x:c r="E585" s="38" t="str">
        <x:v>B00EPCCHL4</x:v>
      </x:c>
      <x:c r="F585" s="38" t="str">
        <x:v>review</x:v>
      </x:c>
      <x:c r="G585" s="38" t="str">
        <x:v>general</x:v>
      </x:c>
      <x:c r="H585" s="38" t="str">
        <x:v>Camera &amp; Photo</x:v>
      </x:c>
      <x:c r="I585" s="91" t="str">
        <x:v>[Product: Caden 1669275 F1 DSLR Camera Shoulder Case Strap Bag Portable Diagonal Brown for Canon Nikon Sony Olympus Pentax | ASIN: B00EPCCHL4] It is roomy, the padding and protection for the camera and lenses is excellent. The small, zippered interior pocket is handy as well. A handle other than the shoulder strap would be useful.</x:v>
      </x:c>
      <x:c r="J585" s="101" t="n">
        <x:v>2</x:v>
      </x:c>
      <x:c r="K585" s="92" t="str">
        <x:v>Human_Reviewer_01</x:v>
      </x:c>
      <x:c r="L585" s="92" t="str">
        <x:v>High</x:v>
      </x:c>
      <x:c r="M585" s="93" t="str">
        <x:v>Camera bag has excellent padding and protection for camera and lenses.</x:v>
      </x:c>
      <x:c r="N585" s="94"/>
      <x:c r="O585" s="94"/>
      <x:c r="P585" s="94"/>
      <x:c r="Q585" s="95"/>
      <x:c r="R585" s="96"/>
      <x:c r="S585" s="96"/>
      <x:c r="T585" s="97"/>
      <x:c r="U585" s="98" t="str">
        <x:f>IF(OR(J585="",N585=""),"",IF(J585=N585,"No","Yes"))</x:f>
      </x:c>
      <x:c r="V585" s="98" t="n">
        <x:v>2</x:v>
      </x:c>
    </x:row>
    <x:row r="586" ht="54" hidden="0" customHeight="1">
      <x:c r="A586" s="38" t="str">
        <x:v>Q015::B0155YDJTY_review_2298438</x:v>
      </x:c>
      <x:c r="B586" s="38" t="str">
        <x:v>Q015</x:v>
      </x:c>
      <x:c r="C586" s="91" t="str">
        <x:v>I need a camera bag that protects equipment and is comfortable to carry.</x:v>
      </x:c>
      <x:c r="D586" s="38" t="n">
        <x:v>33</x:v>
      </x:c>
      <x:c r="E586" s="38" t="str">
        <x:v>B0155YDJTY</x:v>
      </x:c>
      <x:c r="F586" s="38" t="str">
        <x:v>review</x:v>
      </x:c>
      <x:c r="G586" s="38" t="str">
        <x:v>general</x:v>
      </x:c>
      <x:c r="H586" s="38" t="str">
        <x:v>Camera &amp; Photo</x:v>
      </x:c>
      <x:c r="I586" s="91" t="str">
        <x:v>[Product: Nikon 17008 Large Pro DSLR Camera Bag | ASIN: B0155YDJTY] This was a perfect size for all the Nikon DSLR camera equipment I have, and need to carry. Extremely happy with my purchase.</x:v>
      </x:c>
      <x:c r="J586" s="101" t="n">
        <x:v>1</x:v>
      </x:c>
      <x:c r="K586" s="92" t="str">
        <x:v>Human_Reviewer_01</x:v>
      </x:c>
      <x:c r="L586" s="92" t="str">
        <x:v>High</x:v>
      </x:c>
      <x:c r="M586" s="93" t="str">
        <x:v>Camera bag has useful capacity evidence, but protection and comfort are not addressed.</x:v>
      </x:c>
      <x:c r="N586" s="94"/>
      <x:c r="O586" s="94"/>
      <x:c r="P586" s="94"/>
      <x:c r="Q586" s="95"/>
      <x:c r="R586" s="96"/>
      <x:c r="S586" s="96"/>
      <x:c r="T586" s="97"/>
      <x:c r="U586" s="98" t="str">
        <x:f>IF(OR(J586="",N586=""),"",IF(J586=N586,"No","Yes"))</x:f>
      </x:c>
      <x:c r="V586" s="98" t="n">
        <x:v>1</x:v>
      </x:c>
    </x:row>
    <x:row r="587" ht="54" hidden="0" customHeight="1">
      <x:c r="A587" s="38" t="str">
        <x:v>Q015::B08BLBZ6TV_review_2129134</x:v>
      </x:c>
      <x:c r="B587" s="38" t="str">
        <x:v>Q015</x:v>
      </x:c>
      <x:c r="C587" s="91" t="str">
        <x:v>I need a camera bag that protects equipment and is comfortable to carry.</x:v>
      </x:c>
      <x:c r="D587" s="38" t="n">
        <x:v>34</x:v>
      </x:c>
      <x:c r="E587" s="38" t="str">
        <x:v>B08BLBZ6TV</x:v>
      </x:c>
      <x:c r="F587" s="38" t="str">
        <x:v>review</x:v>
      </x:c>
      <x:c r="G587" s="38" t="str">
        <x:v>design/appearance</x:v>
      </x:c>
      <x:c r="H587" s="38" t="str">
        <x:v>Computers</x:v>
      </x:c>
      <x:c r="I587" s="91" t="str">
        <x:v>[Product: sinotron Laptop Backpack | ASIN: B08BLBZ6TV] The bag look so stylish and very comfortable to carry.</x:v>
      </x:c>
      <x:c r="J587" s="101" t="n">
        <x:v>0</x:v>
      </x:c>
      <x:c r="K587" s="92" t="str">
        <x:v>Human_Reviewer_01</x:v>
      </x:c>
      <x:c r="L587" s="92" t="str">
        <x:v>High</x:v>
      </x:c>
      <x:c r="M587" s="93" t="str">
        <x:v>This is a laptop backpack, not a camera bag.</x:v>
      </x:c>
      <x:c r="N587" s="94"/>
      <x:c r="O587" s="94"/>
      <x:c r="P587" s="94"/>
      <x:c r="Q587" s="95"/>
      <x:c r="R587" s="96"/>
      <x:c r="S587" s="96"/>
      <x:c r="T587" s="97"/>
      <x:c r="U587" s="98" t="str">
        <x:f>IF(OR(J587="",N587=""),"",IF(J587=N587,"No","Yes"))</x:f>
      </x:c>
      <x:c r="V587" s="98" t="n">
        <x:v>0</x:v>
      </x:c>
    </x:row>
    <x:row r="588" ht="54" hidden="0" customHeight="1">
      <x:c r="A588" s="38" t="str">
        <x:v>Q015::B00DM1XO98_review_1248078</x:v>
      </x:c>
      <x:c r="B588" s="38" t="str">
        <x:v>Q015</x:v>
      </x:c>
      <x:c r="C588" s="91" t="str">
        <x:v>I need a camera bag that protects equipment and is comfortable to carry.</x:v>
      </x:c>
      <x:c r="D588" s="38" t="n">
        <x:v>35</x:v>
      </x:c>
      <x:c r="E588" s="38" t="str">
        <x:v>B00DM1XO98</x:v>
      </x:c>
      <x:c r="F588" s="38" t="str">
        <x:v>review</x:v>
      </x:c>
      <x:c r="G588" s="38" t="str">
        <x:v>general</x:v>
      </x:c>
      <x:c r="H588" s="38" t="str">
        <x:v>Camera &amp; Photo</x:v>
      </x:c>
      <x:c r="I588" s="91" t="str">
        <x:v>[Product: DryZone DF 20 Waterproof Camera Duffle Bag From Lowepro – Protect Your Camera And Gear From Even The Most Wet Conditions | ASIN: B00DM1XO98] This is a perfect waterproof camera bag. Plenty of room and comfortable to carry. Only bag to have if there is a chance of wet weather.</x:v>
      </x:c>
      <x:c r="J588" s="101" t="n">
        <x:v>2</x:v>
      </x:c>
      <x:c r="K588" s="92" t="str">
        <x:v>Human_Reviewer_01</x:v>
      </x:c>
      <x:c r="L588" s="92" t="str">
        <x:v>High</x:v>
      </x:c>
      <x:c r="M588" s="93" t="str">
        <x:v>Camera bag is waterproof and comfortable to carry.</x:v>
      </x:c>
      <x:c r="N588" s="94"/>
      <x:c r="O588" s="94"/>
      <x:c r="P588" s="94"/>
      <x:c r="Q588" s="95"/>
      <x:c r="R588" s="96"/>
      <x:c r="S588" s="96"/>
      <x:c r="T588" s="97"/>
      <x:c r="U588" s="98" t="str">
        <x:f>IF(OR(J588="",N588=""),"",IF(J588=N588,"No","Yes"))</x:f>
      </x:c>
      <x:c r="V588" s="98" t="n">
        <x:v>2</x:v>
      </x:c>
    </x:row>
    <x:row r="589" ht="54" hidden="0" customHeight="1">
      <x:c r="A589" s="38" t="str">
        <x:v>Q015::B000YA6JA6_review_2733504</x:v>
      </x:c>
      <x:c r="B589" s="38" t="str">
        <x:v>Q015</x:v>
      </x:c>
      <x:c r="C589" s="91" t="str">
        <x:v>I need a camera bag that protects equipment and is comfortable to carry.</x:v>
      </x:c>
      <x:c r="D589" s="38" t="n">
        <x:v>36</x:v>
      </x:c>
      <x:c r="E589" s="38" t="str">
        <x:v>B000YA6JA6</x:v>
      </x:c>
      <x:c r="F589" s="38" t="str">
        <x:v>review</x:v>
      </x:c>
      <x:c r="G589" s="38" t="str">
        <x:v>design/appearance</x:v>
      </x:c>
      <x:c r="H589" s="38" t="str">
        <x:v>Camera &amp; Photo</x:v>
      </x:c>
      <x:c r="I589" s="91" t="str">
        <x:v>[Product: Lowepro Flipside 300 Backpack (Red) | ASIN: B000YA6JA6] I was looking for a camera bag that would be big enough for my equipment while at the same time protect it from damage. I looked at many bags and this one fit the bill. I am a professional photographer and this bag was just what I was looking for.</x:v>
      </x:c>
      <x:c r="J589" s="101" t="n">
        <x:v>2</x:v>
      </x:c>
      <x:c r="K589" s="92" t="str">
        <x:v>Human_Reviewer_01</x:v>
      </x:c>
      <x:c r="L589" s="92" t="str">
        <x:v>Medium</x:v>
      </x:c>
      <x:c r="M589" s="93" t="str">
        <x:v>Photographer affirms that the bag meets equipment-capacity and damage-protection needs, without technical detail.</x:v>
      </x:c>
      <x:c r="N589" s="94"/>
      <x:c r="O589" s="94"/>
      <x:c r="P589" s="94"/>
      <x:c r="Q589" s="95"/>
      <x:c r="R589" s="96"/>
      <x:c r="S589" s="96"/>
      <x:c r="T589" s="97"/>
      <x:c r="U589" s="98" t="str">
        <x:f>IF(OR(J589="",N589=""),"",IF(J589=N589,"No","Yes"))</x:f>
      </x:c>
      <x:c r="V589" s="98" t="n">
        <x:v>2</x:v>
      </x:c>
    </x:row>
    <x:row r="590" ht="54" hidden="0" customHeight="1">
      <x:c r="A590" s="38" t="str">
        <x:v>Q015::B00BPZCY7G_review_1673136</x:v>
      </x:c>
      <x:c r="B590" s="38" t="str">
        <x:v>Q015</x:v>
      </x:c>
      <x:c r="C590" s="91" t="str">
        <x:v>I need a camera bag that protects equipment and is comfortable to carry.</x:v>
      </x:c>
      <x:c r="D590" s="38" t="n">
        <x:v>37</x:v>
      </x:c>
      <x:c r="E590" s="38" t="str">
        <x:v>B00BPZCY7G</x:v>
      </x:c>
      <x:c r="F590" s="38" t="str">
        <x:v>review</x:v>
      </x:c>
      <x:c r="G590" s="38" t="str">
        <x:v>build quality</x:v>
      </x:c>
      <x:c r="H590" s="38" t="str">
        <x:v>Camera &amp; Photo</x:v>
      </x:c>
      <x:c r="I590" s="91" t="str">
        <x:v>[Product: Tamrac Velocity 8z Photo Sling Pack - Black/Gray | ASIN: B00BPZCY7G] I wanted a sling camera bag of high quality, good protective properties (well padded), intelligent compartments for my gear, comfortable to wear, attractive looking, and very specifically a bag that would fit my Canon T3i with Canon 100-400 lens attached. It is attractive, sturdy, comfortable to wear, the center compartment is a perfect fit for my camera and large lens, and I have room to carry a speed light, and a couple of other lenses and the accessories that I want to carry.</x:v>
      </x:c>
      <x:c r="J590" s="101" t="n">
        <x:v>2</x:v>
      </x:c>
      <x:c r="K590" s="92" t="str">
        <x:v>Human_Reviewer_01</x:v>
      </x:c>
      <x:c r="L590" s="92" t="str">
        <x:v>High</x:v>
      </x:c>
      <x:c r="M590" s="93" t="str">
        <x:v>Camera bag is sturdy and comfortable with exact camera-and-lens fit evidence.</x:v>
      </x:c>
      <x:c r="N590" s="94"/>
      <x:c r="O590" s="94"/>
      <x:c r="P590" s="94"/>
      <x:c r="Q590" s="95"/>
      <x:c r="R590" s="96"/>
      <x:c r="S590" s="96"/>
      <x:c r="T590" s="97"/>
      <x:c r="U590" s="98" t="str">
        <x:f>IF(OR(J590="",N590=""),"",IF(J590=N590,"No","Yes"))</x:f>
      </x:c>
      <x:c r="V590" s="98" t="n">
        <x:v>2</x:v>
      </x:c>
    </x:row>
    <x:row r="591" ht="54" hidden="0" customHeight="1">
      <x:c r="A591" s="38" t="str">
        <x:v>Q015::B0000510YS_review_3052358</x:v>
      </x:c>
      <x:c r="B591" s="38" t="str">
        <x:v>Q015</x:v>
      </x:c>
      <x:c r="C591" s="91" t="str">
        <x:v>I need a camera bag that protects equipment and is comfortable to carry.</x:v>
      </x:c>
      <x:c r="D591" s="38" t="n">
        <x:v>38</x:v>
      </x:c>
      <x:c r="E591" s="38" t="str">
        <x:v>B0000510YS</x:v>
      </x:c>
      <x:c r="F591" s="38" t="str">
        <x:v>review</x:v>
      </x:c>
      <x:c r="G591" s="38" t="str">
        <x:v>general</x:v>
      </x:c>
      <x:c r="H591" s="38" t="str">
        <x:v>Camera &amp; Photo</x:v>
      </x:c>
      <x:c r="I591" s="91" t="str">
        <x:v>[Product: Olympus SLR/EVF Soft Leather Case | ASIN: B0000510YS] Well built bag, perfect for the Camera. A shoulder strap would be nice. I end up carrying the camera and bag.</x:v>
      </x:c>
      <x:c r="J591" s="101" t="n">
        <x:v>2</x:v>
      </x:c>
      <x:c r="K591" s="92" t="str">
        <x:v>Human_Reviewer_01</x:v>
      </x:c>
      <x:c r="L591" s="92" t="str">
        <x:v>High</x:v>
      </x:c>
      <x:c r="M591" s="93" t="str">
        <x:v>Camera bag is well built but lacks a shoulder strap, limiting convenient carrying.</x:v>
      </x:c>
      <x:c r="N591" s="94"/>
      <x:c r="O591" s="94"/>
      <x:c r="P591" s="94"/>
      <x:c r="Q591" s="95"/>
      <x:c r="R591" s="96"/>
      <x:c r="S591" s="96"/>
      <x:c r="T591" s="97"/>
      <x:c r="U591" s="98" t="str">
        <x:f>IF(OR(J591="",N591=""),"",IF(J591=N591,"No","Yes"))</x:f>
      </x:c>
      <x:c r="V591" s="98" t="n">
        <x:v>2</x:v>
      </x:c>
    </x:row>
    <x:row r="592" ht="54" hidden="0" customHeight="1">
      <x:c r="A592" s="38" t="str">
        <x:v>Q015::B00A2ONPSS_review_2150069</x:v>
      </x:c>
      <x:c r="B592" s="38" t="str">
        <x:v>Q015</x:v>
      </x:c>
      <x:c r="C592" s="91" t="str">
        <x:v>I need a camera bag that protects equipment and is comfortable to carry.</x:v>
      </x:c>
      <x:c r="D592" s="38" t="n">
        <x:v>39</x:v>
      </x:c>
      <x:c r="E592" s="38" t="str">
        <x:v>B00A2ONPSS</x:v>
      </x:c>
      <x:c r="F592" s="38" t="str">
        <x:v>review</x:v>
      </x:c>
      <x:c r="G592" s="38" t="str">
        <x:v>general</x:v>
      </x:c>
      <x:c r="H592" s="38" t="str">
        <x:v>Camera &amp; Photo</x:v>
      </x:c>
      <x:c r="I592" s="91" t="str">
        <x:v>[Product: Tamrac 5686 Ultra-Compact Digital Camera Bag (Black) | ASIN: B00A2ONPSS] Protection is pretty good as well.</x:v>
      </x:c>
      <x:c r="J592" s="101" t="n">
        <x:v>2</x:v>
      </x:c>
      <x:c r="K592" s="92" t="str">
        <x:v>Human_Reviewer_01</x:v>
      </x:c>
      <x:c r="L592" s="92" t="str">
        <x:v>High</x:v>
      </x:c>
      <x:c r="M592" s="93" t="str">
        <x:v>Camera bag protection is explicitly good.</x:v>
      </x:c>
      <x:c r="N592" s="94"/>
      <x:c r="O592" s="94"/>
      <x:c r="P592" s="94"/>
      <x:c r="Q592" s="95"/>
      <x:c r="R592" s="96"/>
      <x:c r="S592" s="96"/>
      <x:c r="T592" s="97"/>
      <x:c r="U592" s="98" t="str">
        <x:f>IF(OR(J592="",N592=""),"",IF(J592=N592,"No","Yes"))</x:f>
      </x:c>
      <x:c r="V592" s="98" t="n">
        <x:v>2</x:v>
      </x:c>
    </x:row>
    <x:row r="593" ht="54" hidden="0" customHeight="1">
      <x:c r="A593" s="38" t="str">
        <x:v>Q015::B07C5HLJKF_review_2470294</x:v>
      </x:c>
      <x:c r="B593" s="38" t="str">
        <x:v>Q015</x:v>
      </x:c>
      <x:c r="C593" s="91" t="str">
        <x:v>I need a camera bag that protects equipment and is comfortable to carry.</x:v>
      </x:c>
      <x:c r="D593" s="38" t="n">
        <x:v>40</x:v>
      </x:c>
      <x:c r="E593" s="38" t="str">
        <x:v>B07C5HLJKF</x:v>
      </x:c>
      <x:c r="F593" s="38" t="str">
        <x:v>review</x:v>
      </x:c>
      <x:c r="G593" s="38" t="str">
        <x:v>ease of use</x:v>
      </x:c>
      <x:c r="H593" s="38" t="str">
        <x:v>Camera &amp; Photo</x:v>
      </x:c>
      <x:c r="I593" s="91" t="str">
        <x:v>[Product: Pacsafe Camsafe V8 Anti-Theft Camera Shoulder Bag, Black | ASIN: B07C5HLJKF] The main access at the top of the bag provided for easy access to my camera and accessories. Very comfortable and easy to use, easy to carry.</x:v>
      </x:c>
      <x:c r="J593" s="101" t="n">
        <x:v>2</x:v>
      </x:c>
      <x:c r="K593" s="92" t="str">
        <x:v>Human_Reviewer_01</x:v>
      </x:c>
      <x:c r="L593" s="92" t="str">
        <x:v>High</x:v>
      </x:c>
      <x:c r="M593" s="93" t="str">
        <x:v>Camera bag is explicitly comfortable and easy to carry.</x:v>
      </x:c>
      <x:c r="N593" s="94"/>
      <x:c r="O593" s="94"/>
      <x:c r="P593" s="94"/>
      <x:c r="Q593" s="95"/>
      <x:c r="R593" s="96"/>
      <x:c r="S593" s="96"/>
      <x:c r="T593" s="97"/>
      <x:c r="U593" s="98" t="str">
        <x:f>IF(OR(J593="",N593=""),"",IF(J593=N593,"No","Yes"))</x:f>
      </x:c>
      <x:c r="V593" s="98" t="n">
        <x:v>2</x:v>
      </x:c>
    </x:row>
    <x:row r="594" ht="54" hidden="0" customHeight="1">
      <x:c r="A594" s="38" t="str">
        <x:v>Q016::B009AB6MHU_review_866512</x:v>
      </x:c>
      <x:c r="B594" s="38" t="str">
        <x:v>Q016</x:v>
      </x:c>
      <x:c r="C594" s="91" t="str">
        <x:v>Which phone case offers strong drop protection without making the phone too bulky?</x:v>
      </x:c>
      <x:c r="D594" s="38" t="n">
        <x:v>1</x:v>
      </x:c>
      <x:c r="E594" s="38" t="str">
        <x:v>B009AB6MHU</x:v>
      </x:c>
      <x:c r="F594" s="38" t="str">
        <x:v>review</x:v>
      </x:c>
      <x:c r="G594" s="38" t="str">
        <x:v>general</x:v>
      </x:c>
      <x:c r="H594" s="38" t="str">
        <x:v>Cell Phones &amp; Accessories</x:v>
      </x:c>
      <x:c r="I594" s="91" t="str">
        <x:v>[Product: Tiamat Phone Back Cover Protect Case | ASIN: B009AB6MHU] The case is made of hard flexible plastic, and has a small form factor so you get good protection without adding too much bulk.</x:v>
      </x:c>
      <x:c r="J594" s="101" t="n">
        <x:v>2</x:v>
      </x:c>
      <x:c r="K594" s="92" t="str">
        <x:v>Human_Reviewer_01</x:v>
      </x:c>
      <x:c r="L594" s="92" t="str">
        <x:v>High</x:v>
      </x:c>
      <x:c r="M594" s="93" t="str">
        <x:v>Phone case gives protection without much bulk using flexible hard plastic.</x:v>
      </x:c>
      <x:c r="N594" s="94"/>
      <x:c r="O594" s="94"/>
      <x:c r="P594" s="94"/>
      <x:c r="Q594" s="95"/>
      <x:c r="R594" s="96"/>
      <x:c r="S594" s="96"/>
      <x:c r="T594" s="97"/>
      <x:c r="U594" s="98" t="str">
        <x:f>IF(OR(J594="",N594=""),"",IF(J594=N594,"No","Yes"))</x:f>
      </x:c>
      <x:c r="V594" s="98" t="n">
        <x:v>2</x:v>
      </x:c>
    </x:row>
    <x:row r="595" ht="54" hidden="0" customHeight="1">
      <x:c r="A595" s="38" t="str">
        <x:v>Q016::B005T0DXTG_review_1689352</x:v>
      </x:c>
      <x:c r="B595" s="38" t="str">
        <x:v>Q016</x:v>
      </x:c>
      <x:c r="C595" s="91" t="str">
        <x:v>Which phone case offers strong drop protection without making the phone too bulky?</x:v>
      </x:c>
      <x:c r="D595" s="38" t="n">
        <x:v>2</x:v>
      </x:c>
      <x:c r="E595" s="38" t="str">
        <x:v>B005T0DXTG</x:v>
      </x:c>
      <x:c r="F595" s="38" t="str">
        <x:v>review</x:v>
      </x:c>
      <x:c r="G595" s="38" t="str">
        <x:v>build quality</x:v>
      </x:c>
      <x:c r="H595" s="38" t="str">
        <x:v>Cell Phones &amp; Accessories</x:v>
      </x:c>
      <x:c r="I595" s="91" t="str">
        <x:v>[Product: Speck Products CandyShell Card Case for iPhone 4/4S - 1 Pack - Carrying Case - White/Peacock | ASIN: B005T0DXTG] The CandyShell Card case offers very good phone protection in a very solid and sturdy case, which at times is very bulky.</x:v>
      </x:c>
      <x:c r="J595" s="101" t="n">
        <x:v>2</x:v>
      </x:c>
      <x:c r="K595" s="92" t="str">
        <x:v>Human_Reviewer_01</x:v>
      </x:c>
      <x:c r="L595" s="92" t="str">
        <x:v>High</x:v>
      </x:c>
      <x:c r="M595" s="93" t="str">
        <x:v>Phone case provides solid protection but is sometimes very bulky.</x:v>
      </x:c>
      <x:c r="N595" s="94"/>
      <x:c r="O595" s="94"/>
      <x:c r="P595" s="94"/>
      <x:c r="Q595" s="95"/>
      <x:c r="R595" s="96"/>
      <x:c r="S595" s="96"/>
      <x:c r="T595" s="97"/>
      <x:c r="U595" s="98" t="str">
        <x:f>IF(OR(J595="",N595=""),"",IF(J595=N595,"No","Yes"))</x:f>
      </x:c>
      <x:c r="V595" s="98" t="n">
        <x:v>2</x:v>
      </x:c>
    </x:row>
    <x:row r="596" ht="54" hidden="0" customHeight="1">
      <x:c r="A596" s="38" t="str">
        <x:v>Q016::B095RYKN78_review_3340356</x:v>
      </x:c>
      <x:c r="B596" s="38" t="str">
        <x:v>Q016</x:v>
      </x:c>
      <x:c r="C596" s="91" t="str">
        <x:v>Which phone case offers strong drop protection without making the phone too bulky?</x:v>
      </x:c>
      <x:c r="D596" s="38" t="n">
        <x:v>3</x:v>
      </x:c>
      <x:c r="E596" s="38" t="str">
        <x:v>B095RYKN78</x:v>
      </x:c>
      <x:c r="F596" s="38" t="str">
        <x:v>review</x:v>
      </x:c>
      <x:c r="G596" s="38" t="str">
        <x:v>screen/display</x:v>
      </x:c>
      <x:c r="H596" s="38" t="str">
        <x:v>Cell Phones &amp; Accessories</x:v>
      </x:c>
      <x:c r="I596" s="91" t="str">
        <x:v>[Product: HCMOBI Phone case for Samsung Galaxy Z Fold 2 with Front Screen Tempered Glass Protection Full Cover Phone Cover for Z Fold 2 (Gold) | ASIN: B095RYKN78] This case holds up well for daily use and offers wonderful protection for the vulnerable front screen and camera lenses.</x:v>
      </x:c>
      <x:c r="J596" s="101" t="n">
        <x:v>1</x:v>
      </x:c>
      <x:c r="K596" s="92" t="str">
        <x:v>Human_Reviewer_01</x:v>
      </x:c>
      <x:c r="L596" s="92" t="str">
        <x:v>High</x:v>
      </x:c>
      <x:c r="M596" s="93" t="str">
        <x:v>Phone case protects screen and lenses in daily use, but drop performance and bulk are untested.</x:v>
      </x:c>
      <x:c r="N596" s="94"/>
      <x:c r="O596" s="94"/>
      <x:c r="P596" s="94"/>
      <x:c r="Q596" s="95"/>
      <x:c r="R596" s="96"/>
      <x:c r="S596" s="96"/>
      <x:c r="T596" s="97"/>
      <x:c r="U596" s="98" t="str">
        <x:f>IF(OR(J596="",N596=""),"",IF(J596=N596,"No","Yes"))</x:f>
      </x:c>
      <x:c r="V596" s="98" t="n">
        <x:v>1</x:v>
      </x:c>
    </x:row>
    <x:row r="597" ht="54" hidden="0" customHeight="1">
      <x:c r="A597" s="38" t="str">
        <x:v>Q016::B00J9B4FR0_review_540664</x:v>
      </x:c>
      <x:c r="B597" s="38" t="str">
        <x:v>Q016</x:v>
      </x:c>
      <x:c r="C597" s="91" t="str">
        <x:v>Which phone case offers strong drop protection without making the phone too bulky?</x:v>
      </x:c>
      <x:c r="D597" s="38" t="n">
        <x:v>4</x:v>
      </x:c>
      <x:c r="E597" s="38" t="str">
        <x:v>B00J9B4FR0</x:v>
      </x:c>
      <x:c r="F597" s="38" t="str">
        <x:v>review</x:v>
      </x:c>
      <x:c r="G597" s="38" t="str">
        <x:v>build quality</x:v>
      </x:c>
      <x:c r="H597" s="38" t="str">
        <x:v>Cell Phones &amp; Accessories</x:v>
      </x:c>
      <x:c r="I597" s="91" t="str">
        <x:v>[Product: Spigen Slim Armor HTC One M8 Case with Air Cushion Technology and Hybrid Drop Protection for HTC One M8 2014 - Gunmetal | ASIN: B00J9B4FR0] It is super sturdy and it fits the phone comfortably and without much hassle.</x:v>
      </x:c>
      <x:c r="J597" s="101" t="n">
        <x:v>1</x:v>
      </x:c>
      <x:c r="K597" s="92" t="str">
        <x:v>Human_Reviewer_01</x:v>
      </x:c>
      <x:c r="L597" s="92" t="str">
        <x:v>High</x:v>
      </x:c>
      <x:c r="M597" s="93" t="str">
        <x:v>Phone case is sturdy and fits well; actual drop protection and bulk are not described.</x:v>
      </x:c>
      <x:c r="N597" s="94"/>
      <x:c r="O597" s="94"/>
      <x:c r="P597" s="94"/>
      <x:c r="Q597" s="95"/>
      <x:c r="R597" s="96"/>
      <x:c r="S597" s="96"/>
      <x:c r="T597" s="97"/>
      <x:c r="U597" s="98" t="str">
        <x:f>IF(OR(J597="",N597=""),"",IF(J597=N597,"No","Yes"))</x:f>
      </x:c>
      <x:c r="V597" s="98" t="n">
        <x:v>1</x:v>
      </x:c>
    </x:row>
    <x:row r="598" ht="54" hidden="0" customHeight="1">
      <x:c r="A598" s="38" t="str">
        <x:v>Q016::B06XPFBCDH_review_3760789</x:v>
      </x:c>
      <x:c r="B598" s="38" t="str">
        <x:v>Q016</x:v>
      </x:c>
      <x:c r="C598" s="91" t="str">
        <x:v>Which phone case offers strong drop protection without making the phone too bulky?</x:v>
      </x:c>
      <x:c r="D598" s="38" t="n">
        <x:v>5</x:v>
      </x:c>
      <x:c r="E598" s="38" t="str">
        <x:v>B06XPFBCDH</x:v>
      </x:c>
      <x:c r="F598" s="38" t="str">
        <x:v>review</x:v>
      </x:c>
      <x:c r="G598" s="38" t="str">
        <x:v>build quality</x:v>
      </x:c>
      <x:c r="H598" s="38" t="str">
        <x:v>Computers</x:v>
      </x:c>
      <x:c r="I598" s="91" t="str">
        <x:v>[Product: Samsung Galaxy S20 Case - Crystal Clear Case for Samsung Galaxy S20 Protection - Transparent Samsung S20 Case Strong Hard Corner Edges - Slim Fit Soft Silicone Anti-Scratch Phone TPU Case 6.2 Inch | ASIN: B06XPFBCDH] Fit well but was flimsy, if you held the edge of the device to read or pass to someone it would peel off and literally drop your tablet out of the case.</x:v>
      </x:c>
      <x:c r="J598" s="101" t="n">
        <x:v>0</x:v>
      </x:c>
      <x:c r="K598" s="92" t="str">
        <x:v>Human_Reviewer_01</x:v>
      </x:c>
      <x:c r="L598" s="92" t="str">
        <x:v>High</x:v>
      </x:c>
      <x:c r="M598" s="93" t="str">
        <x:v>Review explicitly concerns a tablet despite a phone-case prefix; product attribution is inconsistent.</x:v>
      </x:c>
      <x:c r="N598" s="94"/>
      <x:c r="O598" s="94"/>
      <x:c r="P598" s="94"/>
      <x:c r="Q598" s="95"/>
      <x:c r="R598" s="96"/>
      <x:c r="S598" s="96"/>
      <x:c r="T598" s="97"/>
      <x:c r="U598" s="98" t="str">
        <x:f>IF(OR(J598="",N598=""),"",IF(J598=N598,"No","Yes"))</x:f>
      </x:c>
      <x:c r="V598" s="98" t="n">
        <x:v>0</x:v>
      </x:c>
    </x:row>
    <x:row r="599" ht="54" hidden="0" customHeight="1">
      <x:c r="A599" s="38" t="str">
        <x:v>Q016::B014QE0N8O_review_3516708</x:v>
      </x:c>
      <x:c r="B599" s="38" t="str">
        <x:v>Q016</x:v>
      </x:c>
      <x:c r="C599" s="91" t="str">
        <x:v>Which phone case offers strong drop protection without making the phone too bulky?</x:v>
      </x:c>
      <x:c r="D599" s="38" t="n">
        <x:v>6</x:v>
      </x:c>
      <x:c r="E599" s="38" t="str">
        <x:v>B014QE0N8O</x:v>
      </x:c>
      <x:c r="F599" s="38" t="str">
        <x:v>review</x:v>
      </x:c>
      <x:c r="G599" s="38" t="str">
        <x:v>design/appearance</x:v>
      </x:c>
      <x:c r="H599" s="38" t="str">
        <x:v>Cell Phones &amp; Accessories</x:v>
      </x:c>
      <x:c r="I599" s="91" t="str">
        <x:v>[Product: OBLIQ iPhone 6S Plus Case, [Skyline Advance][Rose Gold] with Magnetic Kickstand Dual Layered Soft Interior Exact Fit Hard Protection Case for iPhone 6S Plus (2015) &amp; iPhone 6 Plus (2014) | ASIN: B014QE0N8O] Protects the phone without making it too bulky. With other cases I always had a problem with them being too sleek/smooth which causes the case to fall out of my lap.</x:v>
      </x:c>
      <x:c r="J599" s="101" t="n">
        <x:v>2</x:v>
      </x:c>
      <x:c r="K599" s="92" t="str">
        <x:v>Human_Reviewer_01</x:v>
      </x:c>
      <x:c r="L599" s="92" t="str">
        <x:v>High</x:v>
      </x:c>
      <x:c r="M599" s="93" t="str">
        <x:v>Phone case protects without excessive bulk and describes slip-prevention behavior.</x:v>
      </x:c>
      <x:c r="N599" s="94"/>
      <x:c r="O599" s="94"/>
      <x:c r="P599" s="94"/>
      <x:c r="Q599" s="95"/>
      <x:c r="R599" s="96"/>
      <x:c r="S599" s="96"/>
      <x:c r="T599" s="97"/>
      <x:c r="U599" s="98" t="str">
        <x:f>IF(OR(J599="",N599=""),"",IF(J599=N599,"No","Yes"))</x:f>
      </x:c>
      <x:c r="V599" s="98" t="n">
        <x:v>2</x:v>
      </x:c>
    </x:row>
    <x:row r="600" ht="54" hidden="0" customHeight="1">
      <x:c r="A600" s="38" t="str">
        <x:v>Q016::B06XPFBCDH_review_3760787</x:v>
      </x:c>
      <x:c r="B600" s="38" t="str">
        <x:v>Q016</x:v>
      </x:c>
      <x:c r="C600" s="91" t="str">
        <x:v>Which phone case offers strong drop protection without making the phone too bulky?</x:v>
      </x:c>
      <x:c r="D600" s="38" t="n">
        <x:v>7</x:v>
      </x:c>
      <x:c r="E600" s="38" t="str">
        <x:v>B06XPFBCDH</x:v>
      </x:c>
      <x:c r="F600" s="38" t="str">
        <x:v>review</x:v>
      </x:c>
      <x:c r="G600" s="38" t="str">
        <x:v>general</x:v>
      </x:c>
      <x:c r="H600" s="38" t="str">
        <x:v>Computers</x:v>
      </x:c>
      <x:c r="I600" s="91" t="str">
        <x:v>[Product: Samsung Galaxy S20 Case - Crystal Clear Case for Samsung Galaxy S20 Protection - Transparent Samsung S20 Case Strong Hard Corner Edges - Slim Fit Soft Silicone Anti-Scratch Phone TPU Case 6.2 Inch | ASIN: B06XPFBCDH] Great product which helps to give a better grip to the tablet without adding any weight. I have a Note 5 phone which I use to jot down ideas and now I am using the Tab S 3 for that purpose.</x:v>
      </x:c>
      <x:c r="J600" s="101" t="n">
        <x:v>0</x:v>
      </x:c>
      <x:c r="K600" s="92" t="str">
        <x:v>Human_Reviewer_01</x:v>
      </x:c>
      <x:c r="L600" s="92" t="str">
        <x:v>High</x:v>
      </x:c>
      <x:c r="M600" s="93" t="str">
        <x:v>Review concerns a tablet case despite the phone-case prefix.</x:v>
      </x:c>
      <x:c r="N600" s="94"/>
      <x:c r="O600" s="94"/>
      <x:c r="P600" s="94"/>
      <x:c r="Q600" s="95"/>
      <x:c r="R600" s="96"/>
      <x:c r="S600" s="96"/>
      <x:c r="T600" s="97"/>
      <x:c r="U600" s="98" t="str">
        <x:f>IF(OR(J600="",N600=""),"",IF(J600=N600,"No","Yes"))</x:f>
      </x:c>
      <x:c r="V600" s="98" t="n">
        <x:v>0</x:v>
      </x:c>
    </x:row>
    <x:row r="601" ht="54" hidden="0" customHeight="1">
      <x:c r="A601" s="38" t="str">
        <x:v>Q016::B004B1Y8YI_review_2956599</x:v>
      </x:c>
      <x:c r="B601" s="38" t="str">
        <x:v>Q016</x:v>
      </x:c>
      <x:c r="C601" s="91" t="str">
        <x:v>Which phone case offers strong drop protection without making the phone too bulky?</x:v>
      </x:c>
      <x:c r="D601" s="38" t="n">
        <x:v>8</x:v>
      </x:c>
      <x:c r="E601" s="38" t="str">
        <x:v>B004B1Y8YI</x:v>
      </x:c>
      <x:c r="F601" s="38" t="str">
        <x:v>review</x:v>
      </x:c>
      <x:c r="G601" s="38" t="str">
        <x:v>general</x:v>
      </x:c>
      <x:c r="H601" s="38" t="str">
        <x:v>Cell Phones &amp; Accessories</x:v>
      </x:c>
      <x:c r="I601" s="91" t="str">
        <x:v>[Product: OTTERBOX Impact Case for AT&amp;T and Verizon iPhone 4 (Red) | ASIN: B004B1Y8YI] pros: Great protection against drops, falls or banging into the counter. Not much else.</x:v>
      </x:c>
      <x:c r="J601" s="101" t="n">
        <x:v>2</x:v>
      </x:c>
      <x:c r="K601" s="92" t="str">
        <x:v>Human_Reviewer_01</x:v>
      </x:c>
      <x:c r="L601" s="92" t="str">
        <x:v>High</x:v>
      </x:c>
      <x:c r="M601" s="93" t="str">
        <x:v>Phone case explicitly protects against drops and impacts.</x:v>
      </x:c>
      <x:c r="N601" s="94"/>
      <x:c r="O601" s="94"/>
      <x:c r="P601" s="94"/>
      <x:c r="Q601" s="95"/>
      <x:c r="R601" s="96"/>
      <x:c r="S601" s="96"/>
      <x:c r="T601" s="97"/>
      <x:c r="U601" s="98" t="str">
        <x:f>IF(OR(J601="",N601=""),"",IF(J601=N601,"No","Yes"))</x:f>
      </x:c>
      <x:c r="V601" s="98" t="n">
        <x:v>2</x:v>
      </x:c>
    </x:row>
    <x:row r="602" ht="54" hidden="0" customHeight="1">
      <x:c r="A602" s="38" t="str">
        <x:v>Q016::B00GUQXKQY_review_2254816</x:v>
      </x:c>
      <x:c r="B602" s="38" t="str">
        <x:v>Q016</x:v>
      </x:c>
      <x:c r="C602" s="91" t="str">
        <x:v>Which phone case offers strong drop protection without making the phone too bulky?</x:v>
      </x:c>
      <x:c r="D602" s="38" t="n">
        <x:v>9</x:v>
      </x:c>
      <x:c r="E602" s="38" t="str">
        <x:v>B00GUQXKQY</x:v>
      </x:c>
      <x:c r="F602" s="38" t="str">
        <x:v>review</x:v>
      </x:c>
      <x:c r="G602" s="38" t="str">
        <x:v>general</x:v>
      </x:c>
      <x:c r="H602" s="38" t="str">
        <x:v>Cell Phones &amp; Accessories</x:v>
      </x:c>
      <x:c r="I602" s="91" t="str">
        <x:v>[Product: Fosmon HYBO-DT Series Detachable Hybrid Silicone + PC Kickstand Case for LG G2 Optimus G2 / AT&amp;T LG D800 / T-Mobile LG D801 (Purple) | ASIN: B00GUQXKQY] Adds some bulk which equals protection. Like that the outer she will is silicone so i can steady it my shaky hand and it will not slip. Kickstand helps with that too and works great in either direction.</x:v>
      </x:c>
      <x:c r="J602" s="101" t="n">
        <x:v>2</x:v>
      </x:c>
      <x:c r="K602" s="92" t="str">
        <x:v>Human_Reviewer_01</x:v>
      </x:c>
      <x:c r="L602" s="92" t="str">
        <x:v>High</x:v>
      </x:c>
      <x:c r="M602" s="93" t="str">
        <x:v>Phone case adds protective bulk and a nonslip surface.</x:v>
      </x:c>
      <x:c r="N602" s="94"/>
      <x:c r="O602" s="94"/>
      <x:c r="P602" s="94"/>
      <x:c r="Q602" s="95"/>
      <x:c r="R602" s="96"/>
      <x:c r="S602" s="96"/>
      <x:c r="T602" s="97"/>
      <x:c r="U602" s="98" t="str">
        <x:f>IF(OR(J602="",N602=""),"",IF(J602=N602,"No","Yes"))</x:f>
      </x:c>
      <x:c r="V602" s="98" t="n">
        <x:v>2</x:v>
      </x:c>
    </x:row>
    <x:row r="603" ht="54" hidden="0" customHeight="1">
      <x:c r="A603" s="38" t="str">
        <x:v>Q016::B00HT6GFX4_review_3781491</x:v>
      </x:c>
      <x:c r="B603" s="38" t="str">
        <x:v>Q016</x:v>
      </x:c>
      <x:c r="C603" s="91" t="str">
        <x:v>Which phone case offers strong drop protection without making the phone too bulky?</x:v>
      </x:c>
      <x:c r="D603" s="38" t="n">
        <x:v>10</x:v>
      </x:c>
      <x:c r="E603" s="38" t="str">
        <x:v>B00HT6GFX4</x:v>
      </x:c>
      <x:c r="F603" s="38" t="str">
        <x:v>review</x:v>
      </x:c>
      <x:c r="G603" s="38" t="str">
        <x:v>build quality</x:v>
      </x:c>
      <x:c r="H603" s="38" t="str">
        <x:v>Cell Phones &amp; Accessories</x:v>
      </x:c>
      <x:c r="I603" s="91" t="str">
        <x:v>[Product: OTTERBOX DEFENDER SERIES Case for iPhone SE (1st gen - 2016) and iPhone 5/5s - Frustration FRĒe Packaging - BLACK | ASIN: B00HT6GFX4] so I need something sturdy but did not want extra bulk.</x:v>
      </x:c>
      <x:c r="J603" s="101" t="n">
        <x:v>1</x:v>
      </x:c>
      <x:c r="K603" s="92" t="str">
        <x:v>Human_Reviewer_01</x:v>
      </x:c>
      <x:c r="L603" s="92" t="str">
        <x:v>High</x:v>
      </x:c>
      <x:c r="M603" s="93" t="str">
        <x:v>Reviewer states desired sturdiness and low bulk without reporting achieved performance.</x:v>
      </x:c>
      <x:c r="N603" s="94"/>
      <x:c r="O603" s="94"/>
      <x:c r="P603" s="94"/>
      <x:c r="Q603" s="95"/>
      <x:c r="R603" s="96"/>
      <x:c r="S603" s="96"/>
      <x:c r="T603" s="97"/>
      <x:c r="U603" s="98" t="str">
        <x:f>IF(OR(J603="",N603=""),"",IF(J603=N603,"No","Yes"))</x:f>
      </x:c>
      <x:c r="V603" s="98" t="n">
        <x:v>1</x:v>
      </x:c>
    </x:row>
    <x:row r="604" ht="54" hidden="0" customHeight="1">
      <x:c r="A604" s="38" t="str">
        <x:v>Q016::B00F0ZQX7Y_review_3286605</x:v>
      </x:c>
      <x:c r="B604" s="38" t="str">
        <x:v>Q016</x:v>
      </x:c>
      <x:c r="C604" s="91" t="str">
        <x:v>Which phone case offers strong drop protection without making the phone too bulky?</x:v>
      </x:c>
      <x:c r="D604" s="38" t="n">
        <x:v>11</x:v>
      </x:c>
      <x:c r="E604" s="38" t="str">
        <x:v>B00F0ZQX7Y</x:v>
      </x:c>
      <x:c r="F604" s="38" t="str">
        <x:v>review</x:v>
      </x:c>
      <x:c r="G604" s="38" t="str">
        <x:v>general</x:v>
      </x:c>
      <x:c r="H604" s="38" t="str">
        <x:v>Cell Phones &amp; Accessories</x:v>
      </x:c>
      <x:c r="I604" s="91" t="str">
        <x:v>[Product: Fosmon DURA-FRO Series Flexible SLIM-Fit TPU Case for LG Optimus G2 (AT&amp;T, T-Mobile, Sprint) (Matte Blue) | ASIN: B00F0ZQX7Y] Nice and slim with actual protection. I have dropped it on a hard (vinyl over concrete) floor many times and my phone remains like new.</x:v>
      </x:c>
      <x:c r="J604" s="101" t="n">
        <x:v>2</x:v>
      </x:c>
      <x:c r="K604" s="92" t="str">
        <x:v>Human_Reviewer_01</x:v>
      </x:c>
      <x:c r="L604" s="92" t="str">
        <x:v>High</x:v>
      </x:c>
      <x:c r="M604" s="93" t="str">
        <x:v>Slim phone case protects through repeated hard-floor drops.</x:v>
      </x:c>
      <x:c r="N604" s="94"/>
      <x:c r="O604" s="94"/>
      <x:c r="P604" s="94"/>
      <x:c r="Q604" s="95"/>
      <x:c r="R604" s="96"/>
      <x:c r="S604" s="96"/>
      <x:c r="T604" s="97"/>
      <x:c r="U604" s="98" t="str">
        <x:f>IF(OR(J604="",N604=""),"",IF(J604=N604,"No","Yes"))</x:f>
      </x:c>
      <x:c r="V604" s="98" t="n">
        <x:v>2</x:v>
      </x:c>
    </x:row>
    <x:row r="605" ht="54" hidden="0" customHeight="1">
      <x:c r="A605" s="38" t="str">
        <x:v>Q016::B004B1Y8YI_review_2956606</x:v>
      </x:c>
      <x:c r="B605" s="38" t="str">
        <x:v>Q016</x:v>
      </x:c>
      <x:c r="C605" s="91" t="str">
        <x:v>Which phone case offers strong drop protection without making the phone too bulky?</x:v>
      </x:c>
      <x:c r="D605" s="38" t="n">
        <x:v>12</x:v>
      </x:c>
      <x:c r="E605" s="38" t="str">
        <x:v>B004B1Y8YI</x:v>
      </x:c>
      <x:c r="F605" s="38" t="str">
        <x:v>review</x:v>
      </x:c>
      <x:c r="G605" s="38" t="str">
        <x:v>design/appearance</x:v>
      </x:c>
      <x:c r="H605" s="38" t="str">
        <x:v>Cell Phones &amp; Accessories</x:v>
      </x:c>
      <x:c r="I605" s="91" t="str">
        <x:v>[Product: OTTERBOX Impact Case for AT&amp;T and Verizon iPhone 4 (Red) | ASIN: B004B1Y8YI] If you are looking for a good case with great protection then the Otterbox line is a great solution. The only trade off is that it does make the phone a little more bulky than other cases but not to the point where it felt too bulky.</x:v>
      </x:c>
      <x:c r="J605" s="101" t="n">
        <x:v>2</x:v>
      </x:c>
      <x:c r="K605" s="92" t="str">
        <x:v>Human_Reviewer_01</x:v>
      </x:c>
      <x:c r="L605" s="92" t="str">
        <x:v>High</x:v>
      </x:c>
      <x:c r="M605" s="93" t="str">
        <x:v>Phone case provides good protection with a modest bulk tradeoff.</x:v>
      </x:c>
      <x:c r="N605" s="94"/>
      <x:c r="O605" s="94"/>
      <x:c r="P605" s="94"/>
      <x:c r="Q605" s="95"/>
      <x:c r="R605" s="96"/>
      <x:c r="S605" s="96"/>
      <x:c r="T605" s="97"/>
      <x:c r="U605" s="98" t="str">
        <x:f>IF(OR(J605="",N605=""),"",IF(J605=N605,"No","Yes"))</x:f>
      </x:c>
      <x:c r="V605" s="98" t="n">
        <x:v>2</x:v>
      </x:c>
    </x:row>
    <x:row r="606" ht="54" hidden="0" customHeight="1">
      <x:c r="A606" s="38" t="str">
        <x:v>Q016::B002NZVCRA_review_2677625</x:v>
      </x:c>
      <x:c r="B606" s="38" t="str">
        <x:v>Q016</x:v>
      </x:c>
      <x:c r="C606" s="91" t="str">
        <x:v>Which phone case offers strong drop protection without making the phone too bulky?</x:v>
      </x:c>
      <x:c r="D606" s="38" t="n">
        <x:v>13</x:v>
      </x:c>
      <x:c r="E606" s="38" t="str">
        <x:v>B002NZVCRA</x:v>
      </x:c>
      <x:c r="F606" s="38" t="str">
        <x:v>review</x:v>
      </x:c>
      <x:c r="G606" s="38" t="str">
        <x:v>design/appearance</x:v>
      </x:c>
      <x:c r="H606" s="38" t="str">
        <x:v>Computers</x:v>
      </x:c>
      <x:c r="I606" s="91" t="str">
        <x:v>[Product: Adapter and Splitter for Phone X Phone 8/8Plus/7/7Plus,Double Headphone Audio &amp; Charge &amp; Call Converter for Phone 7Plus ,Compatible iOS 10.3 iOS 11 … | ASIN: B002NZVCRA] The raised edge of the case provides some impact protection for the screen if you drop it on an even surface.&lt;br /&gt;&lt;br /&gt;Overall, I wanted a case that was attractive, sturdy, and did not obscure the design or color of the iPod.</x:v>
      </x:c>
      <x:c r="J606" s="101" t="n">
        <x:v>0</x:v>
      </x:c>
      <x:c r="K606" s="92" t="str">
        <x:v>Human_Reviewer_01</x:v>
      </x:c>
      <x:c r="L606" s="92" t="str">
        <x:v>High</x:v>
      </x:c>
      <x:c r="M606" s="93" t="str">
        <x:v>Prefix lists an adapter and review an iPod case, neither a correctly attributed phone case.</x:v>
      </x:c>
      <x:c r="N606" s="94"/>
      <x:c r="O606" s="94"/>
      <x:c r="P606" s="94"/>
      <x:c r="Q606" s="95"/>
      <x:c r="R606" s="96"/>
      <x:c r="S606" s="96"/>
      <x:c r="T606" s="97"/>
      <x:c r="U606" s="98" t="str">
        <x:f>IF(OR(J606="",N606=""),"",IF(J606=N606,"No","Yes"))</x:f>
      </x:c>
      <x:c r="V606" s="98" t="n">
        <x:v>0</x:v>
      </x:c>
    </x:row>
    <x:row r="607" ht="54" hidden="0" customHeight="1">
      <x:c r="A607" s="38" t="str">
        <x:v>Q016::B00V6AX2IU_review_1633776</x:v>
      </x:c>
      <x:c r="B607" s="38" t="str">
        <x:v>Q016</x:v>
      </x:c>
      <x:c r="C607" s="91" t="str">
        <x:v>Which phone case offers strong drop protection without making the phone too bulky?</x:v>
      </x:c>
      <x:c r="D607" s="38" t="n">
        <x:v>14</x:v>
      </x:c>
      <x:c r="E607" s="38" t="str">
        <x:v>B00V6AX2IU</x:v>
      </x:c>
      <x:c r="F607" s="38" t="str">
        <x:v>review</x:v>
      </x:c>
      <x:c r="G607" s="38" t="str">
        <x:v>general</x:v>
      </x:c>
      <x:c r="H607" s="38" t="str">
        <x:v>Cell Phones &amp; Accessories</x:v>
      </x:c>
      <x:c r="I607" s="91" t="str">
        <x:v>[Product: Survivor All Terrain Mobile Case Compatible with Samsung Galaxy S6 (Black &amp; Blue) | ASIN: B00V6AX2IU] This case is amazing for rough use, while still leaving your phone usable. My phone has been completely unscathed even after multiple five foot drops onto concrete and gravel - on concrete the phone actually bounces. I would not go diving with it or run my phone through the dishwasher or anything, but the case is mostly waterproof and I have no concerns about using it in the rain. The outside is a grippy, almost sticky rubber that holds onto most surfaces well and does not slip.(See edit below) Put it on a 45 deg angled piece of glass and it just sits there.&lt;br /&gt;&lt;br /&gt;As you might imagine, this level of protection requires some compromises in other areas. This case adds a significant amount of size and bulk to the phone - nearly 3x the thickness and 3/4&amp;#34; in length and width. It rides well in the pocket, but the larger size and grippy rubber make putting the phone into and taking it out of your pocket a chore. Ever get into your car and realize you left your phone in your pocket, and then bend and twist to get it out? With this case, forget it.&lt;br /&gt;&lt;br /&gt;Lastly, full disclosure, this is my second purchase of this case. My first one was damaged by it is multiple drops and eventually started popping open at inconvenient times. It protected my phone 100% and I liked it well enough to buy another one.&lt;br /&gt;&lt;br /&gt;Edit 6/8/16: Received my case. The blue is definitely darker than the picture shows, possibly my monitor settings but this is a pretty big difference. Either way, I like the darker blue better. Also, the rubber on the outside has been reformulated, it is not nearly as grippy now. Time will tell, but as of right now I would rather have the grippy rubber.</x:v>
      </x:c>
      <x:c r="J607" s="101" t="n">
        <x:v>2</x:v>
      </x:c>
      <x:c r="K607" s="92" t="str">
        <x:v>Human_Reviewer_01</x:v>
      </x:c>
      <x:c r="L607" s="92" t="str">
        <x:v>High</x:v>
      </x:c>
      <x:c r="M607" s="93" t="str">
        <x:v>Phone case survives multiple five-foot drops but adds nearly triple thickness.</x:v>
      </x:c>
      <x:c r="N607" s="94"/>
      <x:c r="O607" s="94"/>
      <x:c r="P607" s="94"/>
      <x:c r="Q607" s="95"/>
      <x:c r="R607" s="96"/>
      <x:c r="S607" s="96"/>
      <x:c r="T607" s="97"/>
      <x:c r="U607" s="98" t="str">
        <x:f>IF(OR(J607="",N607=""),"",IF(J607=N607,"No","Yes"))</x:f>
      </x:c>
      <x:c r="V607" s="98" t="n">
        <x:v>2</x:v>
      </x:c>
    </x:row>
    <x:row r="608" ht="54" hidden="0" customHeight="1">
      <x:c r="A608" s="38" t="str">
        <x:v>Q016::B0BNNFGKSC_review_3713803</x:v>
      </x:c>
      <x:c r="B608" s="38" t="str">
        <x:v>Q016</x:v>
      </x:c>
      <x:c r="C608" s="91" t="str">
        <x:v>Which phone case offers strong drop protection without making the phone too bulky?</x:v>
      </x:c>
      <x:c r="D608" s="38" t="n">
        <x:v>15</x:v>
      </x:c>
      <x:c r="E608" s="38" t="str">
        <x:v>B0BNNFGKSC</x:v>
      </x:c>
      <x:c r="F608" s="38" t="str">
        <x:v>review</x:v>
      </x:c>
      <x:c r="G608" s="38" t="str">
        <x:v>general</x:v>
      </x:c>
      <x:c r="H608" s="38" t="str">
        <x:v>Computers</x:v>
      </x:c>
      <x:c r="I608" s="91" t="str">
        <x:v>[Product: Krevi HDMI Adapter 1080P | ASIN: B0BNNFGKSC] The lightning cable part is slightly too big that it will not fit through my phone case. I would have to take the case off which leaves phone likely to drop or be damaged because I am fumbling with adapters.</x:v>
      </x:c>
      <x:c r="J608" s="101" t="n">
        <x:v>0</x:v>
      </x:c>
      <x:c r="K608" s="92" t="str">
        <x:v>Human_Reviewer_01</x:v>
      </x:c>
      <x:c r="L608" s="92" t="str">
        <x:v>High</x:v>
      </x:c>
      <x:c r="M608" s="93" t="str">
        <x:v>This is an HDMI adapter, not a phone case.</x:v>
      </x:c>
      <x:c r="N608" s="94"/>
      <x:c r="O608" s="94"/>
      <x:c r="P608" s="94"/>
      <x:c r="Q608" s="95"/>
      <x:c r="R608" s="96"/>
      <x:c r="S608" s="96"/>
      <x:c r="T608" s="97"/>
      <x:c r="U608" s="98" t="str">
        <x:f>IF(OR(J608="",N608=""),"",IF(J608=N608,"No","Yes"))</x:f>
      </x:c>
      <x:c r="V608" s="98" t="n">
        <x:v>0</x:v>
      </x:c>
    </x:row>
    <x:row r="609" ht="54" hidden="0" customHeight="1">
      <x:c r="A609" s="38" t="str">
        <x:v>Q016::B01K6PBSK4_review_971089</x:v>
      </x:c>
      <x:c r="B609" s="38" t="str">
        <x:v>Q016</x:v>
      </x:c>
      <x:c r="C609" s="91" t="str">
        <x:v>Which phone case offers strong drop protection without making the phone too bulky?</x:v>
      </x:c>
      <x:c r="D609" s="38" t="n">
        <x:v>16</x:v>
      </x:c>
      <x:c r="E609" s="38" t="str">
        <x:v>B01K6PBSK4</x:v>
      </x:c>
      <x:c r="F609" s="38" t="str">
        <x:v>review</x:v>
      </x:c>
      <x:c r="G609" s="38" t="str">
        <x:v>design/appearance</x:v>
      </x:c>
      <x:c r="H609" s="38" t="str">
        <x:v>Cell Phones &amp; Accessories</x:v>
      </x:c>
      <x:c r="I609" s="91" t="str">
        <x:v>[Product: OtterBox SYMMETRY SERIES Case for iPhone 8 Plus &amp; iPhone 7 Plus (ONLY) - Frustration Free Packaging - BLACK | ASIN: B01K6PBSK4] Being a recent convert from a Samsung Galaxy 5, I could no longer feel comfortable being responsibly gentle with an even larger and significantly heavier phone, so I looked for a case that was not too bulky, but also something that offered some protection. I am also happy that this case was not as bulky as I expected, as I had planned to get a slimmer case for formal events. I feel that this switch is, by design, something to correctly cover and have another working switch over it, as the Pursuit attempted to do.&lt;br /&gt;&lt;br /&gt;I highly recommend this case</x:v>
      </x:c>
      <x:c r="J609" s="101" t="n">
        <x:v>2</x:v>
      </x:c>
      <x:c r="K609" s="92" t="str">
        <x:v>Human_Reviewer_01</x:v>
      </x:c>
      <x:c r="L609" s="92" t="str">
        <x:v>Medium</x:v>
      </x:c>
      <x:c r="M609" s="93" t="str">
        <x:v>Phone case is explicitly less bulky than expected; drop protection is not tested.</x:v>
      </x:c>
      <x:c r="N609" s="94"/>
      <x:c r="O609" s="94"/>
      <x:c r="P609" s="94"/>
      <x:c r="Q609" s="95"/>
      <x:c r="R609" s="96"/>
      <x:c r="S609" s="96"/>
      <x:c r="T609" s="97"/>
      <x:c r="U609" s="98" t="str">
        <x:f>IF(OR(J609="",N609=""),"",IF(J609=N609,"No","Yes"))</x:f>
      </x:c>
      <x:c r="V609" s="98" t="n">
        <x:v>2</x:v>
      </x:c>
    </x:row>
    <x:row r="610" ht="54" hidden="0" customHeight="1">
      <x:c r="A610" s="38" t="str">
        <x:v>Q016::B00MC1O3P8_review_1301732</x:v>
      </x:c>
      <x:c r="B610" s="38" t="str">
        <x:v>Q016</x:v>
      </x:c>
      <x:c r="C610" s="91" t="str">
        <x:v>Which phone case offers strong drop protection without making the phone too bulky?</x:v>
      </x:c>
      <x:c r="D610" s="38" t="n">
        <x:v>17</x:v>
      </x:c>
      <x:c r="E610" s="38" t="str">
        <x:v>B00MC1O3P8</x:v>
      </x:c>
      <x:c r="F610" s="38" t="str">
        <x:v>review</x:v>
      </x:c>
      <x:c r="G610" s="38" t="str">
        <x:v>general</x:v>
      </x:c>
      <x:c r="H610" s="38" t="str">
        <x:v>Cell Phones &amp; Accessories</x:v>
      </x:c>
      <x:c r="I610" s="91" t="str">
        <x:v>[Product: Diztronic Full Matte Red Flexible TPU Case for OnePlus One - Retail Packaging | ASIN: B00MC1O3P8] For one, the button are stiff and much less clicky than without the case. However, this is not the biggest problem. I recently dropped this phone from waist height onto concrete and the phone hit the ground at the top right corner. At first I was worried, but when I picked it up I saw a small mark on the case and thought I was in the clear. Later, when I took off the case, I found that the concrete had actually gone entirely through the case and quite severely given my phone a gash. Now this was not as if I threw my phone against the ground or was on the roof and dropped it, this was a waist high drop. I figure the entire point of a case is so any drop under normal use is protected as long as it hits the case. In addition, when I contacted Diztronic they told me since the case does not guarantee full protection they cannot do anything. What I do not understand is why this case was not given some added protection at the corners. The most vulnerable and likely to be hit area when dropped is the corners so a slight increase in protection would not add much to the heft of the case, but provide much needed protection.&lt;br /&gt;&lt;br /&gt;TLDR: phone was dropped from waist height (I am around 5 ft 10 inch) onto the ground (concrete) and suffered quite a severe gash. The concrete went entirely through the case. While slim, the case does not provide the protection expected from a case.</x:v>
      </x:c>
      <x:c r="J610" s="101" t="n">
        <x:v>2</x:v>
      </x:c>
      <x:c r="K610" s="92" t="str">
        <x:v>Human_Reviewer_01</x:v>
      </x:c>
      <x:c r="L610" s="92" t="str">
        <x:v>High</x:v>
      </x:c>
      <x:c r="M610" s="93" t="str">
        <x:v>Slim phone case fails on a waist-height concrete drop, damaging the phone.</x:v>
      </x:c>
      <x:c r="N610" s="94"/>
      <x:c r="O610" s="94"/>
      <x:c r="P610" s="94"/>
      <x:c r="Q610" s="95"/>
      <x:c r="R610" s="96"/>
      <x:c r="S610" s="96"/>
      <x:c r="T610" s="97"/>
      <x:c r="U610" s="98" t="str">
        <x:f>IF(OR(J610="",N610=""),"",IF(J610=N610,"No","Yes"))</x:f>
      </x:c>
      <x:c r="V610" s="98" t="n">
        <x:v>2</x:v>
      </x:c>
    </x:row>
    <x:row r="611" ht="54" hidden="0" customHeight="1">
      <x:c r="A611" s="38" t="str">
        <x:v>Q016::B0099I81MI_review_181721</x:v>
      </x:c>
      <x:c r="B611" s="38" t="str">
        <x:v>Q016</x:v>
      </x:c>
      <x:c r="C611" s="91" t="str">
        <x:v>Which phone case offers strong drop protection without making the phone too bulky?</x:v>
      </x:c>
      <x:c r="D611" s="38" t="n">
        <x:v>18</x:v>
      </x:c>
      <x:c r="E611" s="38" t="str">
        <x:v>B0099I81MI</x:v>
      </x:c>
      <x:c r="F611" s="38" t="str">
        <x:v>review</x:v>
      </x:c>
      <x:c r="G611" s="38" t="str">
        <x:v>general</x:v>
      </x:c>
      <x:c r="H611" s="38" t="str">
        <x:v>Cell Phones &amp; Accessories</x:v>
      </x:c>
      <x:c r="I611" s="91" t="str">
        <x:v>[Product: UAG iPhone SE / iPhone 5s Feather-Light Composite [WHITE] Military Drop Tested Phone Case | ASIN: B0099I81MI] It was a soft case and did not provide as much protection for the phone a I would have liked. So i decided to try this one out.&lt;br /&gt;&lt;br If you need or want to remove the phone from the case often for whatever reason, it may be a bit of a pain. But I like the fact that the phone is held very securely inside the case. The rest of it is hard plastic. The switch to mute the phone is not covered. The case has large cut-outs around the camera lens and the flash. This was an issue for me at first because it was so slippery I caught myself nearly dropping the phone. I do not hang on that tightly i guess, and I certainly did not want to bounce the phone off the ground, as i do not know whether this case is strong enough to protect the phone from a drop on concrete and definitely do not want to test it. My solution to this problem was to take a wood rasp and stroke (scrape) the sides to knurl them. This worked perfectly, if only until it smooths off again, but for now it is much more secure in my hand and I do not feel any risk of dropping it.&lt;br /&gt;&lt;br /&gt;Since</x:v>
      </x:c>
      <x:c r="J611" s="101" t="n">
        <x:v>1</x:v>
      </x:c>
      <x:c r="K611" s="92" t="str">
        <x:v>Human_Reviewer_01</x:v>
      </x:c>
      <x:c r="L611" s="92" t="str">
        <x:v>High</x:v>
      </x:c>
      <x:c r="M611" s="93" t="str">
        <x:v>Phone case grip and fit are described, but reviewer explicitly has not tested drop protection.</x:v>
      </x:c>
      <x:c r="N611" s="94"/>
      <x:c r="O611" s="94"/>
      <x:c r="P611" s="94"/>
      <x:c r="Q611" s="95"/>
      <x:c r="R611" s="96"/>
      <x:c r="S611" s="96"/>
      <x:c r="T611" s="97"/>
      <x:c r="U611" s="98" t="str">
        <x:f>IF(OR(J611="",N611=""),"",IF(J611=N611,"No","Yes"))</x:f>
      </x:c>
      <x:c r="V611" s="98" t="n">
        <x:v>1</x:v>
      </x:c>
    </x:row>
    <x:row r="612" ht="54" hidden="0" customHeight="1">
      <x:c r="A612" s="38" t="str">
        <x:v>Q016::B00J9B4FR0_review_540668</x:v>
      </x:c>
      <x:c r="B612" s="38" t="str">
        <x:v>Q016</x:v>
      </x:c>
      <x:c r="C612" s="91" t="str">
        <x:v>Which phone case offers strong drop protection without making the phone too bulky?</x:v>
      </x:c>
      <x:c r="D612" s="38" t="n">
        <x:v>19</x:v>
      </x:c>
      <x:c r="E612" s="38" t="str">
        <x:v>B00J9B4FR0</x:v>
      </x:c>
      <x:c r="F612" s="38" t="str">
        <x:v>review</x:v>
      </x:c>
      <x:c r="G612" s="38" t="str">
        <x:v>general</x:v>
      </x:c>
      <x:c r="H612" s="38" t="str">
        <x:v>Cell Phones &amp; Accessories</x:v>
      </x:c>
      <x:c r="I612" s="91" t="str">
        <x:v>[Product: Spigen Slim Armor HTC One M8 Case with Air Cushion Technology and Hybrid Drop Protection for HTC One M8 2014 - Gunmetal | ASIN: B00J9B4FR0] If you think you might ever drop your phone, do not buy this case (or any other Spigen case). I had a Spigen case for a Samsung, and when I dropped the phone from a height of 3 feet the phone was ruined. And once again, I dropped my phone and the case did nothing.</x:v>
      </x:c>
      <x:c r="J612" s="101" t="n">
        <x:v>2</x:v>
      </x:c>
      <x:c r="K612" s="92" t="str">
        <x:v>Human_Reviewer_01</x:v>
      </x:c>
      <x:c r="L612" s="92" t="str">
        <x:v>Medium</x:v>
      </x:c>
      <x:c r="M612" s="93" t="str">
        <x:v>Reviewer reports phone damage despite a case; one example concerns another model, followed by another unprotected drop.</x:v>
      </x:c>
      <x:c r="N612" s="94"/>
      <x:c r="O612" s="94"/>
      <x:c r="P612" s="94"/>
      <x:c r="Q612" s="95"/>
      <x:c r="R612" s="96"/>
      <x:c r="S612" s="96"/>
      <x:c r="T612" s="97"/>
      <x:c r="U612" s="98" t="str">
        <x:f>IF(OR(J612="",N612=""),"",IF(J612=N612,"No","Yes"))</x:f>
      </x:c>
      <x:c r="V612" s="98" t="n">
        <x:v>2</x:v>
      </x:c>
    </x:row>
    <x:row r="613" ht="54" hidden="0" customHeight="1">
      <x:c r="A613" s="38" t="str">
        <x:v>Q016::B01ENUVPP6_review_1005167</x:v>
      </x:c>
      <x:c r="B613" s="38" t="str">
        <x:v>Q016</x:v>
      </x:c>
      <x:c r="C613" s="91" t="str">
        <x:v>Which phone case offers strong drop protection without making the phone too bulky?</x:v>
      </x:c>
      <x:c r="D613" s="38" t="n">
        <x:v>20</x:v>
      </x:c>
      <x:c r="E613" s="38" t="str">
        <x:v>B01ENUVPP6</x:v>
      </x:c>
      <x:c r="F613" s="38" t="str">
        <x:v>review</x:v>
      </x:c>
      <x:c r="G613" s="38" t="str">
        <x:v>general</x:v>
      </x:c>
      <x:c r="H613" s="38" t="str">
        <x:v>Cell Phones &amp; Accessories</x:v>
      </x:c>
      <x:c r="I613" s="91" t="str">
        <x:v>[Product: Newtion iPhone 6/6s Case, YogaCase InTrends Silicone Back Protective Cover (Mermaid Tale) | ASIN: B01ENUVPP6] Pretty case just like the photo. There is no absoprtion this is more like a skin. The case is flat with the front of the phone so it offers little protection for the front. I like to have the little edge around the front so that if i drop it flat down the case hits first.</x:v>
      </x:c>
      <x:c r="J613" s="101" t="n">
        <x:v>2</x:v>
      </x:c>
      <x:c r="K613" s="92" t="str">
        <x:v>Human_Reviewer_01</x:v>
      </x:c>
      <x:c r="L613" s="92" t="str">
        <x:v>High</x:v>
      </x:c>
      <x:c r="M613" s="93" t="str">
        <x:v>Phone case has no shock absorption and little front protection.</x:v>
      </x:c>
      <x:c r="N613" s="94"/>
      <x:c r="O613" s="94"/>
      <x:c r="P613" s="94"/>
      <x:c r="Q613" s="95"/>
      <x:c r="R613" s="96"/>
      <x:c r="S613" s="96"/>
      <x:c r="T613" s="97"/>
      <x:c r="U613" s="98" t="str">
        <x:f>IF(OR(J613="",N613=""),"",IF(J613=N613,"No","Yes"))</x:f>
      </x:c>
      <x:c r="V613" s="98" t="n">
        <x:v>2</x:v>
      </x:c>
    </x:row>
    <x:row r="614" ht="54" hidden="0" customHeight="1">
      <x:c r="A614" s="38" t="str">
        <x:v>Q016::B005GME5QM_review_1018253</x:v>
      </x:c>
      <x:c r="B614" s="38" t="str">
        <x:v>Q016</x:v>
      </x:c>
      <x:c r="C614" s="91" t="str">
        <x:v>Which phone case offers strong drop protection without making the phone too bulky?</x:v>
      </x:c>
      <x:c r="D614" s="38" t="n">
        <x:v>21</x:v>
      </x:c>
      <x:c r="E614" s="38" t="str">
        <x:v>B005GME5QM</x:v>
      </x:c>
      <x:c r="F614" s="38" t="str">
        <x:v>review</x:v>
      </x:c>
      <x:c r="G614" s="38" t="str">
        <x:v>general</x:v>
      </x:c>
      <x:c r="H614" s="38" t="str">
        <x:v>Cell Phones &amp; Accessories</x:v>
      </x:c>
      <x:c r="I614" s="91" t="str">
        <x:v>[Product: Trident Case AEGIS Series for Samsung Infuse - Retail Packaging - Red | ASIN: B005GME5QM] I have owned this case for a little over two months and have found it to be a really good way to protect the SAMSUNG Infuse phone. These phones are so large that some form of protection is virtually a necessity. &lt;br /&gt;&lt;br /&gt;This Getting the first three sides in the case is no problem. The fourth side takes a little more work but is not all that frustrating.&lt;br /&gt;&lt;br /&gt;Case provides adequate drop protection for the Infuse. I think that only an Otter Box case provides better protection. If you drop your phoone often or collide with obstacles while wearing the phone then the Otter Box may be better for you. The benefit to this case is protection without adding a lot of bulk.&lt;br /&gt;&lt;br Remember the paper clip hint from above. I bought a different one from right here on Amazon.&lt;br /&gt;&lt;br /&gt;CONS:&lt;br /&gt;&lt;br /&gt;While this case does not add a lot of bulk it does add just enough that it is difficult to find a belt pouch that will hold the phone while the phone is in the case. I am using a Nite Ize Wide Cargo Case which is big enough but just barely. My observation is that most people will not want to wear a phone this size on their belt but for those who do, there are precious few solutions to the problem out there.&lt;br /&gt;&lt;br /&gt;This case DOES NOT provide complete drop protection for you phone. If you need that then this is not the case for you. One of the Otter Box cases is what you need.&lt;br /&gt;&lt;br /&gt;THE BOTTOM LINE&lt;br /&gt;&lt;br /&gt;We have two Samsung Infuse phones and both are housed in this case. The War Department (a.k.a. She Who Must Be Obeyed) liked this case so much after seeing mine that she had me order one for her phone too. I would buy this case again if the need arose.</x:v>
      </x:c>
      <x:c r="J614" s="101" t="n">
        <x:v>2</x:v>
      </x:c>
      <x:c r="K614" s="92" t="str">
        <x:v>Human_Reviewer_01</x:v>
      </x:c>
      <x:c r="L614" s="92" t="str">
        <x:v>High</x:v>
      </x:c>
      <x:c r="M614" s="93" t="str">
        <x:v>Phone case offers limited drop protection with modest added bulk and pouch-fit limitations.</x:v>
      </x:c>
      <x:c r="N614" s="94"/>
      <x:c r="O614" s="94"/>
      <x:c r="P614" s="94"/>
      <x:c r="Q614" s="95"/>
      <x:c r="R614" s="96"/>
      <x:c r="S614" s="96"/>
      <x:c r="T614" s="97"/>
      <x:c r="U614" s="98" t="str">
        <x:f>IF(OR(J614="",N614=""),"",IF(J614=N614,"No","Yes"))</x:f>
      </x:c>
      <x:c r="V614" s="98" t="n">
        <x:v>2</x:v>
      </x:c>
    </x:row>
    <x:row r="615" ht="54" hidden="0" customHeight="1">
      <x:c r="A615" s="38" t="str">
        <x:v>Q016::B00F0ZQXEW_review_2837895</x:v>
      </x:c>
      <x:c r="B615" s="38" t="str">
        <x:v>Q016</x:v>
      </x:c>
      <x:c r="C615" s="91" t="str">
        <x:v>Which phone case offers strong drop protection without making the phone too bulky?</x:v>
      </x:c>
      <x:c r="D615" s="38" t="n">
        <x:v>22</x:v>
      </x:c>
      <x:c r="E615" s="38" t="str">
        <x:v>B00F0ZQXEW</x:v>
      </x:c>
      <x:c r="F615" s="38" t="str">
        <x:v>review</x:v>
      </x:c>
      <x:c r="G615" s="38" t="str">
        <x:v>general</x:v>
      </x:c>
      <x:c r="H615" s="38" t="str">
        <x:v>Cell Phones &amp; Accessories</x:v>
      </x:c>
      <x:c r="I615" s="91" t="str">
        <x:v>[Product: Fosmon DURA-FRO Series Flexible SLIM-Fit TPU Case for LG Optimus G2 (AT&amp;T, T-Mobile, Sprint) (Matte Clear) | ASIN: B00F0ZQXEW] Good protection from bumps, dings short drops, and scratches. Not pretty, but gets the job done.</x:v>
      </x:c>
      <x:c r="J615" s="101" t="n">
        <x:v>2</x:v>
      </x:c>
      <x:c r="K615" s="92" t="str">
        <x:v>Human_Reviewer_01</x:v>
      </x:c>
      <x:c r="L615" s="92" t="str">
        <x:v>High</x:v>
      </x:c>
      <x:c r="M615" s="93" t="str">
        <x:v>Phone case explicitly protects against bumps and short drops.</x:v>
      </x:c>
      <x:c r="N615" s="94"/>
      <x:c r="O615" s="94"/>
      <x:c r="P615" s="94"/>
      <x:c r="Q615" s="95"/>
      <x:c r="R615" s="96"/>
      <x:c r="S615" s="96"/>
      <x:c r="T615" s="97"/>
      <x:c r="U615" s="98" t="str">
        <x:f>IF(OR(J615="",N615=""),"",IF(J615=N615,"No","Yes"))</x:f>
      </x:c>
      <x:c r="V615" s="98" t="n">
        <x:v>2</x:v>
      </x:c>
    </x:row>
    <x:row r="616" ht="54" hidden="0" customHeight="1">
      <x:c r="A616" s="38" t="str">
        <x:v>Q016::B00MXL9APK_review_2103604</x:v>
      </x:c>
      <x:c r="B616" s="38" t="str">
        <x:v>Q016</x:v>
      </x:c>
      <x:c r="C616" s="91" t="str">
        <x:v>Which phone case offers strong drop protection without making the phone too bulky?</x:v>
      </x:c>
      <x:c r="D616" s="38" t="n">
        <x:v>23</x:v>
      </x:c>
      <x:c r="E616" s="38" t="str">
        <x:v>B00MXL9APK</x:v>
      </x:c>
      <x:c r="F616" s="38" t="str">
        <x:v>review</x:v>
      </x:c>
      <x:c r="G616" s="38" t="str">
        <x:v>design/appearance</x:v>
      </x:c>
      <x:c r="H616" s="38" t="str">
        <x:v>Cell Phones &amp; Accessories</x:v>
      </x:c>
      <x:c r="I616" s="91" t="str">
        <x:v>[Product: Lambow SMS3-CR01-HCS-(correct) Vassoul 4D Silk Fiber Lash Mascara Sets - Waterproof Makeup Eyelash Extension, Sweat proof Long Curling Thick, Long-Lasting, Dramatic Extension, Crazy Long Washable Mascara | ASIN: B00MXL9APK] I spent over an hour looking at reviews of a variety of cases. I was looking for a case that was not too bulky and provided a much better grip than the phone itself. Anything with excellent drop protection would be too bulky or rubbery for my tastes. As for the Rock case vs the Aduro case, it came down to looks vs practicality, respectively.&lt;br /&gt;&lt;br /&gt;Now to the actual review:&lt;br /&gt;&lt;br /&gt;THINNESS: I am not saying it is super thin, but it is definitely not bulky. It looks pretty sweet.</x:v>
      </x:c>
      <x:c r="J616" s="101" t="n">
        <x:v>0</x:v>
      </x:c>
      <x:c r="K616" s="92" t="str">
        <x:v>Human_Reviewer_01</x:v>
      </x:c>
      <x:c r="L616" s="92" t="str">
        <x:v>High</x:v>
      </x:c>
      <x:c r="M616" s="93" t="str">
        <x:v>Product prefix identifies mascara; phone-case testimony cannot be reliably attributed to that product.</x:v>
      </x:c>
      <x:c r="N616" s="94"/>
      <x:c r="O616" s="94"/>
      <x:c r="P616" s="94"/>
      <x:c r="Q616" s="95"/>
      <x:c r="R616" s="96"/>
      <x:c r="S616" s="96"/>
      <x:c r="T616" s="97"/>
      <x:c r="U616" s="98" t="str">
        <x:f>IF(OR(J616="",N616=""),"",IF(J616=N616,"No","Yes"))</x:f>
      </x:c>
      <x:c r="V616" s="98" t="n">
        <x:v>0</x:v>
      </x:c>
    </x:row>
    <x:row r="617" ht="54" hidden="0" customHeight="1">
      <x:c r="A617" s="38" t="str">
        <x:v>Q016::B009ABL586_review_1810592</x:v>
      </x:c>
      <x:c r="B617" s="38" t="str">
        <x:v>Q016</x:v>
      </x:c>
      <x:c r="C617" s="91" t="str">
        <x:v>Which phone case offers strong drop protection without making the phone too bulky?</x:v>
      </x:c>
      <x:c r="D617" s="38" t="n">
        <x:v>24</x:v>
      </x:c>
      <x:c r="E617" s="38" t="str">
        <x:v>B009ABL586</x:v>
      </x:c>
      <x:c r="F617" s="38" t="str">
        <x:v>review</x:v>
      </x:c>
      <x:c r="G617" s="38" t="str">
        <x:v>general</x:v>
      </x:c>
      <x:c r="H617" s="38" t="str">
        <x:v>Cell Phones &amp; Accessories</x:v>
      </x:c>
      <x:c r="I617" s="91" t="str">
        <x:v>[Product: Scosche IP5LBK Black beefKASE g6 for iPhone 5 and 5S | ASIN: B009ABL586] I wanted something that would not add a lot of bulk and weight to the phone, but would offer some protection, and give me a little grip. This is no OtterBox, of course, so I would not recommend bouncing the phone off of the concrete. It is very lightweight and slim enough that I barely feel like I have a case on my phone.&lt;br /&gt;&lt;br /&gt;This is my second Scosche case...had one for my previous iPhone that held up very well. Very happy with this product.</x:v>
      </x:c>
      <x:c r="J617" s="101" t="n">
        <x:v>2</x:v>
      </x:c>
      <x:c r="K617" s="92" t="str">
        <x:v>Human_Reviewer_01</x:v>
      </x:c>
      <x:c r="L617" s="92" t="str">
        <x:v>High</x:v>
      </x:c>
      <x:c r="M617" s="93" t="str">
        <x:v>Phone case is lightweight and slim with explicit limits for concrete-drop protection.</x:v>
      </x:c>
      <x:c r="N617" s="94"/>
      <x:c r="O617" s="94"/>
      <x:c r="P617" s="94"/>
      <x:c r="Q617" s="95"/>
      <x:c r="R617" s="96"/>
      <x:c r="S617" s="96"/>
      <x:c r="T617" s="97"/>
      <x:c r="U617" s="98" t="str">
        <x:f>IF(OR(J617="",N617=""),"",IF(J617=N617,"No","Yes"))</x:f>
      </x:c>
      <x:c r="V617" s="98" t="n">
        <x:v>2</x:v>
      </x:c>
    </x:row>
    <x:row r="618" ht="54" hidden="0" customHeight="1">
      <x:c r="A618" s="38" t="str">
        <x:v>Q016::B09PVXGS7L_review_2607147</x:v>
      </x:c>
      <x:c r="B618" s="38" t="str">
        <x:v>Q016</x:v>
      </x:c>
      <x:c r="C618" s="91" t="str">
        <x:v>Which phone case offers strong drop protection without making the phone too bulky?</x:v>
      </x:c>
      <x:c r="D618" s="38" t="n">
        <x:v>25</x:v>
      </x:c>
      <x:c r="E618" s="38" t="str">
        <x:v>B09PVXGS7L</x:v>
      </x:c>
      <x:c r="F618" s="38" t="str">
        <x:v>review</x:v>
      </x:c>
      <x:c r="G618" s="38" t="str">
        <x:v>build quality</x:v>
      </x:c>
      <x:c r="H618" s="38" t="str">
        <x:v>Cell Phones &amp; Accessories</x:v>
      </x:c>
      <x:c r="I618" s="91" t="str">
        <x:v>[Product: OTTERBOX THIN FLEX SERIES Case for Galaxy Z Fold3 5G - BLACK | ASIN: B09PVXGS7L] Bad quality, from one drop the cover broke and my phone too I cost me 200 us to change the screen of the phone I do not recommend .</x:v>
      </x:c>
      <x:c r="J618" s="101" t="n">
        <x:v>2</x:v>
      </x:c>
      <x:c r="K618" s="92" t="str">
        <x:v>Human_Reviewer_01</x:v>
      </x:c>
      <x:c r="L618" s="92" t="str">
        <x:v>High</x:v>
      </x:c>
      <x:c r="M618" s="93" t="str">
        <x:v>Phone case and phone break after one drop; direct negative evidence.</x:v>
      </x:c>
      <x:c r="N618" s="94"/>
      <x:c r="O618" s="94"/>
      <x:c r="P618" s="94"/>
      <x:c r="Q618" s="95"/>
      <x:c r="R618" s="96"/>
      <x:c r="S618" s="96"/>
      <x:c r="T618" s="97"/>
      <x:c r="U618" s="98" t="str">
        <x:f>IF(OR(J618="",N618=""),"",IF(J618=N618,"No","Yes"))</x:f>
      </x:c>
      <x:c r="V618" s="98" t="n">
        <x:v>2</x:v>
      </x:c>
    </x:row>
    <x:row r="619" ht="54" hidden="0" customHeight="1">
      <x:c r="A619" s="38" t="str">
        <x:v>Q016::B00MXL9APK_review_2103605</x:v>
      </x:c>
      <x:c r="B619" s="38" t="str">
        <x:v>Q016</x:v>
      </x:c>
      <x:c r="C619" s="91" t="str">
        <x:v>Which phone case offers strong drop protection without making the phone too bulky?</x:v>
      </x:c>
      <x:c r="D619" s="38" t="n">
        <x:v>26</x:v>
      </x:c>
      <x:c r="E619" s="38" t="str">
        <x:v>B00MXL9APK</x:v>
      </x:c>
      <x:c r="F619" s="38" t="str">
        <x:v>review</x:v>
      </x:c>
      <x:c r="G619" s="38" t="str">
        <x:v>general</x:v>
      </x:c>
      <x:c r="H619" s="38" t="str">
        <x:v>Cell Phones &amp; Accessories</x:v>
      </x:c>
      <x:c r="I619" s="91" t="str">
        <x:v>[Product: Lambow SMS3-CR01-HCS-(correct) Vassoul 4D Silk Fiber Lash Mascara Sets - Waterproof Makeup Eyelash Extension, Sweat proof Long Curling Thick, Long-Lasting, Dramatic Extension, Crazy Long Washable Mascara | ASIN: B00MXL9APK] The final 2 candidates for me were this one and the Rock Quicksand case. The strategy I had was to get a case that is more phone drop "prevention" rather than "protection". It is thinner than I expected to be, given that there is a kickstand. 4/5&lt;br /&gt;&lt;br /&gt;GRIP WHILE NOT TURNING YOUR POCKETS INSIDE OUT: The material is smooth enough to not stick to your pockets, while the raised lines give it enough texture for a secure grip. 4/5&lt;br /&gt;&lt;br /&gt;KICKSTAND: Using the kickstand, the phone stands comfortably both horizontally and vertically. 5/5&lt;br /&gt;&lt;br /&gt;CUTOUTS: All cutouts do not impede on anything. Side buttons can be easily pressed behind the lip of the case. 5/5&lt;br /&gt;&lt;br /&gt;HOLSTER: For the most part, I am just going to use the backing and keep the phone in my front pocket. I do plan on using the holster while golfing though. The phone slides in securely into the holster. I definitely will not be worrying about the phone falling out. There is a little bit of resistance putting in and taking out the phone, but I do not see it being annoying. 5/5&lt;br /&gt;&lt;br /&gt;PROTECTION: See my first paragraph above. whatever/5&lt;br /&gt;&lt;br /&gt;Overall, I am very satisfied with my purchase. I may still end up getting the Rock case if I get bored of this one.</x:v>
      </x:c>
      <x:c r="J619" s="101" t="n">
        <x:v>0</x:v>
      </x:c>
      <x:c r="K619" s="92" t="str">
        <x:v>Human_Reviewer_01</x:v>
      </x:c>
      <x:c r="L619" s="92" t="str">
        <x:v>High</x:v>
      </x:c>
      <x:c r="M619" s="93" t="str">
        <x:v>Product prefix identifies mascara; phone-case testimony cannot be reliably attributed to that product.</x:v>
      </x:c>
      <x:c r="N619" s="94"/>
      <x:c r="O619" s="94"/>
      <x:c r="P619" s="94"/>
      <x:c r="Q619" s="95"/>
      <x:c r="R619" s="96"/>
      <x:c r="S619" s="96"/>
      <x:c r="T619" s="97"/>
      <x:c r="U619" s="98" t="str">
        <x:f>IF(OR(J619="",N619=""),"",IF(J619=N619,"No","Yes"))</x:f>
      </x:c>
      <x:c r="V619" s="98" t="n">
        <x:v>0</x:v>
      </x:c>
    </x:row>
    <x:row r="620" ht="54" hidden="0" customHeight="1">
      <x:c r="A620" s="38" t="str">
        <x:v>Q016::B00SVYTR7E_review_2932431</x:v>
      </x:c>
      <x:c r="B620" s="38" t="str">
        <x:v>Q016</x:v>
      </x:c>
      <x:c r="C620" s="91" t="str">
        <x:v>Which phone case offers strong drop protection without making the phone too bulky?</x:v>
      </x:c>
      <x:c r="D620" s="38" t="n">
        <x:v>27</x:v>
      </x:c>
      <x:c r="E620" s="38" t="str">
        <x:v>B00SVYTR7E</x:v>
      </x:c>
      <x:c r="F620" s="38" t="str">
        <x:v>review</x:v>
      </x:c>
      <x:c r="G620" s="38" t="str">
        <x:v>general</x:v>
      </x:c>
      <x:c r="H620" s="38" t="str">
        <x:v>Computers</x:v>
      </x:c>
      <x:c r="I620" s="91" t="str">
        <x:v>[Product: Ringke Fusion Compatible with LG G Flex 2 Case with HD Film, Dust Cap Drop Protection Shock Absorption Bumper Premium Hard Case - Clear | ASIN: B00SVYTR7E] Bought this and the Tudia case to see which is best. Ringke wins hands down. The Tudia is matte back and this slips easily out of your hand. This one is not a hard case. It is tpc flexible rubber which has the same grip as the phone back while remaining flexible. It is true about the flash being comprised but...the Tudia slips out of my hand while the Ringke offers better grip and yet slides in the pocket.</x:v>
      </x:c>
      <x:c r="J620" s="101" t="n">
        <x:v>1</x:v>
      </x:c>
      <x:c r="K620" s="92" t="str">
        <x:v>Human_Reviewer_01</x:v>
      </x:c>
      <x:c r="L620" s="92" t="str">
        <x:v>High</x:v>
      </x:c>
      <x:c r="M620" s="93" t="str">
        <x:v>Phone-case grip and pocket handling reduce drop risk, but impact protection is untested.</x:v>
      </x:c>
      <x:c r="N620" s="94"/>
      <x:c r="O620" s="94"/>
      <x:c r="P620" s="94"/>
      <x:c r="Q620" s="95"/>
      <x:c r="R620" s="96"/>
      <x:c r="S620" s="96"/>
      <x:c r="T620" s="97"/>
      <x:c r="U620" s="98" t="str">
        <x:f>IF(OR(J620="",N620=""),"",IF(J620=N620,"No","Yes"))</x:f>
      </x:c>
      <x:c r="V620" s="98" t="n">
        <x:v>1</x:v>
      </x:c>
    </x:row>
    <x:row r="621" ht="54" hidden="0" customHeight="1">
      <x:c r="A621" s="38" t="str">
        <x:v>Q016::B07BVFTMCC_review_2955002</x:v>
      </x:c>
      <x:c r="B621" s="38" t="str">
        <x:v>Q016</x:v>
      </x:c>
      <x:c r="C621" s="91" t="str">
        <x:v>Which phone case offers strong drop protection without making the phone too bulky?</x:v>
      </x:c>
      <x:c r="D621" s="38" t="n">
        <x:v>28</x:v>
      </x:c>
      <x:c r="E621" s="38" t="str">
        <x:v>B07BVFTMCC</x:v>
      </x:c>
      <x:c r="F621" s="38" t="str">
        <x:v>review</x:v>
      </x:c>
      <x:c r="G621" s="38" t="str">
        <x:v>general</x:v>
      </x:c>
      <x:c r="H621" s="38" t="str">
        <x:v>Cell Phones &amp; Accessories</x:v>
      </x:c>
      <x:c r="I621" s="91" t="str">
        <x:v>[Product: Bastex iPod Touch 4 Case, Hybrid Slim Fit Black Rubber Silicone Cover Hard Plastic Purple &amp; Black Shock Case for Apple iPod Touch 4, 4th Generation | ASIN: B07BVFTMCC] This case is very nice. A hard she will surrounds phone and fits into the rubber outer she will. Perfect to keep it from slipping out of your pocket. Just the right amount of protection to keep it from breaking should you drop it, without making it cumbersome.</x:v>
      </x:c>
      <x:c r="J621" s="101" t="n">
        <x:v>0</x:v>
      </x:c>
      <x:c r="K621" s="92" t="str">
        <x:v>Human_Reviewer_01</x:v>
      </x:c>
      <x:c r="L621" s="92" t="str">
        <x:v>High</x:v>
      </x:c>
      <x:c r="M621" s="93" t="str">
        <x:v>This is an iPod Touch case, not a phone case.</x:v>
      </x:c>
      <x:c r="N621" s="94"/>
      <x:c r="O621" s="94"/>
      <x:c r="P621" s="94"/>
      <x:c r="Q621" s="95"/>
      <x:c r="R621" s="96"/>
      <x:c r="S621" s="96"/>
      <x:c r="T621" s="97"/>
      <x:c r="U621" s="98" t="str">
        <x:f>IF(OR(J621="",N621=""),"",IF(J621=N621,"No","Yes"))</x:f>
      </x:c>
      <x:c r="V621" s="98" t="n">
        <x:v>0</x:v>
      </x:c>
    </x:row>
    <x:row r="622" ht="54" hidden="0" customHeight="1">
      <x:c r="A622" s="38" t="str">
        <x:v>Q016::B00GWQ0B0U_review_2112006</x:v>
      </x:c>
      <x:c r="B622" s="38" t="str">
        <x:v>Q016</x:v>
      </x:c>
      <x:c r="C622" s="91" t="str">
        <x:v>Which phone case offers strong drop protection without making the phone too bulky?</x:v>
      </x:c>
      <x:c r="D622" s="38" t="n">
        <x:v>29</x:v>
      </x:c>
      <x:c r="E622" s="38" t="str">
        <x:v>B00GWQ0B0U</x:v>
      </x:c>
      <x:c r="F622" s="38" t="str">
        <x:v>review</x:v>
      </x:c>
      <x:c r="G622" s="38" t="str">
        <x:v>design/appearance</x:v>
      </x:c>
      <x:c r="H622" s="38" t="str">
        <x:v>Cell Phones &amp; Accessories</x:v>
      </x:c>
      <x:c r="I622" s="91" t="str">
        <x:v>[Product: Fosmon DURA-FROST Series Flexible TPU Case for BlackBerry Z30 / BlackBerry A10 (Black) | ASIN: B00GWQ0B0U] Thin enough to not make the phone bulky</x:v>
      </x:c>
      <x:c r="J622" s="101" t="n">
        <x:v>2</x:v>
      </x:c>
      <x:c r="K622" s="92" t="str">
        <x:v>Human_Reviewer_01</x:v>
      </x:c>
      <x:c r="L622" s="92" t="str">
        <x:v>High</x:v>
      </x:c>
      <x:c r="M622" s="93" t="str">
        <x:v>Phone case is explicitly thin enough to avoid bulk.</x:v>
      </x:c>
      <x:c r="N622" s="94"/>
      <x:c r="O622" s="94"/>
      <x:c r="P622" s="94"/>
      <x:c r="Q622" s="95"/>
      <x:c r="R622" s="96"/>
      <x:c r="S622" s="96"/>
      <x:c r="T622" s="97"/>
      <x:c r="U622" s="98" t="str">
        <x:f>IF(OR(J622="",N622=""),"",IF(J622=N622,"No","Yes"))</x:f>
      </x:c>
      <x:c r="V622" s="98" t="n">
        <x:v>2</x:v>
      </x:c>
    </x:row>
    <x:row r="623" ht="54" hidden="0" customHeight="1">
      <x:c r="A623" s="38" t="str">
        <x:v>Q016::B00DLYOFU8_review_306641</x:v>
      </x:c>
      <x:c r="B623" s="38" t="str">
        <x:v>Q016</x:v>
      </x:c>
      <x:c r="C623" s="91" t="str">
        <x:v>Which phone case offers strong drop protection without making the phone too bulky?</x:v>
      </x:c>
      <x:c r="D623" s="38" t="n">
        <x:v>30</x:v>
      </x:c>
      <x:c r="E623" s="38" t="str">
        <x:v>B00DLYOFU8</x:v>
      </x:c>
      <x:c r="F623" s="38" t="str">
        <x:v>review</x:v>
      </x:c>
      <x:c r="G623" s="38" t="str">
        <x:v>design/appearance</x:v>
      </x:c>
      <x:c r="H623" s="38" t="str">
        <x:v>Cell Phones &amp; Accessories</x:v>
      </x:c>
      <x:c r="I623" s="91" t="str">
        <x:v>[Product: Samsung Galaxy S4 Case Wireless Charging Battery Cover -White (Discontinued by Manufacturer) | ASIN: B00DLYOFU8] Why would anyone buy this Qi back plate if anyone can buy the Fonesalesman or other alternative that does not make the phone bulky?</x:v>
      </x:c>
      <x:c r="J623" s="101" t="n">
        <x:v>0</x:v>
      </x:c>
      <x:c r="K623" s="92" t="str">
        <x:v>Human_Reviewer_01</x:v>
      </x:c>
      <x:c r="L623" s="92" t="str">
        <x:v>High</x:v>
      </x:c>
      <x:c r="M623" s="93" t="str">
        <x:v>This is a wireless-charging replacement back plate, not a protective phone case.</x:v>
      </x:c>
      <x:c r="N623" s="94"/>
      <x:c r="O623" s="94"/>
      <x:c r="P623" s="94"/>
      <x:c r="Q623" s="95"/>
      <x:c r="R623" s="96"/>
      <x:c r="S623" s="96"/>
      <x:c r="T623" s="97"/>
      <x:c r="U623" s="98" t="str">
        <x:f>IF(OR(J623="",N623=""),"",IF(J623=N623,"No","Yes"))</x:f>
      </x:c>
      <x:c r="V623" s="98" t="n">
        <x:v>0</x:v>
      </x:c>
    </x:row>
    <x:row r="624" ht="54" hidden="0" customHeight="1">
      <x:c r="A624" s="38" t="str">
        <x:v>Q016::B00EWHMMJO_review_905266</x:v>
      </x:c>
      <x:c r="B624" s="38" t="str">
        <x:v>Q016</x:v>
      </x:c>
      <x:c r="C624" s="91" t="str">
        <x:v>Which phone case offers strong drop protection without making the phone too bulky?</x:v>
      </x:c>
      <x:c r="D624" s="38" t="n">
        <x:v>31</x:v>
      </x:c>
      <x:c r="E624" s="38" t="str">
        <x:v>B00EWHMMJO</x:v>
      </x:c>
      <x:c r="F624" s="38" t="str">
        <x:v>review</x:v>
      </x:c>
      <x:c r="G624" s="38" t="str">
        <x:v>design/appearance</x:v>
      </x:c>
      <x:c r="H624" s="38" t="str">
        <x:v>Computers</x:v>
      </x:c>
      <x:c r="I624" s="91" t="str">
        <x:v>[Product: Apple iPad Air Black Shock Drop Hard Candy Cases Silicone Rugged Shock Absorbing Protective Dual Layer Cover Case | ASIN: B00EWHMMJO] This case offers great protection without being too bulky.</x:v>
      </x:c>
      <x:c r="J624" s="101" t="n">
        <x:v>0</x:v>
      </x:c>
      <x:c r="K624" s="92" t="str">
        <x:v>Human_Reviewer_01</x:v>
      </x:c>
      <x:c r="L624" s="92" t="str">
        <x:v>High</x:v>
      </x:c>
      <x:c r="M624" s="93" t="str">
        <x:v>This is an iPad case, not a phone case.</x:v>
      </x:c>
      <x:c r="N624" s="94"/>
      <x:c r="O624" s="94"/>
      <x:c r="P624" s="94"/>
      <x:c r="Q624" s="95"/>
      <x:c r="R624" s="96"/>
      <x:c r="S624" s="96"/>
      <x:c r="T624" s="97"/>
      <x:c r="U624" s="98" t="str">
        <x:f>IF(OR(J624="",N624=""),"",IF(J624=N624,"No","Yes"))</x:f>
      </x:c>
      <x:c r="V624" s="98" t="n">
        <x:v>0</x:v>
      </x:c>
    </x:row>
    <x:row r="625" ht="54" hidden="0" customHeight="1">
      <x:c r="A625" s="38" t="str">
        <x:v>Q016::B00Z7STPYM_review_1720825</x:v>
      </x:c>
      <x:c r="B625" s="38" t="str">
        <x:v>Q016</x:v>
      </x:c>
      <x:c r="C625" s="91" t="str">
        <x:v>Which phone case offers strong drop protection without making the phone too bulky?</x:v>
      </x:c>
      <x:c r="D625" s="38" t="n">
        <x:v>32</x:v>
      </x:c>
      <x:c r="E625" s="38" t="str">
        <x:v>B00Z7STPYM</x:v>
      </x:c>
      <x:c r="F625" s="38" t="str">
        <x:v>review</x:v>
      </x:c>
      <x:c r="G625" s="38" t="str">
        <x:v>design/appearance</x:v>
      </x:c>
      <x:c r="H625" s="38" t="str">
        <x:v>Cell Phones &amp; Accessories</x:v>
      </x:c>
      <x:c r="I625" s="91" t="str">
        <x:v>[Product: OTTERBOX COMMUTER SERIES Case for iPhone 6/6s - Frustration FRĒe Packaging - PURPLE AMETHYST (PERIWINKLE PURPLE/LIBERTY PURPLE) | ASIN: B00Z7STPYM] I do not like bulky or heavy phone cases. I was concerned that this case would be bulky, ugly, and look like something I would carry rock climbing. I chose the purple lavender color, and it is a pretty, fashionable hue. The case is pretty, functional, and light, and offers great protection -- it is exactly what I was looking for!&lt;br /&gt;&lt;br</x:v>
      </x:c>
      <x:c r="J625" s="101" t="n">
        <x:v>2</x:v>
      </x:c>
      <x:c r="K625" s="92" t="str">
        <x:v>Human_Reviewer_01</x:v>
      </x:c>
      <x:c r="L625" s="92" t="str">
        <x:v>High</x:v>
      </x:c>
      <x:c r="M625" s="93" t="str">
        <x:v>Phone case is lightweight and protective without the expected bulk.</x:v>
      </x:c>
      <x:c r="N625" s="94"/>
      <x:c r="O625" s="94"/>
      <x:c r="P625" s="94"/>
      <x:c r="Q625" s="95"/>
      <x:c r="R625" s="96"/>
      <x:c r="S625" s="96"/>
      <x:c r="T625" s="97"/>
      <x:c r="U625" s="98" t="str">
        <x:f>IF(OR(J625="",N625=""),"",IF(J625=N625,"No","Yes"))</x:f>
      </x:c>
      <x:c r="V625" s="98" t="n">
        <x:v>2</x:v>
      </x:c>
    </x:row>
    <x:row r="626" ht="54" hidden="0" customHeight="1">
      <x:c r="A626" s="38" t="str">
        <x:v>Q016::B0812DR63S_review_199641</x:v>
      </x:c>
      <x:c r="B626" s="38" t="str">
        <x:v>Q016</x:v>
      </x:c>
      <x:c r="C626" s="91" t="str">
        <x:v>Which phone case offers strong drop protection without making the phone too bulky?</x:v>
      </x:c>
      <x:c r="D626" s="38" t="n">
        <x:v>33</x:v>
      </x:c>
      <x:c r="E626" s="38" t="str">
        <x:v>B0812DR63S</x:v>
      </x:c>
      <x:c r="F626" s="38" t="str">
        <x:v>review</x:v>
      </x:c>
      <x:c r="G626" s="38" t="str">
        <x:v>general</x:v>
      </x:c>
      <x:c r="H626" s="38" t="str">
        <x:v>Cell Phones &amp; Accessories</x:v>
      </x:c>
      <x:c r="I626" s="91" t="str">
        <x:v>[Product: Keshiwo 2 in 1 Wireless Headset Phone Case Protection for iPhone 11 and for AirPods, Anti-Fall Protective case, Drop Protection Sleeve, Mobile Phone Shell Silicone + Headset Warehouse Plastic | ASIN: B0812DR63S] Awesome case perfect for when traveling and in the road.</x:v>
      </x:c>
      <x:c r="J626" s="101" t="n">
        <x:v>1</x:v>
      </x:c>
      <x:c r="K626" s="92" t="str">
        <x:v>Human_Reviewer_01</x:v>
      </x:c>
      <x:c r="L626" s="92" t="str">
        <x:v>High</x:v>
      </x:c>
      <x:c r="M626" s="93" t="str">
        <x:v>Phone-case travel praise is generic; drop protection and bulk are not evaluated.</x:v>
      </x:c>
      <x:c r="N626" s="94"/>
      <x:c r="O626" s="94"/>
      <x:c r="P626" s="94"/>
      <x:c r="Q626" s="95"/>
      <x:c r="R626" s="96"/>
      <x:c r="S626" s="96"/>
      <x:c r="T626" s="97"/>
      <x:c r="U626" s="98" t="str">
        <x:f>IF(OR(J626="",N626=""),"",IF(J626=N626,"No","Yes"))</x:f>
      </x:c>
      <x:c r="V626" s="98" t="n">
        <x:v>1</x:v>
      </x:c>
    </x:row>
    <x:row r="627" ht="54" hidden="0" customHeight="1">
      <x:c r="A627" s="38" t="str">
        <x:v>Q016::B00Z7SZUW8_review_2666843</x:v>
      </x:c>
      <x:c r="B627" s="38" t="str">
        <x:v>Q016</x:v>
      </x:c>
      <x:c r="C627" s="91" t="str">
        <x:v>Which phone case offers strong drop protection without making the phone too bulky?</x:v>
      </x:c>
      <x:c r="D627" s="38" t="n">
        <x:v>34</x:v>
      </x:c>
      <x:c r="E627" s="38" t="str">
        <x:v>B00Z7SZUW8</x:v>
      </x:c>
      <x:c r="F627" s="38" t="str">
        <x:v>review</x:v>
      </x:c>
      <x:c r="G627" s="38" t="str">
        <x:v>general</x:v>
      </x:c>
      <x:c r="H627" s="38" t="str">
        <x:v>Cell Phones &amp; Accessories</x:v>
      </x:c>
      <x:c r="I627" s="91" t="str">
        <x:v>[Product: OTTERBOX Symmetry Series Case for Samsung Galaxy S7 - Frustration FRĒe Packaging - Perfected Angles (White/Damson Purple/Graphic) | ASIN: B00Z7SZUW8] This case arrived yesterday. I am 5'6&amp;#34;, and I already dropped my phone (case on) from eye level, while standing up, onto a tile floor. My phone, and the case, survived without incident. Yay! It is slim - my phone slides easily into my pocket. It is a hard-she will with a somewhat rubberized frame so that it is gripped in the hand and does not slip. Fits the phone snuggly. The only reason it fell to the floor was by human error, not because it slipped out of my hand :-)</x:v>
      </x:c>
      <x:c r="J627" s="101" t="n">
        <x:v>2</x:v>
      </x:c>
      <x:c r="K627" s="92" t="str">
        <x:v>Human_Reviewer_01</x:v>
      </x:c>
      <x:c r="L627" s="92" t="str">
        <x:v>High</x:v>
      </x:c>
      <x:c r="M627" s="93" t="str">
        <x:v>Slim phone case protects a phone during an eye-level drop onto tile.</x:v>
      </x:c>
      <x:c r="N627" s="94"/>
      <x:c r="O627" s="94"/>
      <x:c r="P627" s="94"/>
      <x:c r="Q627" s="95"/>
      <x:c r="R627" s="96"/>
      <x:c r="S627" s="96"/>
      <x:c r="T627" s="97"/>
      <x:c r="U627" s="98" t="str">
        <x:f>IF(OR(J627="",N627=""),"",IF(J627=N627,"No","Yes"))</x:f>
      </x:c>
      <x:c r="V627" s="98" t="n">
        <x:v>2</x:v>
      </x:c>
    </x:row>
    <x:row r="628" ht="54" hidden="0" customHeight="1">
      <x:c r="A628" s="38" t="str">
        <x:v>Q016::B00FG03PWE_review_742440</x:v>
      </x:c>
      <x:c r="B628" s="38" t="str">
        <x:v>Q016</x:v>
      </x:c>
      <x:c r="C628" s="91" t="str">
        <x:v>Which phone case offers strong drop protection without making the phone too bulky?</x:v>
      </x:c>
      <x:c r="D628" s="38" t="n">
        <x:v>35</x:v>
      </x:c>
      <x:c r="E628" s="38" t="str">
        <x:v>B00FG03PWE</x:v>
      </x:c>
      <x:c r="F628" s="38" t="str">
        <x:v>review</x:v>
      </x:c>
      <x:c r="G628" s="38" t="str">
        <x:v>build quality</x:v>
      </x:c>
      <x:c r="H628" s="38" t="str">
        <x:v>Cell Phones &amp; Accessories</x:v>
      </x:c>
      <x:c r="I628" s="91" t="str">
        <x:v>[Product: URBAN ARMOR GEAR Case for iPhone 4/4S, White | ASIN: B00FG03PWE] Very Sturdy, yet not too bulky.</x:v>
      </x:c>
      <x:c r="J628" s="101" t="n">
        <x:v>2</x:v>
      </x:c>
      <x:c r="K628" s="92" t="str">
        <x:v>Human_Reviewer_01</x:v>
      </x:c>
      <x:c r="L628" s="92" t="str">
        <x:v>High</x:v>
      </x:c>
      <x:c r="M628" s="93" t="str">
        <x:v>Phone case is sturdy without excessive bulk.</x:v>
      </x:c>
      <x:c r="N628" s="94"/>
      <x:c r="O628" s="94"/>
      <x:c r="P628" s="94"/>
      <x:c r="Q628" s="95"/>
      <x:c r="R628" s="96"/>
      <x:c r="S628" s="96"/>
      <x:c r="T628" s="97"/>
      <x:c r="U628" s="98" t="str">
        <x:f>IF(OR(J628="",N628=""),"",IF(J628=N628,"No","Yes"))</x:f>
      </x:c>
      <x:c r="V628" s="98" t="n">
        <x:v>2</x:v>
      </x:c>
    </x:row>
    <x:row r="629" ht="54" hidden="0" customHeight="1">
      <x:c r="A629" s="38" t="str">
        <x:v>Q016::B004B1Y8YI_review_2956589</x:v>
      </x:c>
      <x:c r="B629" s="38" t="str">
        <x:v>Q016</x:v>
      </x:c>
      <x:c r="C629" s="91" t="str">
        <x:v>Which phone case offers strong drop protection without making the phone too bulky?</x:v>
      </x:c>
      <x:c r="D629" s="38" t="n">
        <x:v>36</x:v>
      </x:c>
      <x:c r="E629" s="38" t="str">
        <x:v>B004B1Y8YI</x:v>
      </x:c>
      <x:c r="F629" s="38" t="str">
        <x:v>review</x:v>
      </x:c>
      <x:c r="G629" s="38" t="str">
        <x:v>general</x:v>
      </x:c>
      <x:c r="H629" s="38" t="str">
        <x:v>Cell Phones &amp; Accessories</x:v>
      </x:c>
      <x:c r="I629" s="91" t="str">
        <x:v>[Product: OTTERBOX Impact Case for AT&amp;T and Verizon iPhone 4 (Red) | ASIN: B004B1Y8YI] This cover does NOT come with the plastic box that the Commuters and the Defenders come with. It is just a silicone sleeve. I still would not want to drop the phone from much higher than the kitchen counter, for example, but if I were to bump it on something, I feel confident the phone would be fine. The rubbery feel adds a slight bit of bulk to the phone that makes me feel more secure while holding it to talk. However, I do not think the texture is "sticky" enough to put the phone on dash of my car and expect it to stay there on a tight turn - I would still use an anti-skid mat.&lt;br /&gt;&lt;br I do like that the top and side buttons are covered - the cushion from the case makes it easier to find and push them without searching for them. The home button is also covered, which will help me keep dust, makeup, etc. out of the button's groove. This is not the case to use when you go to the beach.&lt;br /&gt;&lt;br /&gt;Overall, I am very pleased with this product!</x:v>
      </x:c>
      <x:c r="J629" s="101" t="n">
        <x:v>2</x:v>
      </x:c>
      <x:c r="K629" s="92" t="str">
        <x:v>Human_Reviewer_01</x:v>
      </x:c>
      <x:c r="L629" s="92" t="str">
        <x:v>High</x:v>
      </x:c>
      <x:c r="M629" s="93" t="str">
        <x:v>Phone case offers limited impact protection and adds slight bulk; reviewer avoids higher drops.</x:v>
      </x:c>
      <x:c r="N629" s="94"/>
      <x:c r="O629" s="94"/>
      <x:c r="P629" s="94"/>
      <x:c r="Q629" s="95"/>
      <x:c r="R629" s="96"/>
      <x:c r="S629" s="96"/>
      <x:c r="T629" s="97"/>
      <x:c r="U629" s="98" t="str">
        <x:f>IF(OR(J629="",N629=""),"",IF(J629=N629,"No","Yes"))</x:f>
      </x:c>
      <x:c r="V629" s="98" t="n">
        <x:v>2</x:v>
      </x:c>
    </x:row>
    <x:row r="630" ht="54" hidden="0" customHeight="1">
      <x:c r="A630" s="38" t="str">
        <x:v>Q016::B06XPFBCDH_review_3760798</x:v>
      </x:c>
      <x:c r="B630" s="38" t="str">
        <x:v>Q016</x:v>
      </x:c>
      <x:c r="C630" s="91" t="str">
        <x:v>Which phone case offers strong drop protection without making the phone too bulky?</x:v>
      </x:c>
      <x:c r="D630" s="38" t="n">
        <x:v>37</x:v>
      </x:c>
      <x:c r="E630" s="38" t="str">
        <x:v>B06XPFBCDH</x:v>
      </x:c>
      <x:c r="F630" s="38" t="str">
        <x:v>review</x:v>
      </x:c>
      <x:c r="G630" s="38" t="str">
        <x:v>design/appearance</x:v>
      </x:c>
      <x:c r="H630" s="38" t="str">
        <x:v>Computers</x:v>
      </x:c>
      <x:c r="I630" s="91" t="str">
        <x:v>[Product: Samsung Galaxy S20 Case - Crystal Clear Case for Samsung Galaxy S20 Protection - Transparent Samsung S20 Case Strong Hard Corner Edges - Slim Fit Soft Silicone Anti-Scratch Phone TPU Case 6.2 Inch | ASIN: B06XPFBCDH] The glass back on the tablet is very slippery without a case, but I did not want something bulky.</x:v>
      </x:c>
      <x:c r="J630" s="101" t="n">
        <x:v>0</x:v>
      </x:c>
      <x:c r="K630" s="92" t="str">
        <x:v>Human_Reviewer_01</x:v>
      </x:c>
      <x:c r="L630" s="92" t="str">
        <x:v>High</x:v>
      </x:c>
      <x:c r="M630" s="93" t="str">
        <x:v>Review explicitly concerns tablet use despite a phone-case prefix.</x:v>
      </x:c>
      <x:c r="N630" s="94"/>
      <x:c r="O630" s="94"/>
      <x:c r="P630" s="94"/>
      <x:c r="Q630" s="95"/>
      <x:c r="R630" s="96"/>
      <x:c r="S630" s="96"/>
      <x:c r="T630" s="97"/>
      <x:c r="U630" s="98" t="str">
        <x:f>IF(OR(J630="",N630=""),"",IF(J630=N630,"No","Yes"))</x:f>
      </x:c>
      <x:c r="V630" s="98" t="n">
        <x:v>0</x:v>
      </x:c>
    </x:row>
    <x:row r="631" ht="54" hidden="0" customHeight="1">
      <x:c r="A631" s="38" t="str">
        <x:v>Q016::B00N28AUK2_review_2255295</x:v>
      </x:c>
      <x:c r="B631" s="38" t="str">
        <x:v>Q016</x:v>
      </x:c>
      <x:c r="C631" s="91" t="str">
        <x:v>Which phone case offers strong drop protection without making the phone too bulky?</x:v>
      </x:c>
      <x:c r="D631" s="38" t="n">
        <x:v>38</x:v>
      </x:c>
      <x:c r="E631" s="38" t="str">
        <x:v>B00N28AUK2</x:v>
      </x:c>
      <x:c r="F631" s="38" t="str">
        <x:v>review</x:v>
      </x:c>
      <x:c r="G631" s="38" t="str">
        <x:v>general</x:v>
      </x:c>
      <x:c r="H631" s="38" t="str">
        <x:v>Cell Phones &amp; Accessories</x:v>
      </x:c>
      <x:c r="I631" s="91" t="str">
        <x:v>[Product: OTTERBOX COMMUTER SERIES Case for iPhone 6 PLUS/6s PLUS (5.5" Version) - Frustration FRĒe Packaging - BLACK | ASIN: B00N28AUK2] Nice Case for a Heavier Duty Option. I have tried a few cases mainly Spigen. I prefer the lighter duty &amp;#34;Hybrid&amp;#34; option which I have had over a year. I decided to upgrade to heavier duty case. It is a bit on the heavy side but should offer much more protection. This case will add about 2 ounces to the weight of your phone. The plastic is bit slick to make it easier to remove from your pocket, just grip the rubber areas.</x:v>
      </x:c>
      <x:c r="J631" s="101" t="n">
        <x:v>2</x:v>
      </x:c>
      <x:c r="K631" s="92" t="str">
        <x:v>Human_Reviewer_01</x:v>
      </x:c>
      <x:c r="L631" s="92" t="str">
        <x:v>High</x:v>
      </x:c>
      <x:c r="M631" s="93" t="str">
        <x:v>Phone case adds about two ounces and is relatively heavy; stronger protection remains a prediction.</x:v>
      </x:c>
      <x:c r="N631" s="94"/>
      <x:c r="O631" s="94"/>
      <x:c r="P631" s="94"/>
      <x:c r="Q631" s="95"/>
      <x:c r="R631" s="96"/>
      <x:c r="S631" s="96"/>
      <x:c r="T631" s="97"/>
      <x:c r="U631" s="98" t="str">
        <x:f>IF(OR(J631="",N631=""),"",IF(J631=N631,"No","Yes"))</x:f>
      </x:c>
      <x:c r="V631" s="98" t="n">
        <x:v>2</x:v>
      </x:c>
    </x:row>
    <x:row r="632" ht="54" hidden="0" customHeight="1">
      <x:c r="A632" s="38" t="str">
        <x:v>Q016::B0812DR63S_review_199638</x:v>
      </x:c>
      <x:c r="B632" s="38" t="str">
        <x:v>Q016</x:v>
      </x:c>
      <x:c r="C632" s="91" t="str">
        <x:v>Which phone case offers strong drop protection without making the phone too bulky?</x:v>
      </x:c>
      <x:c r="D632" s="38" t="n">
        <x:v>39</x:v>
      </x:c>
      <x:c r="E632" s="38" t="str">
        <x:v>B0812DR63S</x:v>
      </x:c>
      <x:c r="F632" s="38" t="str">
        <x:v>review</x:v>
      </x:c>
      <x:c r="G632" s="38" t="str">
        <x:v>general</x:v>
      </x:c>
      <x:c r="H632" s="38" t="str">
        <x:v>Cell Phones &amp; Accessories</x:v>
      </x:c>
      <x:c r="I632" s="91" t="str">
        <x:v>[Product: Keshiwo 2 in 1 Wireless Headset Phone Case Protection for iPhone 11 and for AirPods, Anti-Fall Protective case, Drop Protection Sleeve, Mobile Phone Shell Silicone + Headset Warehouse Plastic | ASIN: B0812DR63S] I liked the concept of this case but the cover kept coming open over the AirPods. I felt like it was not secure enough.</x:v>
      </x:c>
      <x:c r="J632" s="101" t="n">
        <x:v>1</x:v>
      </x:c>
      <x:c r="K632" s="92" t="str">
        <x:v>Human_Reviewer_01</x:v>
      </x:c>
      <x:c r="L632" s="92" t="str">
        <x:v>High</x:v>
      </x:c>
      <x:c r="M632" s="93" t="str">
        <x:v>Combined phone-and-AirPods case has an insecure AirPods lid, not a demonstrated phone-drop or bulk issue.</x:v>
      </x:c>
      <x:c r="N632" s="94"/>
      <x:c r="O632" s="94"/>
      <x:c r="P632" s="94"/>
      <x:c r="Q632" s="95"/>
      <x:c r="R632" s="96"/>
      <x:c r="S632" s="96"/>
      <x:c r="T632" s="97"/>
      <x:c r="U632" s="98" t="str">
        <x:f>IF(OR(J632="",N632=""),"",IF(J632=N632,"No","Yes"))</x:f>
      </x:c>
      <x:c r="V632" s="98" t="n">
        <x:v>1</x:v>
      </x:c>
    </x:row>
    <x:row r="633" ht="54" hidden="0" customHeight="1">
      <x:c r="A633" s="38" t="str">
        <x:v>Q016::B00GX1R9EA_review_2991520</x:v>
      </x:c>
      <x:c r="B633" s="38" t="str">
        <x:v>Q016</x:v>
      </x:c>
      <x:c r="C633" s="91" t="str">
        <x:v>Which phone case offers strong drop protection without making the phone too bulky?</x:v>
      </x:c>
      <x:c r="D633" s="38" t="n">
        <x:v>40</x:v>
      </x:c>
      <x:c r="E633" s="38" t="str">
        <x:v>B00GX1R9EA</x:v>
      </x:c>
      <x:c r="F633" s="38" t="str">
        <x:v>review</x:v>
      </x:c>
      <x:c r="G633" s="38" t="str">
        <x:v>general</x:v>
      </x:c>
      <x:c r="H633" s="38" t="str">
        <x:v>Cell Phones &amp; Accessories</x:v>
      </x:c>
      <x:c r="I633" s="91" t="str">
        <x:v>[Product: Samsung Galaxy Note 3 Case S View Flip Cover Folio - Plum Red | ASIN: B00GX1R9EA] Pros: Does not add much bulk to the phone. The S-View cover allows you to take pictures, answer phone calls, and control your music without opening (and unlocking) your phone. Phone protection -- the case provides limited protection to the phone frame in case of a drop. The S-View is definitely the nicest, but it also does not protect the phone very well from drops.</x:v>
      </x:c>
      <x:c r="J633" s="101" t="n">
        <x:v>2</x:v>
      </x:c>
      <x:c r="K633" s="92" t="str">
        <x:v>Human_Reviewer_01</x:v>
      </x:c>
      <x:c r="L633" s="92" t="str">
        <x:v>High</x:v>
      </x:c>
      <x:c r="M633" s="93" t="str">
        <x:v>Phone case adds little bulk but provides poor drop protection.</x:v>
      </x:c>
      <x:c r="N633" s="94"/>
      <x:c r="O633" s="94"/>
      <x:c r="P633" s="94"/>
      <x:c r="Q633" s="95"/>
      <x:c r="R633" s="96"/>
      <x:c r="S633" s="96"/>
      <x:c r="T633" s="97"/>
      <x:c r="U633" s="98" t="str">
        <x:f>IF(OR(J633="",N633=""),"",IF(J633=N633,"No","Yes"))</x:f>
      </x:c>
      <x:c r="V633" s="98" t="n">
        <x:v>2</x:v>
      </x:c>
    </x:row>
    <x:row r="634" ht="54" hidden="0" customHeight="1">
      <x:c r="A634" s="38" t="str">
        <x:v>Q017::B0BZGY3MPS_review_3167090</x:v>
      </x:c>
      <x:c r="B634" s="38" t="str">
        <x:v>Q017</x:v>
      </x:c>
      <x:c r="C634" s="91" t="str">
        <x:v>Find a smartwatch with dependable battery life and water resistance for exercise.</x:v>
      </x:c>
      <x:c r="D634" s="38" t="n">
        <x:v>1</x:v>
      </x:c>
      <x:c r="E634" s="38" t="str">
        <x:v>B0BZGY3MPS</x:v>
      </x:c>
      <x:c r="F634" s="38" t="str">
        <x:v>review</x:v>
      </x:c>
      <x:c r="G634" s="38" t="str">
        <x:v>price/value</x:v>
      </x:c>
      <x:c r="H634" s="38" t="str">
        <x:v>Cell Phones &amp; Accessories</x:v>
      </x:c>
      <x:c r="I634" s="91" t="str">
        <x:v>[Product: Amazfit Bip S Fitness Smartwatch, 40 Day Battery Life, 10 Sports Modes, Heart Rate, 1.28'' Always-On Display, Water Resistant, Built-in GPS, Carbon Black | ASIN: B0BZGY3MPS] But if you are looking for a cheaper option that falls perfectly in between those two needs, the Amazfit Bip S is exactly what you want.&lt;br /&gt;&lt;br</x:v>
      </x:c>
      <x:c r="J634" s="101" t="n">
        <x:v>1</x:v>
      </x:c>
      <x:c r="K634" s="92" t="str">
        <x:v>Human_Reviewer_01</x:v>
      </x:c>
      <x:c r="L634" s="92" t="str">
        <x:v>High</x:v>
      </x:c>
      <x:c r="M634" s="93" t="str">
        <x:v>Relevant fitness-watch title claims are present, but the review's recommendation omits supporting needs or observations.</x:v>
      </x:c>
      <x:c r="N634" s="94"/>
      <x:c r="O634" s="94"/>
      <x:c r="P634" s="94"/>
      <x:c r="Q634" s="95"/>
      <x:c r="R634" s="96"/>
      <x:c r="S634" s="96"/>
      <x:c r="T634" s="97"/>
      <x:c r="U634" s="98" t="str">
        <x:f>IF(OR(J634="",N634=""),"",IF(J634=N634,"No","Yes"))</x:f>
      </x:c>
      <x:c r="V634" s="98" t="n">
        <x:v>1</x:v>
      </x:c>
    </x:row>
    <x:row r="635" ht="54" hidden="0" customHeight="1">
      <x:c r="A635" s="38" t="str">
        <x:v>Q017::B0106IS5XY_review_1617573</x:v>
      </x:c>
      <x:c r="B635" s="38" t="str">
        <x:v>Q017</x:v>
      </x:c>
      <x:c r="C635" s="91" t="str">
        <x:v>Find a smartwatch with dependable battery life and water resistance for exercise.</x:v>
      </x:c>
      <x:c r="D635" s="38" t="n">
        <x:v>2</x:v>
      </x:c>
      <x:c r="E635" s="38" t="str">
        <x:v>B0106IS5XY</x:v>
      </x:c>
      <x:c r="F635" s="38" t="str">
        <x:v>review</x:v>
      </x:c>
      <x:c r="G635" s="38" t="str">
        <x:v>battery life</x:v>
      </x:c>
      <x:c r="H635" s="38" t="str">
        <x:v>Cell Phones &amp; Accessories</x:v>
      </x:c>
      <x:c r="I635" s="91" t="str">
        <x:v>[Product: Pebble Time Smartwatch - Black | ASIN: B0106IS5XY] It does not feel cumbersome on the wrist, the battery life is best in class and it does everything a smartwatch should do really, really, well.&lt;br /&gt;&lt;br The battery life is absolutely fantastic, one full day of moderate use equated to roughly 90% battery life remaining for me.&lt;br /&gt;- Battery life is still excellent&lt;br /&gt;-</x:v>
      </x:c>
      <x:c r="J635" s="101" t="n">
        <x:v>2</x:v>
      </x:c>
      <x:c r="K635" s="92" t="str">
        <x:v>Human_Reviewer_01</x:v>
      </x:c>
      <x:c r="L635" s="92" t="str">
        <x:v>High</x:v>
      </x:c>
      <x:c r="M635" s="93" t="str">
        <x:v>Smartwatch retains about ninety percent battery after a moderate-use day.</x:v>
      </x:c>
      <x:c r="N635" s="94"/>
      <x:c r="O635" s="94"/>
      <x:c r="P635" s="94"/>
      <x:c r="Q635" s="95"/>
      <x:c r="R635" s="96"/>
      <x:c r="S635" s="96"/>
      <x:c r="T635" s="97"/>
      <x:c r="U635" s="98" t="str">
        <x:f>IF(OR(J635="",N635=""),"",IF(J635=N635,"No","Yes"))</x:f>
      </x:c>
      <x:c r="V635" s="98" t="n">
        <x:v>2</x:v>
      </x:c>
    </x:row>
    <x:row r="636" ht="54" hidden="0" customHeight="1">
      <x:c r="A636" s="38" t="str">
        <x:v>Q017::B07VQJDGX2_review_3626163</x:v>
      </x:c>
      <x:c r="B636" s="38" t="str">
        <x:v>Q017</x:v>
      </x:c>
      <x:c r="C636" s="91" t="str">
        <x:v>Find a smartwatch with dependable battery life and water resistance for exercise.</x:v>
      </x:c>
      <x:c r="D636" s="38" t="n">
        <x:v>3</x:v>
      </x:c>
      <x:c r="E636" s="38" t="str">
        <x:v>B07VQJDGX2</x:v>
      </x:c>
      <x:c r="F636" s="38" t="str">
        <x:v>review</x:v>
      </x:c>
      <x:c r="G636" s="38" t="str">
        <x:v>ease of use</x:v>
      </x:c>
      <x:c r="H636" s="38" t="str">
        <x:v>Cell Phones &amp; Accessories</x:v>
      </x:c>
      <x:c r="I636" s="91" t="str">
        <x:v>[Product: SAMSUNG Galaxy Watch Active 2 (40mm, GPS, Bluetooth) Smart Watch with Advanced Health Monitoring, Fitness Tracking, and Long lasting Battery, Silver (US Version) | ASIN: B07VQJDGX2] You got it wet/I followed the instructions for water safe/</x:v>
      </x:c>
      <x:c r="J636" s="101" t="n">
        <x:v>1</x:v>
      </x:c>
      <x:c r="K636" s="92" t="str">
        <x:v>Human_Reviewer_01</x:v>
      </x:c>
      <x:c r="L636" s="92" t="str">
        <x:v>Low</x:v>
      </x:c>
      <x:c r="M636" s="93" t="str">
        <x:v>Fragment concerns water exposure but does not state the outcome or identify a failure.</x:v>
      </x:c>
      <x:c r="N636" s="94"/>
      <x:c r="O636" s="94"/>
      <x:c r="P636" s="94"/>
      <x:c r="Q636" s="95"/>
      <x:c r="R636" s="96"/>
      <x:c r="S636" s="96"/>
      <x:c r="T636" s="97"/>
      <x:c r="U636" s="98" t="str">
        <x:f>IF(OR(J636="",N636=""),"",IF(J636=N636,"No","Yes"))</x:f>
      </x:c>
      <x:c r="V636" s="98" t="n">
        <x:v>1</x:v>
      </x:c>
    </x:row>
    <x:row r="637" ht="54" hidden="0" customHeight="1">
      <x:c r="A637" s="38" t="str">
        <x:v>Q017::B0BZGY3MPS_review_3167101</x:v>
      </x:c>
      <x:c r="B637" s="38" t="str">
        <x:v>Q017</x:v>
      </x:c>
      <x:c r="C637" s="91" t="str">
        <x:v>Find a smartwatch with dependable battery life and water resistance for exercise.</x:v>
      </x:c>
      <x:c r="D637" s="38" t="n">
        <x:v>4</x:v>
      </x:c>
      <x:c r="E637" s="38" t="str">
        <x:v>B0BZGY3MPS</x:v>
      </x:c>
      <x:c r="F637" s="38" t="str">
        <x:v>review</x:v>
      </x:c>
      <x:c r="G637" s="38" t="str">
        <x:v>ease of use</x:v>
      </x:c>
      <x:c r="H637" s="38" t="str">
        <x:v>Cell Phones &amp; Accessories</x:v>
      </x:c>
      <x:c r="I637" s="91" t="str">
        <x:v>[Product: Amazfit Bip S Fitness Smartwatch, 40 Day Battery Life, 10 Sports Modes, Heart Rate, 1.28'' Always-On Display, Water Resistant, Built-in GPS, Carbon Black | ASIN: B0BZGY3MPS] They are easy to set and seem to accurately track distances.&lt;br /&gt;&lt;br</x:v>
      </x:c>
      <x:c r="J637" s="101" t="n">
        <x:v>1</x:v>
      </x:c>
      <x:c r="K637" s="92" t="str">
        <x:v>Human_Reviewer_01</x:v>
      </x:c>
      <x:c r="L637" s="92" t="str">
        <x:v>High</x:v>
      </x:c>
      <x:c r="M637" s="93" t="str">
        <x:v>Distance tracking is relevant to exercise, but battery endurance and water resistance are untested.</x:v>
      </x:c>
      <x:c r="N637" s="94"/>
      <x:c r="O637" s="94"/>
      <x:c r="P637" s="94"/>
      <x:c r="Q637" s="95"/>
      <x:c r="R637" s="96"/>
      <x:c r="S637" s="96"/>
      <x:c r="T637" s="97"/>
      <x:c r="U637" s="98" t="str">
        <x:f>IF(OR(J637="",N637=""),"",IF(J637=N637,"No","Yes"))</x:f>
      </x:c>
      <x:c r="V637" s="98" t="n">
        <x:v>1</x:v>
      </x:c>
    </x:row>
    <x:row r="638" ht="54" hidden="0" customHeight="1">
      <x:c r="A638" s="38" t="str">
        <x:v>Q017::B08HRB2W3L_review_332777</x:v>
      </x:c>
      <x:c r="B638" s="38" t="str">
        <x:v>Q017</x:v>
      </x:c>
      <x:c r="C638" s="91" t="str">
        <x:v>Find a smartwatch with dependable battery life and water resistance for exercise.</x:v>
      </x:c>
      <x:c r="D638" s="38" t="n">
        <x:v>5</x:v>
      </x:c>
      <x:c r="E638" s="38" t="str">
        <x:v>B08HRB2W3L</x:v>
      </x:c>
      <x:c r="F638" s="38" t="str">
        <x:v>review</x:v>
      </x:c>
      <x:c r="G638" s="38" t="str">
        <x:v>battery life</x:v>
      </x:c>
      <x:c r="H638" s="38" t="str">
        <x:v>Cell Phones &amp; Accessories</x:v>
      </x:c>
      <x:c r="I638" s="91" t="str">
        <x:v>[Product: Amazfit Neo Fitness Retro Smartwatch with Real-Time Workout Tracking, Heart Rate and Sleep Monitoring, 28-Day Battery Life, Smart Notifications, 1.2" Always-On Display, Water Resistant, Green | ASIN: B08HRB2W3L] Battery life is good for all the options I went 20 days so far.</x:v>
      </x:c>
      <x:c r="J638" s="101" t="n">
        <x:v>2</x:v>
      </x:c>
      <x:c r="K638" s="92" t="str">
        <x:v>Human_Reviewer_01</x:v>
      </x:c>
      <x:c r="L638" s="92" t="str">
        <x:v>High</x:v>
      </x:c>
      <x:c r="M638" s="93" t="str">
        <x:v>Fitness smartwatch has lasted twenty days with good battery life.</x:v>
      </x:c>
      <x:c r="N638" s="94"/>
      <x:c r="O638" s="94"/>
      <x:c r="P638" s="94"/>
      <x:c r="Q638" s="95"/>
      <x:c r="R638" s="96"/>
      <x:c r="S638" s="96"/>
      <x:c r="T638" s="97"/>
      <x:c r="U638" s="98" t="str">
        <x:f>IF(OR(J638="",N638=""),"",IF(J638=N638,"No","Yes"))</x:f>
      </x:c>
      <x:c r="V638" s="98" t="n">
        <x:v>2</x:v>
      </x:c>
    </x:row>
    <x:row r="639" ht="54" hidden="0" customHeight="1">
      <x:c r="A639" s="38" t="str">
        <x:v>Q017::B00L98FLR4_review_4164089</x:v>
      </x:c>
      <x:c r="B639" s="38" t="str">
        <x:v>Q017</x:v>
      </x:c>
      <x:c r="C639" s="91" t="str">
        <x:v>Find a smartwatch with dependable battery life and water resistance for exercise.</x:v>
      </x:c>
      <x:c r="D639" s="38" t="n">
        <x:v>6</x:v>
      </x:c>
      <x:c r="E639" s="38" t="str">
        <x:v>B00L98FLR4</x:v>
      </x:c>
      <x:c r="F639" s="38" t="str">
        <x:v>review</x:v>
      </x:c>
      <x:c r="G639" s="38" t="str">
        <x:v>ease of use</x:v>
      </x:c>
      <x:c r="H639" s="38" t="str">
        <x:v>Cell Phones &amp; Accessories</x:v>
      </x:c>
      <x:c r="I639" s="91" t="str">
        <x:v>[Product: BURG Neon 16A Smartwatch Phone with SIM Card for iOS and Android - Black | ASIN: B00L98FLR4] Then, I tried to switch the bands and that was a very frustrating and not easy exercise.</x:v>
      </x:c>
      <x:c r="J639" s="101" t="n">
        <x:v>1</x:v>
      </x:c>
      <x:c r="K639" s="92" t="str">
        <x:v>Human_Reviewer_01</x:v>
      </x:c>
      <x:c r="L639" s="92" t="str">
        <x:v>High</x:v>
      </x:c>
      <x:c r="M639" s="93" t="str">
        <x:v>Band replacement difficulty is secondary; battery and water performance are absent.</x:v>
      </x:c>
      <x:c r="N639" s="94"/>
      <x:c r="O639" s="94"/>
      <x:c r="P639" s="94"/>
      <x:c r="Q639" s="95"/>
      <x:c r="R639" s="96"/>
      <x:c r="S639" s="96"/>
      <x:c r="T639" s="97"/>
      <x:c r="U639" s="98" t="str">
        <x:f>IF(OR(J639="",N639=""),"",IF(J639=N639,"No","Yes"))</x:f>
      </x:c>
      <x:c r="V639" s="98" t="n">
        <x:v>1</x:v>
      </x:c>
    </x:row>
    <x:row r="640" ht="54" hidden="0" customHeight="1">
      <x:c r="A640" s="38" t="str">
        <x:v>Q017::B08HR9H86W_review_2375819</x:v>
      </x:c>
      <x:c r="B640" s="38" t="str">
        <x:v>Q017</x:v>
      </x:c>
      <x:c r="C640" s="91" t="str">
        <x:v>Find a smartwatch with dependable battery life and water resistance for exercise.</x:v>
      </x:c>
      <x:c r="D640" s="38" t="n">
        <x:v>7</x:v>
      </x:c>
      <x:c r="E640" s="38" t="str">
        <x:v>B08HR9H86W</x:v>
      </x:c>
      <x:c r="F640" s="38" t="str">
        <x:v>review</x:v>
      </x:c>
      <x:c r="G640" s="38" t="str">
        <x:v>battery life</x:v>
      </x:c>
      <x:c r="H640" s="38" t="str">
        <x:v>Cell Phones &amp; Accessories</x:v>
      </x:c>
      <x:c r="I640" s="91" t="str">
        <x:v>[Product: Amazfit Neo Fitness Retro Smartwatch with Real-Time Workout Tracking, Heart Rate and Sleep Monitoring, 28-Day Battery Life, Smart Notifications, 1.2" Always-On Display, Water Resistant, Orange | ASIN: B08HR9H86W] battery life is amazing</x:v>
      </x:c>
      <x:c r="J640" s="101" t="n">
        <x:v>2</x:v>
      </x:c>
      <x:c r="K640" s="92" t="str">
        <x:v>Human_Reviewer_01</x:v>
      </x:c>
      <x:c r="L640" s="92" t="str">
        <x:v>High</x:v>
      </x:c>
      <x:c r="M640" s="93" t="str">
        <x:v>Fitness smartwatch explicitly has excellent battery life.</x:v>
      </x:c>
      <x:c r="N640" s="94"/>
      <x:c r="O640" s="94"/>
      <x:c r="P640" s="94"/>
      <x:c r="Q640" s="95"/>
      <x:c r="R640" s="96"/>
      <x:c r="S640" s="96"/>
      <x:c r="T640" s="97"/>
      <x:c r="U640" s="98" t="str">
        <x:f>IF(OR(J640="",N640=""),"",IF(J640=N640,"No","Yes"))</x:f>
      </x:c>
      <x:c r="V640" s="98" t="n">
        <x:v>2</x:v>
      </x:c>
    </x:row>
    <x:row r="641" ht="54" hidden="0" customHeight="1">
      <x:c r="A641" s="38" t="str">
        <x:v>Q017::B00OHR4VXY_review_883099</x:v>
      </x:c>
      <x:c r="B641" s="38" t="str">
        <x:v>Q017</x:v>
      </x:c>
      <x:c r="C641" s="91" t="str">
        <x:v>Find a smartwatch with dependable battery life and water resistance for exercise.</x:v>
      </x:c>
      <x:c r="D641" s="38" t="n">
        <x:v>8</x:v>
      </x:c>
      <x:c r="E641" s="38" t="str">
        <x:v>B00OHR4VXY</x:v>
      </x:c>
      <x:c r="F641" s="38" t="str">
        <x:v>review</x:v>
      </x:c>
      <x:c r="G641" s="38" t="str">
        <x:v>general</x:v>
      </x:c>
      <x:c r="H641" s="38" t="str">
        <x:v>Cell Phones &amp; Accessories</x:v>
      </x:c>
      <x:c r="I641" s="91" t="str">
        <x:v>[Product: Sony Smartwatch for Android 4.3 - White | ASIN: B00OHR4VXY] Great watch. On board GPS, highly water resistant, get it!</x:v>
      </x:c>
      <x:c r="J641" s="101" t="n">
        <x:v>2</x:v>
      </x:c>
      <x:c r="K641" s="92" t="str">
        <x:v>Human_Reviewer_01</x:v>
      </x:c>
      <x:c r="L641" s="92" t="str">
        <x:v>High</x:v>
      </x:c>
      <x:c r="M641" s="93" t="str">
        <x:v>Smartwatch is explicitly highly water resistant and has onboard GPS.</x:v>
      </x:c>
      <x:c r="N641" s="94"/>
      <x:c r="O641" s="94"/>
      <x:c r="P641" s="94"/>
      <x:c r="Q641" s="95"/>
      <x:c r="R641" s="96"/>
      <x:c r="S641" s="96"/>
      <x:c r="T641" s="97"/>
      <x:c r="U641" s="98" t="str">
        <x:f>IF(OR(J641="",N641=""),"",IF(J641=N641,"No","Yes"))</x:f>
      </x:c>
      <x:c r="V641" s="98" t="n">
        <x:v>2</x:v>
      </x:c>
    </x:row>
    <x:row r="642" ht="54" hidden="0" customHeight="1">
      <x:c r="A642" s="38" t="str">
        <x:v>Q017::B0C4JPSG3C_review_1248350</x:v>
      </x:c>
      <x:c r="B642" s="38" t="str">
        <x:v>Q017</x:v>
      </x:c>
      <x:c r="C642" s="91" t="str">
        <x:v>Find a smartwatch with dependable battery life and water resistance for exercise.</x:v>
      </x:c>
      <x:c r="D642" s="38" t="n">
        <x:v>9</x:v>
      </x:c>
      <x:c r="E642" s="38" t="str">
        <x:v>B0C4JPSG3C</x:v>
      </x:c>
      <x:c r="F642" s="38" t="str">
        <x:v>review</x:v>
      </x:c>
      <x:c r="G642" s="38" t="str">
        <x:v>general</x:v>
      </x:c>
      <x:c r="H642" s="38" t="str">
        <x:v>Cell Phones &amp; Accessories</x:v>
      </x:c>
      <x:c r="I642" s="91" t="str">
        <x:v>[Product: SAMSUNG Galaxy Watch 5 Golf Edition, 40mm Bluetooth Smartwatch w/ Body, Health, Fitness and Sleep Tracker, Improved Battery, Enhanced GPS Tracking, US Version, Gray Bezel w/Two-Tone Band | ASIN: B0C4JPSG3C] This is a epic smart watch. I am very pleased. The only reason why I give it 4 stars vs 5 is the water resistance is not what I was hoping for. I am a swimmer and hoped to wear during exercise. After a ton of research swimming with the watch was highly discouraged Despite the water lock function. Just he warned if you are a swimmer</x:v>
      </x:c>
      <x:c r="J642" s="101" t="n">
        <x:v>2</x:v>
      </x:c>
      <x:c r="K642" s="92" t="str">
        <x:v>Human_Reviewer_01</x:v>
      </x:c>
      <x:c r="L642" s="92" t="str">
        <x:v>High</x:v>
      </x:c>
      <x:c r="M642" s="93" t="str">
        <x:v>Smartwatch swimming suitability is criticized directly; evidence reflects the reviewer's research rather than a swim test.</x:v>
      </x:c>
      <x:c r="N642" s="94"/>
      <x:c r="O642" s="94"/>
      <x:c r="P642" s="94"/>
      <x:c r="Q642" s="95"/>
      <x:c r="R642" s="96"/>
      <x:c r="S642" s="96"/>
      <x:c r="T642" s="97"/>
      <x:c r="U642" s="98" t="str">
        <x:f>IF(OR(J642="",N642=""),"",IF(J642=N642,"No","Yes"))</x:f>
      </x:c>
      <x:c r="V642" s="98" t="n">
        <x:v>2</x:v>
      </x:c>
    </x:row>
    <x:row r="643" ht="54" hidden="0" customHeight="1">
      <x:c r="A643" s="38" t="str">
        <x:v>Q017::B0BZGY3MPS_review_3167055</x:v>
      </x:c>
      <x:c r="B643" s="38" t="str">
        <x:v>Q017</x:v>
      </x:c>
      <x:c r="C643" s="91" t="str">
        <x:v>Find a smartwatch with dependable battery life and water resistance for exercise.</x:v>
      </x:c>
      <x:c r="D643" s="38" t="n">
        <x:v>10</x:v>
      </x:c>
      <x:c r="E643" s="38" t="str">
        <x:v>B0BZGY3MPS</x:v>
      </x:c>
      <x:c r="F643" s="38" t="str">
        <x:v>review</x:v>
      </x:c>
      <x:c r="G643" s="38" t="str">
        <x:v>build quality</x:v>
      </x:c>
      <x:c r="H643" s="38" t="str">
        <x:v>Cell Phones &amp; Accessories</x:v>
      </x:c>
      <x:c r="I643" s="91" t="str">
        <x:v>[Product: Amazfit Bip S Fitness Smartwatch, 40 Day Battery Life, 10 Sports Modes, Heart Rate, 1.28'' Always-On Display, Water Resistant, Built-in GPS, Carbon Black | ASIN: B0BZGY3MPS] I am so impressed with how well the bip works and the build quality that I bought ones for my parents also.</x:v>
      </x:c>
      <x:c r="J643" s="101" t="n">
        <x:v>1</x:v>
      </x:c>
      <x:c r="K643" s="92" t="str">
        <x:v>Human_Reviewer_01</x:v>
      </x:c>
      <x:c r="L643" s="92" t="str">
        <x:v>High</x:v>
      </x:c>
      <x:c r="M643" s="93" t="str">
        <x:v>Smartwatch build quality is praised generally, without battery or water-specific evidence.</x:v>
      </x:c>
      <x:c r="N643" s="94"/>
      <x:c r="O643" s="94"/>
      <x:c r="P643" s="94"/>
      <x:c r="Q643" s="95"/>
      <x:c r="R643" s="96"/>
      <x:c r="S643" s="96"/>
      <x:c r="T643" s="97"/>
      <x:c r="U643" s="98" t="str">
        <x:f>IF(OR(J643="",N643=""),"",IF(J643=N643,"No","Yes"))</x:f>
      </x:c>
      <x:c r="V643" s="98" t="n">
        <x:v>1</x:v>
      </x:c>
    </x:row>
    <x:row r="644" ht="54" hidden="0" customHeight="1">
      <x:c r="A644" s="38" t="str">
        <x:v>Q017::B0BZ44YQZC_spec</x:v>
      </x:c>
      <x:c r="B644" s="38" t="str">
        <x:v>Q017</x:v>
      </x:c>
      <x:c r="C644" s="91" t="str">
        <x:v>Find a smartwatch with dependable battery life and water resistance for exercise.</x:v>
      </x:c>
      <x:c r="D644" s="38" t="n">
        <x:v>11</x:v>
      </x:c>
      <x:c r="E644" s="38" t="str">
        <x:v>B0BZ44YQZC</x:v>
      </x:c>
      <x:c r="F644" s="38" t="str">
        <x:v>spec</x:v>
      </x:c>
      <x:c r="G644" s="38" t="str">
        <x:v>specifications</x:v>
      </x:c>
      <x:c r="H644" s="38" t="str">
        <x:v>Cell Phones &amp; Accessories</x:v>
      </x:c>
      <x:c r="I644" s="91" t="str">
        <x:v>[Product: Smart Watch Fitness Tracker Pedometer Step Counter Waterproof Message Reminder Big Face Sport Digital Smart Watch for Android Phones Compatible iPhone Activity Tracker Women Men Black Blue Gold Pink | ASIN: B0BZ44YQZC] Features: ['Records day-to-day health and performance: number of steps and distance covered, heart rate, blood pressure, burnt calories, active daily time and more. Not only a nice watch for sport fans to improve efficiency, but also a amazing device motivate sport newbie to move.'
 'Big Face Watch: Equips with 1.7 inches full touch color screen, covered with an aluminum alloy case and soft silicone band, so elegant and light to wear, but sturdy and anti-scratch. Also you can customize your watch faces.'
 'Information Notification: After connecting the app, the bluetooth watch will push notifications (SMS/Facebook/Ins/Twitter/Skype etc) and you could reject the call on the smart watch.'
 'Life and Fitness Companion: Support multi-sport modes such as running, basketball, cycling. And equip with remote camera, music control, alarms, sedentary reminder and stopwatch, certainly a daily life assistant.'
 "Waterproof &amp; Gift &amp; Warranty: Suit for rain and washing hands, but not for hot water or steam. Nice gift for birthday, christmas, Valentine's Day, father's day. Offer 12-month warranty, if you have any question, contact us and we will reply within 24H"] | Specifications: [('Product Dimensions', '"10 x 1.41 x 0.39 inches"'), ('Item Weight', '"4.6 ounces"'), ('Item model number', '"Y20"'), ('Batteries', '"1 Lithium Ion batteries required. (included)"'), ('Best Sellers Rank', '{"Electronics":444188,"Smartwatches":8540}'), ('Wireless communication technologies', '"Bluetooth"'), ('Connectivity technologies', '"Bluetooth"'), ('Other display features', '"Wireless"'), ('Human Interface Input', '"Buttons"'), ('Color', '"pink"'), ('Department', '"unisex-adult"'), ('Manufacturer', '"Yihou"'), ('Date First Available', '"March 10, 2021"'), ('Standing screen display size', '"1.7 Inches"'), ('Brand', '"Yihou"'), ('Style', '"Modern"'), ('Screen Size', '"1.7 Inches"'), ('Shape', '"Hands"'), ('Target Audience', '"Men,Women"'), ('Compatible Devices', '"Smartphone"'), ('Compatible Phone Models', '"Android, iOS"'), ('Battery Life', '"12.0, 7.0 \\tmonths"'), ('Connectivity Technology', '"Bluetooth"')] | Description: ['The smart watches equip with heart rate, blood pressure, pedometer, call and message notification, music control, DIY face and so on. Not only design for sport activities, but also a nice watch spices up a normal outfit and add style and attitude into life.'
 'Heart Rate:' 'Measure your heart rate with high performance chip.'
 'Blood Pressure:'
 'Equipped with blood pressure monitor, help you check and save the history date on app. When measure the BP, please put the hand at the same height as the heart that will be more accurate.'
 'Notification reminder:'
 'After connection, the watch will receive phone’s message such as(SMS, twitter, whatsapp, facebook etc) and can hang up the call, check message on the watch.'
 'Pedometer:'
 'All day track your steps and distance, help you form a good habit.'
 'Additional Function:'
 'multi-sport modes, weather information, sedentary reminder, remote camera, music player control, stopwatch, alarm.'
 'General:'
 'CPU: GR5515Key button: Full touchSystem: Support Android 4.4, IOS 9.0 and above systems'
 'Material' 'Body: Zinc alloyBand: Silicone' 'Display'
 'Display size: 1.7 inDisplay type: TFT' 'Battery'
 'Battery: 190mAh Work time: 5-7 days' 'Packing:'
 '1* Smart Watch1* Charger1* User manual1* Watch Box']</x:v>
      </x:c>
      <x:c r="J644" s="101" t="n">
        <x:v>2</x:v>
      </x:c>
      <x:c r="K644" s="92" t="str">
        <x:v>Human_Reviewer_01</x:v>
      </x:c>
      <x:c r="L644" s="92" t="str">
        <x:v>Medium</x:v>
      </x:c>
      <x:c r="M644" s="93" t="str">
        <x:v>Rain and handwashing tolerance and five-to-seven-day runtime are relevant; battery metadata contradicts the runtime description.</x:v>
      </x:c>
      <x:c r="N644" s="94"/>
      <x:c r="O644" s="94"/>
      <x:c r="P644" s="94"/>
      <x:c r="Q644" s="95"/>
      <x:c r="R644" s="96"/>
      <x:c r="S644" s="96"/>
      <x:c r="T644" s="97"/>
      <x:c r="U644" s="98" t="str">
        <x:f>IF(OR(J644="",N644=""),"",IF(J644=N644,"No","Yes"))</x:f>
      </x:c>
      <x:c r="V644" s="98" t="n">
        <x:v>2</x:v>
      </x:c>
    </x:row>
    <x:row r="645" ht="54" hidden="0" customHeight="1">
      <x:c r="A645" s="38" t="str">
        <x:v>Q017::B09R82YNZ1_review_2023512</x:v>
      </x:c>
      <x:c r="B645" s="38" t="str">
        <x:v>Q017</x:v>
      </x:c>
      <x:c r="C645" s="91" t="str">
        <x:v>Find a smartwatch with dependable battery life and water resistance for exercise.</x:v>
      </x:c>
      <x:c r="D645" s="38" t="n">
        <x:v>12</x:v>
      </x:c>
      <x:c r="E645" s="38" t="str">
        <x:v>B09R82YNZ1</x:v>
      </x:c>
      <x:c r="F645" s="38" t="str">
        <x:v>review</x:v>
      </x:c>
      <x:c r="G645" s="38" t="str">
        <x:v>battery life</x:v>
      </x:c>
      <x:c r="H645" s="38" t="str">
        <x:v>Cell Phones &amp; Accessories</x:v>
      </x:c>
      <x:c r="I645" s="91" t="str">
        <x:v>[Product: Tile Sport (2017) - 1-Pack - High Performance Bluetooth Tracker, Keys Finder and Item Locator for Keys, Bags, and More; Up to 200 ft Range, Water Resistance - Non-Retail Packaging | ASIN: B09R82YNZ1] Battery life span good and easy to set up.</x:v>
      </x:c>
      <x:c r="J645" s="101" t="n">
        <x:v>0</x:v>
      </x:c>
      <x:c r="K645" s="92" t="str">
        <x:v>Human_Reviewer_01</x:v>
      </x:c>
      <x:c r="L645" s="92" t="str">
        <x:v>High</x:v>
      </x:c>
      <x:c r="M645" s="93" t="str">
        <x:v>This is an item-location tracker, not a smartwatch.</x:v>
      </x:c>
      <x:c r="N645" s="94"/>
      <x:c r="O645" s="94"/>
      <x:c r="P645" s="94"/>
      <x:c r="Q645" s="95"/>
      <x:c r="R645" s="96"/>
      <x:c r="S645" s="96"/>
      <x:c r="T645" s="97"/>
      <x:c r="U645" s="98" t="str">
        <x:f>IF(OR(J645="",N645=""),"",IF(J645=N645,"No","Yes"))</x:f>
      </x:c>
      <x:c r="V645" s="98" t="n">
        <x:v>0</x:v>
      </x:c>
    </x:row>
    <x:row r="646" ht="54" hidden="0" customHeight="1">
      <x:c r="A646" s="38" t="str">
        <x:v>Q017::B00YMSOCS2_review_2764982</x:v>
      </x:c>
      <x:c r="B646" s="38" t="str">
        <x:v>Q017</x:v>
      </x:c>
      <x:c r="C646" s="91" t="str">
        <x:v>Find a smartwatch with dependable battery life and water resistance for exercise.</x:v>
      </x:c>
      <x:c r="D646" s="38" t="n">
        <x:v>13</x:v>
      </x:c>
      <x:c r="E646" s="38" t="str">
        <x:v>B00YMSOCS2</x:v>
      </x:c>
      <x:c r="F646" s="38" t="str">
        <x:v>review</x:v>
      </x:c>
      <x:c r="G646" s="38" t="str">
        <x:v>battery life</x:v>
      </x:c>
      <x:c r="H646" s="38" t="str">
        <x:v>Camera &amp; Photo</x:v>
      </x:c>
      <x:c r="I646" s="91" t="str">
        <x:v>[Product: MaximalPower Replacement Li-ion Battery For Canon EOS 5D 40D 20D 30D 10D - Non-OEM Fully Decoded Batt for Digital Rebel, 1D, D60, 300D, D30, Kiss, Powershot G5, Pro 1, G2, G3, G6, G1, Pro90 is | ASIN: B00YMSOCS2] Totally content and happy and pleased and delighted with this replacement for my orginal Canon Battery Pack....It is dependable and has a response and life that exceeds all expectations Buy it!!!</x:v>
      </x:c>
      <x:c r="J646" s="101" t="n">
        <x:v>0</x:v>
      </x:c>
      <x:c r="K646" s="92" t="str">
        <x:v>Human_Reviewer_01</x:v>
      </x:c>
      <x:c r="L646" s="92" t="str">
        <x:v>High</x:v>
      </x:c>
      <x:c r="M646" s="93" t="str">
        <x:v>This is a camera battery, not a smartwatch.</x:v>
      </x:c>
      <x:c r="N646" s="94"/>
      <x:c r="O646" s="94"/>
      <x:c r="P646" s="94"/>
      <x:c r="Q646" s="95"/>
      <x:c r="R646" s="96"/>
      <x:c r="S646" s="96"/>
      <x:c r="T646" s="97"/>
      <x:c r="U646" s="98" t="str">
        <x:f>IF(OR(J646="",N646=""),"",IF(J646=N646,"No","Yes"))</x:f>
      </x:c>
      <x:c r="V646" s="98" t="n">
        <x:v>0</x:v>
      </x:c>
    </x:row>
    <x:row r="647" ht="54" hidden="0" customHeight="1">
      <x:c r="A647" s="38" t="str">
        <x:v>Q017::B09R83DB2K_review_3782443</x:v>
      </x:c>
      <x:c r="B647" s="38" t="str">
        <x:v>Q017</x:v>
      </x:c>
      <x:c r="C647" s="91" t="str">
        <x:v>Find a smartwatch with dependable battery life and water resistance for exercise.</x:v>
      </x:c>
      <x:c r="D647" s="38" t="n">
        <x:v>14</x:v>
      </x:c>
      <x:c r="E647" s="38" t="str">
        <x:v>B09R83DB2K</x:v>
      </x:c>
      <x:c r="F647" s="38" t="str">
        <x:v>review</x:v>
      </x:c>
      <x:c r="G647" s="38" t="str">
        <x:v>battery life</x:v>
      </x:c>
      <x:c r="H647" s="38" t="str">
        <x:v>Cell Phones &amp; Accessories</x:v>
      </x:c>
      <x:c r="I647" s="91" t="str">
        <x:v>[Product: Tile Mate (2016) and Tile Slim Combo - 2 Pack (1 x Mate, 1 x Slim) -High Performance Bluetooth Tracker, Keys Finder and Item Locator for Keys, Bags, Dogs, Laptops, and More; Water Resistance | ASIN: B09R83DB2K] dang battery last for hours</x:v>
      </x:c>
      <x:c r="J647" s="101" t="n">
        <x:v>0</x:v>
      </x:c>
      <x:c r="K647" s="92" t="str">
        <x:v>Human_Reviewer_01</x:v>
      </x:c>
      <x:c r="L647" s="92" t="str">
        <x:v>High</x:v>
      </x:c>
      <x:c r="M647" s="93" t="str">
        <x:v>These are item-location trackers, not smartwatches.</x:v>
      </x:c>
      <x:c r="N647" s="94"/>
      <x:c r="O647" s="94"/>
      <x:c r="P647" s="94"/>
      <x:c r="Q647" s="95"/>
      <x:c r="R647" s="96"/>
      <x:c r="S647" s="96"/>
      <x:c r="T647" s="97"/>
      <x:c r="U647" s="98" t="str">
        <x:f>IF(OR(J647="",N647=""),"",IF(J647=N647,"No","Yes"))</x:f>
      </x:c>
      <x:c r="V647" s="98" t="n">
        <x:v>0</x:v>
      </x:c>
    </x:row>
    <x:row r="648" ht="54" hidden="0" customHeight="1">
      <x:c r="A648" s="38" t="str">
        <x:v>Q017::B08VJ4WV7G_spec</x:v>
      </x:c>
      <x:c r="B648" s="38" t="str">
        <x:v>Q017</x:v>
      </x:c>
      <x:c r="C648" s="91" t="str">
        <x:v>Find a smartwatch with dependable battery life and water resistance for exercise.</x:v>
      </x:c>
      <x:c r="D648" s="38" t="n">
        <x:v>15</x:v>
      </x:c>
      <x:c r="E648" s="38" t="str">
        <x:v>B08VJ4WV7G</x:v>
      </x:c>
      <x:c r="F648" s="38" t="str">
        <x:v>spec</x:v>
      </x:c>
      <x:c r="G648" s="38" t="str">
        <x:v>specifications</x:v>
      </x:c>
      <x:c r="H648" s="38" t="str">
        <x:v>Cell Phones &amp; Accessories</x:v>
      </x:c>
      <x:c r="I648" s="91" t="str">
        <x:v>[Product: Smartwatch, IP65 Waterproof Smart Watch, Smart Activity Bracelet with Sleep Monitor Calorie Counter Heart Rate Monitor Pedometer, Suitable for Men and Women, Compatible with iPhone/Android | ASIN: B08VJ4WV7G] Features: ['⌚ 【Stylish watch face】 This 1.3 inch TFT color screen smart watch is suitable for men and women, the screen is larger and smoother, and it offers excellent image quality. Smoother touch operation and bright detail screen make this smart watch more exquisite. Beautiful appearance and lightweight design to give you a better user experience.'
 '⌚ 【Health and Sports Tracking】 The activity bracelet can accurately record sports data and activities every day. High-performance motion sensors monitor heart rate and sleep quality in real time. Time automatically detects your heart rate, performs a comprehensive and comprehensive sleep quality analysis to help you develop a healthier lifestyle.'
 '⌚ 【Smart notification function】 When the physical smart bracelet is connected to the smartphone, it will vibrate to notify you when you receive incoming notifications such as calls, emails, SMS and SNS (Facebook, Twitter, Instagram, WhatsApp, etc.). The sports watch can quickly receive up to 10 instant messages. The fitness tracker cannot answer the call, but it can reject it.'
 '⌚ 【IP65 Waterproof Function】 This smart watch is waterproof to 1 meter, meets international standards for water resistance, which means you can wear it in the pool, in the shower, on the beach and beyond. (But it is not convenient to use it with hot water, it can not be used too long in the sea)'
 '⌚ 【Longer battery life and better compatibility】 Built-in low-power Bluetooth chip and large 180 mAh battery capacity, the smart watch is easy to charge, fast charging and long battery life. After the 2.5 hour charging time, the watch can be worn for 30 days. The application is suitable for most smartphones with Bluetooth 4.0 or higher support system: iOS 8.0 or higher, Android 4.2 or higher.'] | Specifications: [('Package Dimensions', '"3.46 x 2.95 x 1.73 inches"'), ('Item Weight', '"1.94 ounces"'), ('Batteries', '"1 Lithium Ion batteries required. (included)"'), ('Best Sellers Rank', '{"Electronics":483586,"Smartwatches":9052}'), ('Wireless communication technologies', '"Bluetooth"'), ('Connectivity technologies', '"Wireless"'), ('Special features', '"Heart Rate Monitor"'), ('Display technology', '"LCD"'), ('Other display features', '"Wireless"'), ('Human Interface Input', '"Touchscreen"'), ('Manufacturer', '"OZJONGK"'), ('Date First Available', '"February 1, 2021"'), ('Brand', '"OZJONGK"'), ('Style', '"Modern"'), ('Screen Size', '"1.3 Inches"'), ('Special Feature', '"Heart Rate Monitor"'), ('Shape', '"Heart"'), ('Target Audience', '"Unisex Adult"'), ('Age Range (Description)', '"Adult"'), ('Compatible Devices', '"Smartphone"'), ('Band Color', '"black"')] | Description: ['Bluetooth Smart Watch Smart Watch Women Men Smart Watch Heart Rate Monitor, Stopwatch, Calories, Sleep Monitor, Pedometer Bracelet Smart Activity Waterproof Response Android &amp; iOS Calls'
 'This is an excellent gift for your friend or partner.'
 'As for how to use the watch to install, please refer to the detailed installation steps in the picture, hope it can help you'
 'Smarwatch Features:'
 'Ⓐ Heart rate monitor: monitor and request your heart rate in real time'
 'Ⓑ Blood pressure monitor: measure blood pressure and oxygen in the blood'
 'Ⓒ Sleep monitoring: detect and monitor sleep quality with deep sleep, light sleep and wake time'
 'Ⓓ Pedometer - Automatically tracks all day activity: steps, calories burned'
 'ⒺMultiple sports modes: track various sports, such as walking, running, basketball, cycling'
 'Ⓕ Synchronization notification: receive alerts for calls, SMS, emails, Facebook, Twitter, Whatsapp, Instagram'
 'Ⓖ IP65 waterproof: you can wear a smart watch while washing your hands, swimming and bathing (not for diving or showering in hot water)'
 'Smart Watch Specifications:'
 '✮Compatibility: Bluetooth 4.0; Android 4.2 and later; IOS 8.0 and later'
 '✮ Screen size: 1.5 pouces LCD' '✮ Battery capacity: 200 mAh'
 '✮ Charging time: 2.5 hours' '✮ Working time: 30 days.' 'Package:'
 '1 x Smart Watch for Women Men' '1 x user manual']</x:v>
      </x:c>
      <x:c r="J648" s="101" t="n">
        <x:v>2</x:v>
      </x:c>
      <x:c r="K648" s="92" t="str">
        <x:v>Human_Reviewer_01</x:v>
      </x:c>
      <x:c r="L648" s="92" t="str">
        <x:v>Medium</x:v>
      </x:c>
      <x:c r="M648" s="93" t="str">
        <x:v>Specifications claim thirty-day operation and water-use limits; capacity and screen-size fields conflict internally.</x:v>
      </x:c>
      <x:c r="N648" s="94"/>
      <x:c r="O648" s="94"/>
      <x:c r="P648" s="94"/>
      <x:c r="Q648" s="95"/>
      <x:c r="R648" s="96"/>
      <x:c r="S648" s="96"/>
      <x:c r="T648" s="97"/>
      <x:c r="U648" s="98" t="str">
        <x:f>IF(OR(J648="",N648=""),"",IF(J648=N648,"No","Yes"))</x:f>
      </x:c>
      <x:c r="V648" s="98" t="n">
        <x:v>2</x:v>
      </x:c>
    </x:row>
    <x:row r="649" ht="54" hidden="0" customHeight="1">
      <x:c r="A649" s="38" t="str">
        <x:v>Q017::B076X2C4Y3_review_3630656</x:v>
      </x:c>
      <x:c r="B649" s="38" t="str">
        <x:v>Q017</x:v>
      </x:c>
      <x:c r="C649" s="91" t="str">
        <x:v>Find a smartwatch with dependable battery life and water resistance for exercise.</x:v>
      </x:c>
      <x:c r="D649" s="38" t="n">
        <x:v>16</x:v>
      </x:c>
      <x:c r="E649" s="38" t="str">
        <x:v>B076X2C4Y3</x:v>
      </x:c>
      <x:c r="F649" s="38" t="str">
        <x:v>review</x:v>
      </x:c>
      <x:c r="G649" s="38" t="str">
        <x:v>battery life</x:v>
      </x:c>
      <x:c r="H649" s="38" t="str">
        <x:v>Cell Phones &amp; Accessories</x:v>
      </x:c>
      <x:c r="I649" s="91" t="str">
        <x:v>[Product: Amazfit A1608R Bip Smartwatch (Cinnabar red) | ASIN: B076X2C4Y3] I have had it for almost 2 weeks and the battery life is amazing!</x:v>
      </x:c>
      <x:c r="J649" s="101" t="n">
        <x:v>2</x:v>
      </x:c>
      <x:c r="K649" s="92" t="str">
        <x:v>Human_Reviewer_01</x:v>
      </x:c>
      <x:c r="L649" s="92" t="str">
        <x:v>High</x:v>
      </x:c>
      <x:c r="M649" s="93" t="str">
        <x:v>Smartwatch has positive battery testimony after nearly two weeks of ownership.</x:v>
      </x:c>
      <x:c r="N649" s="94"/>
      <x:c r="O649" s="94"/>
      <x:c r="P649" s="94"/>
      <x:c r="Q649" s="95"/>
      <x:c r="R649" s="96"/>
      <x:c r="S649" s="96"/>
      <x:c r="T649" s="97"/>
      <x:c r="U649" s="98" t="str">
        <x:f>IF(OR(J649="",N649=""),"",IF(J649=N649,"No","Yes"))</x:f>
      </x:c>
      <x:c r="V649" s="98" t="n">
        <x:v>2</x:v>
      </x:c>
    </x:row>
    <x:row r="650" ht="54" hidden="0" customHeight="1">
      <x:c r="A650" s="38" t="str">
        <x:v>Q017::B0BZGY3MPS_review_3167059</x:v>
      </x:c>
      <x:c r="B650" s="38" t="str">
        <x:v>Q017</x:v>
      </x:c>
      <x:c r="C650" s="91" t="str">
        <x:v>Find a smartwatch with dependable battery life and water resistance for exercise.</x:v>
      </x:c>
      <x:c r="D650" s="38" t="n">
        <x:v>17</x:v>
      </x:c>
      <x:c r="E650" s="38" t="str">
        <x:v>B0BZGY3MPS</x:v>
      </x:c>
      <x:c r="F650" s="38" t="str">
        <x:v>review</x:v>
      </x:c>
      <x:c r="G650" s="38" t="str">
        <x:v>specifications/performance</x:v>
      </x:c>
      <x:c r="H650" s="38" t="str">
        <x:v>Cell Phones &amp; Accessories</x:v>
      </x:c>
      <x:c r="I650" s="91" t="str">
        <x:v>[Product: Amazfit Bip S Fitness Smartwatch, 40 Day Battery Life, 10 Sports Modes, Heart Rate, 1.28'' Always-On Display, Water Resistant, Built-in GPS, Carbon Black | ASIN: B0BZGY3MPS] It is fast and it does not dump me off.&lt;br /&gt;&lt;br /&gt;Long press of side button starts exercise recording.</x:v>
      </x:c>
      <x:c r="J650" s="101" t="n">
        <x:v>1</x:v>
      </x:c>
      <x:c r="K650" s="92" t="str">
        <x:v>Human_Reviewer_01</x:v>
      </x:c>
      <x:c r="L650" s="92" t="str">
        <x:v>High</x:v>
      </x:c>
      <x:c r="M650" s="93" t="str">
        <x:v>Exercise-recording controls are described, but endurance and water performance are untested.</x:v>
      </x:c>
      <x:c r="N650" s="94"/>
      <x:c r="O650" s="94"/>
      <x:c r="P650" s="94"/>
      <x:c r="Q650" s="95"/>
      <x:c r="R650" s="96"/>
      <x:c r="S650" s="96"/>
      <x:c r="T650" s="97"/>
      <x:c r="U650" s="98" t="str">
        <x:f>IF(OR(J650="",N650=""),"",IF(J650=N650,"No","Yes"))</x:f>
      </x:c>
      <x:c r="V650" s="98" t="n">
        <x:v>1</x:v>
      </x:c>
    </x:row>
    <x:row r="651" ht="54" hidden="0" customHeight="1">
      <x:c r="A651" s="38" t="str">
        <x:v>Q017::B07W7YBBVQ_review_783085</x:v>
      </x:c>
      <x:c r="B651" s="38" t="str">
        <x:v>Q017</x:v>
      </x:c>
      <x:c r="C651" s="91" t="str">
        <x:v>Find a smartwatch with dependable battery life and water resistance for exercise.</x:v>
      </x:c>
      <x:c r="D651" s="38" t="n">
        <x:v>18</x:v>
      </x:c>
      <x:c r="E651" s="38" t="str">
        <x:v>B07W7YBBVQ</x:v>
      </x:c>
      <x:c r="F651" s="38" t="str">
        <x:v>review</x:v>
      </x:c>
      <x:c r="G651" s="38" t="str">
        <x:v>price/value</x:v>
      </x:c>
      <x:c r="H651" s="38" t="str">
        <x:v>Cell Phones &amp; Accessories</x:v>
      </x:c>
      <x:c r="I651" s="91" t="str">
        <x:v>[Product: Amazfit GTS 2 Fitness Smartwatch with Heart Rate Monitor, 14-Day Battery Life, Music Control, 1.65" Display, Sleep and Swim Tracking, GPS, Water Resistant, Smart Notifications, Desert Gold | ASIN: B07W7YBBVQ] At this price for 14 day battery life it is almost a no brainer to at least test it out for yourself.</x:v>
      </x:c>
      <x:c r="J651" s="101" t="n">
        <x:v>1</x:v>
      </x:c>
      <x:c r="K651" s="92" t="str">
        <x:v>Human_Reviewer_01</x:v>
      </x:c>
      <x:c r="L651" s="92" t="str">
        <x:v>Medium</x:v>
      </x:c>
      <x:c r="M651" s="93" t="str">
        <x:v>Fourteen-day endurance is repeated as a reason to try the watch, without an actual runtime observation.</x:v>
      </x:c>
      <x:c r="N651" s="94"/>
      <x:c r="O651" s="94"/>
      <x:c r="P651" s="94"/>
      <x:c r="Q651" s="95"/>
      <x:c r="R651" s="96"/>
      <x:c r="S651" s="96"/>
      <x:c r="T651" s="97"/>
      <x:c r="U651" s="98" t="str">
        <x:f>IF(OR(J651="",N651=""),"",IF(J651=N651,"No","Yes"))</x:f>
      </x:c>
      <x:c r="V651" s="98" t="n">
        <x:v>1</x:v>
      </x:c>
    </x:row>
    <x:row r="652" ht="54" hidden="0" customHeight="1">
      <x:c r="A652" s="38" t="str">
        <x:v>Q017::B0106IS5XY_review_1617618</x:v>
      </x:c>
      <x:c r="B652" s="38" t="str">
        <x:v>Q017</x:v>
      </x:c>
      <x:c r="C652" s="91" t="str">
        <x:v>Find a smartwatch with dependable battery life and water resistance for exercise.</x:v>
      </x:c>
      <x:c r="D652" s="38" t="n">
        <x:v>19</x:v>
      </x:c>
      <x:c r="E652" s="38" t="str">
        <x:v>B0106IS5XY</x:v>
      </x:c>
      <x:c r="F652" s="38" t="str">
        <x:v>review</x:v>
      </x:c>
      <x:c r="G652" s="38" t="str">
        <x:v>battery life</x:v>
      </x:c>
      <x:c r="H652" s="38" t="str">
        <x:v>Cell Phones &amp; Accessories</x:v>
      </x:c>
      <x:c r="I652" s="91" t="str">
        <x:v>[Product: Pebble Time Smartwatch - Black | ASIN: B0106IS5XY] The 7 day battery life and water proofing just enhance it farther and the user interface is more intuitive than Apple's.&lt;br /&gt;&lt;br /&gt;Pros:&lt;br</x:v>
      </x:c>
      <x:c r="J652" s="101" t="n">
        <x:v>2</x:v>
      </x:c>
      <x:c r="K652" s="92" t="str">
        <x:v>Human_Reviewer_01</x:v>
      </x:c>
      <x:c r="L652" s="92" t="str">
        <x:v>High</x:v>
      </x:c>
      <x:c r="M652" s="93" t="str">
        <x:v>Smartwatch explicitly offers seven-day battery life and water resistance.</x:v>
      </x:c>
      <x:c r="N652" s="94"/>
      <x:c r="O652" s="94"/>
      <x:c r="P652" s="94"/>
      <x:c r="Q652" s="95"/>
      <x:c r="R652" s="96"/>
      <x:c r="S652" s="96"/>
      <x:c r="T652" s="97"/>
      <x:c r="U652" s="98" t="str">
        <x:f>IF(OR(J652="",N652=""),"",IF(J652=N652,"No","Yes"))</x:f>
      </x:c>
      <x:c r="V652" s="98" t="n">
        <x:v>2</x:v>
      </x:c>
    </x:row>
    <x:row r="653" ht="54" hidden="0" customHeight="1">
      <x:c r="A653" s="38" t="str">
        <x:v>Q017::B08PV1BTMY_spec</x:v>
      </x:c>
      <x:c r="B653" s="38" t="str">
        <x:v>Q017</x:v>
      </x:c>
      <x:c r="C653" s="91" t="str">
        <x:v>Find a smartwatch with dependable battery life and water resistance for exercise.</x:v>
      </x:c>
      <x:c r="D653" s="38" t="n">
        <x:v>20</x:v>
      </x:c>
      <x:c r="E653" s="38" t="str">
        <x:v>B08PV1BTMY</x:v>
      </x:c>
      <x:c r="F653" s="38" t="str">
        <x:v>spec</x:v>
      </x:c>
      <x:c r="G653" s="38" t="str">
        <x:v>specifications</x:v>
      </x:c>
      <x:c r="H653" s="38" t="str">
        <x:v>Cell Phones &amp; Accessories</x:v>
      </x:c>
      <x:c r="I653" s="91" t="str">
        <x:v>[Product: GadgetCenter Smart Watch for Android and iOS Compatible iPhone,Fitness Tracker 1.3 in HD Screen with Heart Rate Monitor Blood Oxygen Meter Sleep Step Tracking Customize Dial IP67 Waterproof | ASIN: B08PV1BTMY] Features: ['10 sports modes walking, running, cycling, stepping, hiking, alpinism, yoga, exercise, sit-ups, skipping rope.Connecting the GPS in your cellphone can track all your workout routes, distances, and physical status during exercise. Stay motivated all day!'
 '1.3-inch large screen This smart watch has a 1.3-inch color touch button screen. The large high-sensitivity high-definition color screen makes it easy to operate and provides you with a clear screen view. You can also enter the app dial settings, customize it according to your mood, style or hobby, create a unique desktop, and customize your own perso lized desktop.'
 'Multi-function Heart rate and sleep monitor, blood pressure function, pedometer, calories, distance, call and message reminder, alarm clock setting, sedentary reminder, remote camera and music control, IP67 waterproof.'
 'Long Battery Life - One full charge (2 hours) gives it up to 7 days of working time, much longer than traditio l watches.The watch is lightweight and the band is changeable and very soft, being very comfortable for wearing.'
 'More Practical Tools and App Details - This watch is compatible with most iOS 8.0 and Android 4.4 above smartphones to notify you of new call, text, email, calendar and app notifications. You can also read the messages directly on the watch, which e ble you never miss anything important when you are not convenient to access your smartphone.'
 'Compatible phone models: Audiovox CDM3000'] | Specifications: [('Package Dimensions', '"4.84 x 3.07 x 1.14 inches"'), ('Item Weight', '"6.4 ounces"'), ('Best Sellers Rank', '{"Electronics":471538,"Smartwatches":9130}'), ('OS', '"Ios 8.0, Android"'), ('Wireless communication technologies', '"Bluetooth"'), ('Connectivity technologies', '"Bluetooth, USB"'), ('GPS', '"True"'), ('Special features', '"Heart Rate Monitor"'), ('Display technology', '"LCD"'), ('Other display features', '"Wireless"'), ('Human Interface Input', '"Dial, Buttons"'), ('Color', '"Black"'), ('Battery Power Rating', '"170 Milliamp Hours"'), ('Manufacturer', '"GadgetCenter"'), ('Date First Available', '"November 2, 2020"'), ('Standing screen display size', '"1.3 Inches"'), ('Brand', '"GadgetCenter"'), ('Style', '"Modern"'), ('Screen Size', '"1.3 Inches"'), ('Special Feature', '"Heart Rate Monitor"'), ('Shape', '"Rectangular"'), ('Target Audience', '"Unisex Adult"'), ('Age Range (Description)', '"Adult"'), ('Compatible Devices', '"PC, Smartphone"'), ('Compatible Phone Models', '"Audiovox CDM3000"')] | Description: ["Smart Watch helps you know more about yourself and lead a healthier lifestyle Multifunctional smart watchHeart Rate/Sleep MonitorCalls/Message ReminderShutter/Music ControllerCustomize your own personalized desktopActivity tracker (pedometer, calories, distance)Multiple sports modes (running, cycling, climbing, etc.)Others: Alarm clock, calendar, stopwatch, Calculators,Compass etc Basic specificationsWireless connection: Bluetooth 4.0Screen: 1.3 inch LCD touch screenDial size: diameter: (1.47 inches / 37.5mm), thickness: (0.45 inches / 11.5mm)Strap: 24 cm, adjustable and replaceableThe bracelet itself is charged via USB (remove the belt)Smart watch battery: 170 mAh polymer batteryCompatibility: Compatible with iOS 8.0 and higher, Android 4.4 and higherWater resistance: IP67 waterproof (not recommended for use in hot tubs or saunas) Tips:Please follow steps below to keep a comfortable and skin-friendly wearing experience.1. Please clean the watch regularly, and keep it clean and dry when wearing.2. Please don't wear the watch too tight or wear it for a long time,so your wrist skin can breath well and feel comfortable."]</x:v>
      </x:c>
      <x:c r="J653" s="101" t="n">
        <x:v>2</x:v>
      </x:c>
      <x:c r="K653" s="92" t="str">
        <x:v>Human_Reviewer_01</x:v>
      </x:c>
      <x:c r="L653" s="92" t="str">
        <x:v>High</x:v>
      </x:c>
      <x:c r="M653" s="93" t="str">
        <x:v>Specifications state seven-day working time, sports modes, and IP67 water resistance with use limits.</x:v>
      </x:c>
      <x:c r="N653" s="94"/>
      <x:c r="O653" s="94"/>
      <x:c r="P653" s="94"/>
      <x:c r="Q653" s="95"/>
      <x:c r="R653" s="96"/>
      <x:c r="S653" s="96"/>
      <x:c r="T653" s="97"/>
      <x:c r="U653" s="98" t="str">
        <x:f>IF(OR(J653="",N653=""),"",IF(J653=N653,"No","Yes"))</x:f>
      </x:c>
      <x:c r="V653" s="98" t="n">
        <x:v>2</x:v>
      </x:c>
    </x:row>
    <x:row r="654" ht="54" hidden="0" customHeight="1">
      <x:c r="A654" s="38" t="str">
        <x:v>Q017::B01A70YMK6_review_2633662</x:v>
      </x:c>
      <x:c r="B654" s="38" t="str">
        <x:v>Q017</x:v>
      </x:c>
      <x:c r="C654" s="91" t="str">
        <x:v>Find a smartwatch with dependable battery life and water resistance for exercise.</x:v>
      </x:c>
      <x:c r="D654" s="38" t="n">
        <x:v>21</x:v>
      </x:c>
      <x:c r="E654" s="38" t="str">
        <x:v>B01A70YMK6</x:v>
      </x:c>
      <x:c r="F654" s="38" t="str">
        <x:v>review</x:v>
      </x:c>
      <x:c r="G654" s="38" t="str">
        <x:v>battery life</x:v>
      </x:c>
      <x:c r="H654" s="38" t="str">
        <x:v>Cell Phones &amp; Accessories</x:v>
      </x:c>
      <x:c r="I654" s="91" t="str">
        <x:v>[Product: Pebble Technology Corp Smartwatch for iPhone/Android Smartphone - Silver/red | ASIN: B01A70YMK6] The look, size, weight, and battery life are all great for me.</x:v>
      </x:c>
      <x:c r="J654" s="101" t="n">
        <x:v>2</x:v>
      </x:c>
      <x:c r="K654" s="92" t="str">
        <x:v>Human_Reviewer_01</x:v>
      </x:c>
      <x:c r="L654" s="92" t="str">
        <x:v>High</x:v>
      </x:c>
      <x:c r="M654" s="93" t="str">
        <x:v>Smartwatch battery life is explicitly satisfactory.</x:v>
      </x:c>
      <x:c r="N654" s="94"/>
      <x:c r="O654" s="94"/>
      <x:c r="P654" s="94"/>
      <x:c r="Q654" s="95"/>
      <x:c r="R654" s="96"/>
      <x:c r="S654" s="96"/>
      <x:c r="T654" s="97"/>
      <x:c r="U654" s="98" t="str">
        <x:f>IF(OR(J654="",N654=""),"",IF(J654=N654,"No","Yes"))</x:f>
      </x:c>
      <x:c r="V654" s="98" t="n">
        <x:v>2</x:v>
      </x:c>
    </x:row>
    <x:row r="655" ht="54" hidden="0" customHeight="1">
      <x:c r="A655" s="38" t="str">
        <x:v>Q017::B0BJQ3MJW3_review_1836146</x:v>
      </x:c>
      <x:c r="B655" s="38" t="str">
        <x:v>Q017</x:v>
      </x:c>
      <x:c r="C655" s="91" t="str">
        <x:v>Find a smartwatch with dependable battery life and water resistance for exercise.</x:v>
      </x:c>
      <x:c r="D655" s="38" t="n">
        <x:v>22</x:v>
      </x:c>
      <x:c r="E655" s="38" t="str">
        <x:v>B0BJQ3MJW3</x:v>
      </x:c>
      <x:c r="F655" s="38" t="str">
        <x:v>review</x:v>
      </x:c>
      <x:c r="G655" s="38" t="str">
        <x:v>price/value</x:v>
      </x:c>
      <x:c r="H655" s="38" t="str">
        <x:v>Cell Phones &amp; Accessories</x:v>
      </x:c>
      <x:c r="I655" s="91" t="str">
        <x:v>[Product: Smart Watch for Android and IOS Phones Women Men, 2023 1.81'' Bluetooth Smartwatch Full Touch Screen Answer/Make Call/Text Waterproof Smart Watches, Fitness Tracker Smart Watches for Outdoor Sports | ASIN: B0BJQ3MJW3] Battery life is good for the money everything works and it cost way less than the apple watch and does just about the same it looks and feel good does not take long to charge and battery life is excellent for the money will definitely order another one</x:v>
      </x:c>
      <x:c r="J655" s="101" t="n">
        <x:v>2</x:v>
      </x:c>
      <x:c r="K655" s="92" t="str">
        <x:v>Human_Reviewer_01</x:v>
      </x:c>
      <x:c r="L655" s="92" t="str">
        <x:v>High</x:v>
      </x:c>
      <x:c r="M655" s="93" t="str">
        <x:v>Fitness smartwatch has good battery endurance and fast charging testimony.</x:v>
      </x:c>
      <x:c r="N655" s="94"/>
      <x:c r="O655" s="94"/>
      <x:c r="P655" s="94"/>
      <x:c r="Q655" s="95"/>
      <x:c r="R655" s="96"/>
      <x:c r="S655" s="96"/>
      <x:c r="T655" s="97"/>
      <x:c r="U655" s="98" t="str">
        <x:f>IF(OR(J655="",N655=""),"",IF(J655=N655,"No","Yes"))</x:f>
      </x:c>
      <x:c r="V655" s="98" t="n">
        <x:v>2</x:v>
      </x:c>
    </x:row>
    <x:row r="656" ht="54" hidden="0" customHeight="1">
      <x:c r="A656" s="38" t="str">
        <x:v>Q017::B00HWL9BQ4_review_4170190</x:v>
      </x:c>
      <x:c r="B656" s="38" t="str">
        <x:v>Q017</x:v>
      </x:c>
      <x:c r="C656" s="91" t="str">
        <x:v>Find a smartwatch with dependable battery life and water resistance for exercise.</x:v>
      </x:c>
      <x:c r="D656" s="38" t="n">
        <x:v>23</x:v>
      </x:c>
      <x:c r="E656" s="38" t="str">
        <x:v>B00HWL9BQ4</x:v>
      </x:c>
      <x:c r="F656" s="38" t="str">
        <x:v>review</x:v>
      </x:c>
      <x:c r="G656" s="38" t="str">
        <x:v>battery life</x:v>
      </x:c>
      <x:c r="H656" s="38" t="str">
        <x:v>Cell Phones &amp; Accessories</x:v>
      </x:c>
      <x:c r="I656" s="91" t="str">
        <x:v>[Product: Garmin GPSMAP 64st, TOPO U.S. 100K with High-Sensitivity GPS and GLONASS Receiver | ASIN: B00HWL9BQ4] I have been using smartphone apps for quite some time and was hoping for a dedicated GPS that could offer water resistance and good battery life with just a few compromises.</x:v>
      </x:c>
      <x:c r="J656" s="101" t="n">
        <x:v>0</x:v>
      </x:c>
      <x:c r="K656" s="92" t="str">
        <x:v>Human_Reviewer_01</x:v>
      </x:c>
      <x:c r="L656" s="92" t="str">
        <x:v>High</x:v>
      </x:c>
      <x:c r="M656" s="93" t="str">
        <x:v>This is a handheld GPS receiver, not a smartwatch.</x:v>
      </x:c>
      <x:c r="N656" s="94"/>
      <x:c r="O656" s="94"/>
      <x:c r="P656" s="94"/>
      <x:c r="Q656" s="95"/>
      <x:c r="R656" s="96"/>
      <x:c r="S656" s="96"/>
      <x:c r="T656" s="97"/>
      <x:c r="U656" s="98" t="str">
        <x:f>IF(OR(J656="",N656=""),"",IF(J656=N656,"No","Yes"))</x:f>
      </x:c>
      <x:c r="V656" s="98" t="n">
        <x:v>0</x:v>
      </x:c>
    </x:row>
    <x:row r="657" ht="54" hidden="0" customHeight="1">
      <x:c r="A657" s="38" t="str">
        <x:v>Q017::B082W13N82_review_3823345</x:v>
      </x:c>
      <x:c r="B657" s="38" t="str">
        <x:v>Q017</x:v>
      </x:c>
      <x:c r="C657" s="91" t="str">
        <x:v>Find a smartwatch with dependable battery life and water resistance for exercise.</x:v>
      </x:c>
      <x:c r="D657" s="38" t="n">
        <x:v>24</x:v>
      </x:c>
      <x:c r="E657" s="38" t="str">
        <x:v>B082W13N82</x:v>
      </x:c>
      <x:c r="F657" s="38" t="str">
        <x:v>review</x:v>
      </x:c>
      <x:c r="G657" s="38" t="str">
        <x:v>battery life</x:v>
      </x:c>
      <x:c r="H657" s="38" t="str">
        <x:v>Cell Phones &amp; Accessories</x:v>
      </x:c>
      <x:c r="I657" s="91" t="str">
        <x:v>[Product: Amazfit Bip S Fitness Smartwatch, 40 Day Battery Life, 10 Sports Modes, Heart Rate, 1.28'' Always-On Display, Water Resistant, Built-In GPS, Warm Pink (W1821US3N) | ASIN: B082W13N82] I really like the battery life and screen! The battery life and all the tracking available through the app is the icing on the cake.&lt;br /&gt;&lt;br /&gt;I really think you should give it a try if you are just getting into the smart watch thing.</x:v>
      </x:c>
      <x:c r="J657" s="101" t="n">
        <x:v>2</x:v>
      </x:c>
      <x:c r="K657" s="92" t="str">
        <x:v>Human_Reviewer_01</x:v>
      </x:c>
      <x:c r="L657" s="92" t="str">
        <x:v>High</x:v>
      </x:c>
      <x:c r="M657" s="93" t="str">
        <x:v>Fitness smartwatch battery life and activity tracking are explicitly satisfactory.</x:v>
      </x:c>
      <x:c r="N657" s="94"/>
      <x:c r="O657" s="94"/>
      <x:c r="P657" s="94"/>
      <x:c r="Q657" s="95"/>
      <x:c r="R657" s="96"/>
      <x:c r="S657" s="96"/>
      <x:c r="T657" s="97"/>
      <x:c r="U657" s="98" t="str">
        <x:f>IF(OR(J657="",N657=""),"",IF(J657=N657,"No","Yes"))</x:f>
      </x:c>
      <x:c r="V657" s="98" t="n">
        <x:v>2</x:v>
      </x:c>
    </x:row>
    <x:row r="658" ht="54" hidden="0" customHeight="1">
      <x:c r="A658" s="38" t="str">
        <x:v>Q017::B0BZGY3MPS_review_3167113</x:v>
      </x:c>
      <x:c r="B658" s="38" t="str">
        <x:v>Q017</x:v>
      </x:c>
      <x:c r="C658" s="91" t="str">
        <x:v>Find a smartwatch with dependable battery life and water resistance for exercise.</x:v>
      </x:c>
      <x:c r="D658" s="38" t="n">
        <x:v>25</x:v>
      </x:c>
      <x:c r="E658" s="38" t="str">
        <x:v>B0BZGY3MPS</x:v>
      </x:c>
      <x:c r="F658" s="38" t="str">
        <x:v>review</x:v>
      </x:c>
      <x:c r="G658" s="38" t="str">
        <x:v>screen/display</x:v>
      </x:c>
      <x:c r="H658" s="38" t="str">
        <x:v>Cell Phones &amp; Accessories</x:v>
      </x:c>
      <x:c r="I658" s="91" t="str">
        <x:v>[Product: Amazfit Bip S Fitness Smartwatch, 40 Day Battery Life, 10 Sports Modes, Heart Rate, 1.28'' Always-On Display, Water Resistant, Built-in GPS, Carbon Black | ASIN: B0BZGY3MPS] /&gt;My only complaint about it is that the screen is very small.</x:v>
      </x:c>
      <x:c r="J658" s="101" t="n">
        <x:v>1</x:v>
      </x:c>
      <x:c r="K658" s="92" t="str">
        <x:v>Human_Reviewer_01</x:v>
      </x:c>
      <x:c r="L658" s="92" t="str">
        <x:v>High</x:v>
      </x:c>
      <x:c r="M658" s="93" t="str">
        <x:v>Small smartwatch screen is secondary to the requested battery and water performance.</x:v>
      </x:c>
      <x:c r="N658" s="94"/>
      <x:c r="O658" s="94"/>
      <x:c r="P658" s="94"/>
      <x:c r="Q658" s="95"/>
      <x:c r="R658" s="96"/>
      <x:c r="S658" s="96"/>
      <x:c r="T658" s="97"/>
      <x:c r="U658" s="98" t="str">
        <x:f>IF(OR(J658="",N658=""),"",IF(J658=N658,"No","Yes"))</x:f>
      </x:c>
      <x:c r="V658" s="98" t="n">
        <x:v>1</x:v>
      </x:c>
    </x:row>
    <x:row r="659" ht="54" hidden="0" customHeight="1">
      <x:c r="A659" s="38" t="str">
        <x:v>Q017::B0BZGY3MPS_review_3167102</x:v>
      </x:c>
      <x:c r="B659" s="38" t="str">
        <x:v>Q017</x:v>
      </x:c>
      <x:c r="C659" s="91" t="str">
        <x:v>Find a smartwatch with dependable battery life and water resistance for exercise.</x:v>
      </x:c>
      <x:c r="D659" s="38" t="n">
        <x:v>26</x:v>
      </x:c>
      <x:c r="E659" s="38" t="str">
        <x:v>B0BZGY3MPS</x:v>
      </x:c>
      <x:c r="F659" s="38" t="str">
        <x:v>review</x:v>
      </x:c>
      <x:c r="G659" s="38" t="str">
        <x:v>price/value</x:v>
      </x:c>
      <x:c r="H659" s="38" t="str">
        <x:v>Cell Phones &amp; Accessories</x:v>
      </x:c>
      <x:c r="I659" s="91" t="str">
        <x:v>[Product: Amazfit Bip S Fitness Smartwatch, 40 Day Battery Life, 10 Sports Modes, Heart Rate, 1.28'' Always-On Display, Water Resistant, Built-in GPS, Carbon Black | ASIN: B0BZGY3MPS] the price, I doubt you could find much better and it is working better than I expected.</x:v>
      </x:c>
      <x:c r="J659" s="101" t="n">
        <x:v>1</x:v>
      </x:c>
      <x:c r="K659" s="92" t="str">
        <x:v>Human_Reviewer_01</x:v>
      </x:c>
      <x:c r="L659" s="92" t="str">
        <x:v>High</x:v>
      </x:c>
      <x:c r="M659" s="93" t="str">
        <x:v>Generic value and better-than-expected operation do not establish endurance or water resistance.</x:v>
      </x:c>
      <x:c r="N659" s="94"/>
      <x:c r="O659" s="94"/>
      <x:c r="P659" s="94"/>
      <x:c r="Q659" s="95"/>
      <x:c r="R659" s="96"/>
      <x:c r="S659" s="96"/>
      <x:c r="T659" s="97"/>
      <x:c r="U659" s="98" t="str">
        <x:f>IF(OR(J659="",N659=""),"",IF(J659=N659,"No","Yes"))</x:f>
      </x:c>
      <x:c r="V659" s="98" t="n">
        <x:v>1</x:v>
      </x:c>
    </x:row>
    <x:row r="660" ht="54" hidden="0" customHeight="1">
      <x:c r="A660" s="38" t="str">
        <x:v>Q017::B08GHG59NT_review_1465820</x:v>
      </x:c>
      <x:c r="B660" s="38" t="str">
        <x:v>Q017</x:v>
      </x:c>
      <x:c r="C660" s="91" t="str">
        <x:v>Find a smartwatch with dependable battery life and water resistance for exercise.</x:v>
      </x:c>
      <x:c r="D660" s="38" t="n">
        <x:v>27</x:v>
      </x:c>
      <x:c r="E660" s="38" t="str">
        <x:v>B08GHG59NT</x:v>
      </x:c>
      <x:c r="F660" s="38" t="str">
        <x:v>review</x:v>
      </x:c>
      <x:c r="G660" s="38" t="str">
        <x:v>general</x:v>
      </x:c>
      <x:c r="H660" s="38" t="str">
        <x:v>Cell Phones &amp; Accessories</x:v>
      </x:c>
      <x:c r="I660" s="91" t="str">
        <x:v>[Product: Samsung Galaxy Smartwatch 46mm Silver GPS Fitness Track Dust Water Resistant (Renewed) | ASIN: B08GHG59NT] Awsome watch for being an open box . No problems with it</x:v>
      </x:c>
      <x:c r="J660" s="101" t="n">
        <x:v>1</x:v>
      </x:c>
      <x:c r="K660" s="92" t="str">
        <x:v>Human_Reviewer_01</x:v>
      </x:c>
      <x:c r="L660" s="92" t="str">
        <x:v>High</x:v>
      </x:c>
      <x:c r="M660" s="93" t="str">
        <x:v>Generic trouble-free watch operation lacks battery or water-specific evidence.</x:v>
      </x:c>
      <x:c r="N660" s="94"/>
      <x:c r="O660" s="94"/>
      <x:c r="P660" s="94"/>
      <x:c r="Q660" s="95"/>
      <x:c r="R660" s="96"/>
      <x:c r="S660" s="96"/>
      <x:c r="T660" s="97"/>
      <x:c r="U660" s="98" t="str">
        <x:f>IF(OR(J660="",N660=""),"",IF(J660=N660,"No","Yes"))</x:f>
      </x:c>
      <x:c r="V660" s="98" t="n">
        <x:v>1</x:v>
      </x:c>
    </x:row>
    <x:row r="661" ht="54" hidden="0" customHeight="1">
      <x:c r="A661" s="38" t="str">
        <x:v>Q017::B011TTBX7Y_review_1780717</x:v>
      </x:c>
      <x:c r="B661" s="38" t="str">
        <x:v>Q017</x:v>
      </x:c>
      <x:c r="C661" s="91" t="str">
        <x:v>Find a smartwatch with dependable battery life and water resistance for exercise.</x:v>
      </x:c>
      <x:c r="D661" s="38" t="n">
        <x:v>28</x:v>
      </x:c>
      <x:c r="E661" s="38" t="str">
        <x:v>B011TTBX7Y</x:v>
      </x:c>
      <x:c r="F661" s="38" t="str">
        <x:v>review</x:v>
      </x:c>
      <x:c r="G661" s="38" t="str">
        <x:v>battery life</x:v>
      </x:c>
      <x:c r="H661" s="38" t="str">
        <x:v>Cell Phones &amp; Accessories</x:v>
      </x:c>
      <x:c r="I661" s="91" t="str">
        <x:v>[Product: pebble Time Smartwatch White | ASIN: B011TTBX7Y] I wanted a watch that really functioned as watch, something that was always on, had solid battery life, and could withstand daily punishment from me.&lt;br /&gt;&lt;br But it is a waterproof (I have tested this thoroughly, spending all last week wearing it at the beach and in the ocean) and the battery life is great even with heavy use (getting several days out of it easily).</x:v>
      </x:c>
      <x:c r="J661" s="101" t="n">
        <x:v>2</x:v>
      </x:c>
      <x:c r="K661" s="92" t="str">
        <x:v>Human_Reviewer_01</x:v>
      </x:c>
      <x:c r="L661" s="92" t="str">
        <x:v>High</x:v>
      </x:c>
      <x:c r="M661" s="93" t="str">
        <x:v>Smartwatch survives beach and ocean use and lasts several days under heavy use.</x:v>
      </x:c>
      <x:c r="N661" s="94"/>
      <x:c r="O661" s="94"/>
      <x:c r="P661" s="94"/>
      <x:c r="Q661" s="95"/>
      <x:c r="R661" s="96"/>
      <x:c r="S661" s="96"/>
      <x:c r="T661" s="97"/>
      <x:c r="U661" s="98" t="str">
        <x:f>IF(OR(J661="",N661=""),"",IF(J661=N661,"No","Yes"))</x:f>
      </x:c>
      <x:c r="V661" s="98" t="n">
        <x:v>2</x:v>
      </x:c>
    </x:row>
    <x:row r="662" ht="54" hidden="0" customHeight="1">
      <x:c r="A662" s="38" t="str">
        <x:v>Q017::B08XM18CYZ_spec</x:v>
      </x:c>
      <x:c r="B662" s="38" t="str">
        <x:v>Q017</x:v>
      </x:c>
      <x:c r="C662" s="91" t="str">
        <x:v>Find a smartwatch with dependable battery life and water resistance for exercise.</x:v>
      </x:c>
      <x:c r="D662" s="38" t="n">
        <x:v>29</x:v>
      </x:c>
      <x:c r="E662" s="38" t="str">
        <x:v>B08XM18CYZ</x:v>
      </x:c>
      <x:c r="F662" s="38" t="str">
        <x:v>spec</x:v>
      </x:c>
      <x:c r="G662" s="38" t="str">
        <x:v>specifications</x:v>
      </x:c>
      <x:c r="H662" s="38" t="str">
        <x:v>Cell Phones &amp; Accessories</x:v>
      </x:c>
      <x:c r="I662" s="91" t="str">
        <x:v>[Product: Smart Watch(Answer/Make Call), Fitness Tracker for iPhone and Android Phones, Waterproof Smartwatch Step Counter with Heart Rate Sleep Monitor | ASIN: B08XM18CYZ] Features: ['✅【Smart Watch Make/Answer Call】- Connect the smart watch with your phone via bluetooth. In the Bluetooth communication range(Within 10 meters), you can make and receive calls through the smart watch. Especially when driving and exercising, you can completely free your hands. Aluminum alloy case. With a metal band and a silicone band. Featuring 1.54 inch full touch screen'
 '✅【Compatible with Most Cellphones】- Smart Watch for Android Phones and iOS Phones Compatible. Compatible with most iOS 8.0 and Android 4.4 above mobile phones. It can receive alerts of calendar, SMS, incoming calls and SNS (Facebook, WhatsApp, LinkedIn, Instagram, Twitter and more)'
 '✅【Fitness Tracker &amp; 24*7 Health Monitor】- All-day Activity Tracking. 7 exercise modes -walking,running,basketball,football,cycling,badminton,rope skipping. Tracking your steps, distance traveled, calories burned.Smartwatches monitor your heart rate blood Oxygen and sleep. Reminder:This product is not a medical device. The health data and suggestions provided are for reference only, not as a basis for diagnosis and treatment'
 "✅【Waterproof Fitness Watch &amp; Long Battery Life】- IPX5 waterproof Step counter for walking(Life waterproof,We recommended don't with the watch to swimming and showering).Large capacity and low power consumption.15 days battery standby,3-5 days running"
 '✅【More Features &amp; Warranty】- Custom watch face+over 50 online watch face.Sleep monitor,music control,remote camera,weather information,alarm reminder,sedentary reminder,stopwatch,timer. We provide 1 year quality guarantee.If you have any questions please contact with our customer service at anytime.We will reply your messages within 24 hours'] | Specifications: [('Brand', '"G.Home"'), ('Material', '"Aluminum"'), ('Color', '"Black-1.54 Inch"'), ('Compatible Devices', '"Laptops, Desktops, iPhone Series(iPhone12/12 mini/12 pro/12 pro max/iPhone11/11 pro/11 max/11 pro max/XS/X/8/8 plus/7/7 plus/6/6s/6 plus/6s plus/5/se ios phones）, Android Pone(Samsung Galaxy S10, S10 Plus, S9, S9 Plus, S8, S8 Plus, S7, S7 Edge, S6, S6 Edge, S5, Samsung Note 8, 5, 4; HUAWEI P30/P10/P9/MATE30/MATE30 Pro/MATE9/MATE 8/MATE 7; HTC SONY LG OnePlus Nexus Google pixel/pixel xl BlackBerry, and other smartphones with iOS 10.0/Android 5.0 or above and Bluetooth 4.2 or later)Laptops, Desktops, iPhone Series(iPhone12/12 mini/12 pro/12 pro max/iPhone11/11 pro/11 max/11 pro max/XS/X/8/8 plus/7/7 plus/6/6s/6 plus/6s plus/5/se i…   See more"'), ('Screen Size', '"1.54 Inches"'), ('Item Dimensions LxWxH', '"1.2 x 0.5 x 0.25 inches"'), ('Item Weight', '"1.45 Ounces"'), ('Battery Life', '"5 days"'), ('Sensor Type', '"Wearable"'), ('Battery Description', '"Alkaline"'), ('Language', '"English"'), ('Product Dimensions', '"1.2 x 0.5 x 0.25 inches"'), ('Best Sellers Rank', '{"Electronics":360992,"Smartwatches":7011}'), ('Is Discontinued By Manufacturer', '"No"'), ('OS', '"iOS, Android"'), ('Wireless communication technologies', '"Bluetooth"'), ('Connectivity technologies', '"Wireless"'), ('Special features', '"Custom Watch Face,Display weather,Online Clock Face,Music Control,Remote Camera Control,Built-in Casual Games,Alarm Reminder,Sedentary Reminder, Step Counter,Calories Burned,Heart Rate Monitor,Blood Pressure Monitor,Blood Oxygen Monitor,Sleep Tracker, 1.55” Full-Touch TFT LCD Large Screen,Aluminum Alloy Case, IP67 Waterproof"'), ('Display technology', '"LCD"'), ('Other display features', '"Wireless"'), ('Human Interface Input', '"Touchscreen"'), ('Battery Power Rating', '"210 Milliamp Hours"'), ('Whats in the box', '"2 Manuals, 1 Smart Watch, 2 straps, 1 Charging Cable"'), ('Department', '"womens"'), ('Manufacturer', '"G.Home"'), ('Date First Available', '"February 26, 2021"')] | Description: ['【Connect smart watch with your cellphone:】'
 '✔️1.Scan QR code of manual or package,Download and install the "Da Fit" APP ✔️2.Enable bluetooth on your cellphone✔️3. Open the "Da Fit" APP on your cell phone, go to “My device”-&gt; "Add a device", search “T99S” and bound it✔️4.Go to the mobile phone. Setting-&gt;Bluetooth, find "Audio_T99S" from available device and pair and connect✔️5.Turned on the message push function and can received messages normal'
 '【Operation:】'
 'Swipe up and down, switch control center and messages;swipe left and right, switch menu and feature. On the main interface of the watch, long press for 2 seconds to switch the system dial'
 '【Specifications:】' '✔️Model:' 'T99' '✔️Material:' 'Aluminum Alloy case'
 '✔️Screen:' '1.54 inch TFT LCD' '✔️Resolution:' '240 x 240 pixel'
 '✔️APP:' 'Da Fit' '✔️Bluetooth :' '5.0' '✔️Waterproof Rate:' 'IPX5'
 '✔️Size:' '1.91“（L）x 1.46”（W）x 0.38“（H）' '✔️Weight:' '1.45 OZ(30g)'
 '✔️Package Weight:' '4.2 OZ(120g)' '✔️Working Voltage:' '5V' '✔️Battery:'
 '230mAh Polymer Battery' '✔️Charge Time:' '2 hours' '✔️Standby :'
 '15 Days' '✔️Working Time:' '3-5 Days' '【 Package Listing:】'
 '⭐1 Smart Watch⭐2 straps⭐1 Charging Cable⭐2 Manual']</x:v>
      </x:c>
      <x:c r="J662" s="101" t="n">
        <x:v>2</x:v>
      </x:c>
      <x:c r="K662" s="92" t="str">
        <x:v>Human_Reviewer_01</x:v>
      </x:c>
      <x:c r="L662" s="92" t="str">
        <x:v>Medium</x:v>
      </x:c>
      <x:c r="M662" s="93" t="str">
        <x:v>Specifications state three-to-five-day runtime and explicit swimming limits; IPX5 and IP67 water claims conflict.</x:v>
      </x:c>
      <x:c r="N662" s="94"/>
      <x:c r="O662" s="94"/>
      <x:c r="P662" s="94"/>
      <x:c r="Q662" s="95"/>
      <x:c r="R662" s="96"/>
      <x:c r="S662" s="96"/>
      <x:c r="T662" s="97"/>
      <x:c r="U662" s="98" t="str">
        <x:f>IF(OR(J662="",N662=""),"",IF(J662=N662,"No","Yes"))</x:f>
      </x:c>
      <x:c r="V662" s="98" t="n">
        <x:v>2</x:v>
      </x:c>
    </x:row>
    <x:row r="663" ht="54" hidden="0" customHeight="1">
      <x:c r="A663" s="38" t="str">
        <x:v>Q017::B0023B139G_review_2850947</x:v>
      </x:c>
      <x:c r="B663" s="38" t="str">
        <x:v>Q017</x:v>
      </x:c>
      <x:c r="C663" s="91" t="str">
        <x:v>Find a smartwatch with dependable battery life and water resistance for exercise.</x:v>
      </x:c>
      <x:c r="D663" s="38" t="n">
        <x:v>30</x:v>
      </x:c>
      <x:c r="E663" s="38" t="str">
        <x:v>B0023B139G</x:v>
      </x:c>
      <x:c r="F663" s="38" t="str">
        <x:v>review</x:v>
      </x:c>
      <x:c r="G663" s="38" t="str">
        <x:v>general</x:v>
      </x:c>
      <x:c r="H663" s="38" t="str">
        <x:v>Computers</x:v>
      </x:c>
      <x:c r="I663" s="91" t="str">
        <x:v>[Product: Acer Aspire One AOD250-1326 10.1-Inch White Netbook - 3+ Hour Battery Life | ASIN: B0023B139G] This was bought for my 9 year old daughter for Xmas and it is great!!! Very dependable compared to some other Netbooks and Laptops I have owned in the past!!</x:v>
      </x:c>
      <x:c r="J663" s="101" t="n">
        <x:v>0</x:v>
      </x:c>
      <x:c r="K663" s="92" t="str">
        <x:v>Human_Reviewer_01</x:v>
      </x:c>
      <x:c r="L663" s="92" t="str">
        <x:v>High</x:v>
      </x:c>
      <x:c r="M663" s="93" t="str">
        <x:v>This is a netbook, not a smartwatch.</x:v>
      </x:c>
      <x:c r="N663" s="94"/>
      <x:c r="O663" s="94"/>
      <x:c r="P663" s="94"/>
      <x:c r="Q663" s="95"/>
      <x:c r="R663" s="96"/>
      <x:c r="S663" s="96"/>
      <x:c r="T663" s="97"/>
      <x:c r="U663" s="98" t="str">
        <x:f>IF(OR(J663="",N663=""),"",IF(J663=N663,"No","Yes"))</x:f>
      </x:c>
      <x:c r="V663" s="98" t="n">
        <x:v>0</x:v>
      </x:c>
    </x:row>
    <x:row r="664" ht="54" hidden="0" customHeight="1">
      <x:c r="A664" s="38" t="str">
        <x:v>Q017::B0BZGY3MPS_review_3167057</x:v>
      </x:c>
      <x:c r="B664" s="38" t="str">
        <x:v>Q017</x:v>
      </x:c>
      <x:c r="C664" s="91" t="str">
        <x:v>Find a smartwatch with dependable battery life and water resistance for exercise.</x:v>
      </x:c>
      <x:c r="D664" s="38" t="n">
        <x:v>31</x:v>
      </x:c>
      <x:c r="E664" s="38" t="str">
        <x:v>B0BZGY3MPS</x:v>
      </x:c>
      <x:c r="F664" s="38" t="str">
        <x:v>review</x:v>
      </x:c>
      <x:c r="G664" s="38" t="str">
        <x:v>customer service</x:v>
      </x:c>
      <x:c r="H664" s="38" t="str">
        <x:v>Cell Phones &amp; Accessories</x:v>
      </x:c>
      <x:c r="I664" s="91" t="str">
        <x:v>[Product: Amazfit Bip S Fitness Smartwatch, 40 Day Battery Life, 10 Sports Modes, Heart Rate, 1.28'' Always-On Display, Water Resistant, Built-in GPS, Carbon Black | ASIN: B0BZGY3MPS] Then, when my 4 died (out of warranty and due to something I found out was a common problem with Fitbit), I decided to see what else was out there that could meet my needs better.</x:v>
      </x:c>
      <x:c r="J664" s="101" t="n">
        <x:v>1</x:v>
      </x:c>
      <x:c r="K664" s="92" t="str">
        <x:v>Human_Reviewer_01</x:v>
      </x:c>
      <x:c r="L664" s="92" t="str">
        <x:v>High</x:v>
      </x:c>
      <x:c r="M664" s="93" t="str">
        <x:v>Failure of an earlier Fitbit explains purchase intent without this watch's battery or water evidence.</x:v>
      </x:c>
      <x:c r="N664" s="94"/>
      <x:c r="O664" s="94"/>
      <x:c r="P664" s="94"/>
      <x:c r="Q664" s="95"/>
      <x:c r="R664" s="96"/>
      <x:c r="S664" s="96"/>
      <x:c r="T664" s="97"/>
      <x:c r="U664" s="98" t="str">
        <x:f>IF(OR(J664="",N664=""),"",IF(J664=N664,"No","Yes"))</x:f>
      </x:c>
      <x:c r="V664" s="98" t="n">
        <x:v>1</x:v>
      </x:c>
    </x:row>
    <x:row r="665" ht="54" hidden="0" customHeight="1">
      <x:c r="A665" s="38" t="str">
        <x:v>Q017::B07MR28CY6_review_2471903</x:v>
      </x:c>
      <x:c r="B665" s="38" t="str">
        <x:v>Q017</x:v>
      </x:c>
      <x:c r="C665" s="91" t="str">
        <x:v>Find a smartwatch with dependable battery life and water resistance for exercise.</x:v>
      </x:c>
      <x:c r="D665" s="38" t="n">
        <x:v>32</x:v>
      </x:c>
      <x:c r="E665" s="38" t="str">
        <x:v>B07MR28CY6</x:v>
      </x:c>
      <x:c r="F665" s="38" t="str">
        <x:v>review</x:v>
      </x:c>
      <x:c r="G665" s="38" t="str">
        <x:v>battery life</x:v>
      </x:c>
      <x:c r="H665" s="38" t="str">
        <x:v>Cell Phones &amp; Accessories</x:v>
      </x:c>
      <x:c r="I665" s="91" t="str">
        <x:v>[Product: Samsung Galaxy Smartwatch 46mm Silver GPS Fitness Track Dust Water Resistant | ASIN: B07MR28CY6] Excellent watch works well only lose half battery life through day awesime</x:v>
      </x:c>
      <x:c r="J665" s="101" t="n">
        <x:v>2</x:v>
      </x:c>
      <x:c r="K665" s="92" t="str">
        <x:v>Human_Reviewer_01</x:v>
      </x:c>
      <x:c r="L665" s="92" t="str">
        <x:v>High</x:v>
      </x:c>
      <x:c r="M665" s="93" t="str">
        <x:v>Smartwatch loses about half its charge during a day of use.</x:v>
      </x:c>
      <x:c r="N665" s="94"/>
      <x:c r="O665" s="94"/>
      <x:c r="P665" s="94"/>
      <x:c r="Q665" s="95"/>
      <x:c r="R665" s="96"/>
      <x:c r="S665" s="96"/>
      <x:c r="T665" s="97"/>
      <x:c r="U665" s="98" t="str">
        <x:f>IF(OR(J665="",N665=""),"",IF(J665=N665,"No","Yes"))</x:f>
      </x:c>
      <x:c r="V665" s="98" t="n">
        <x:v>2</x:v>
      </x:c>
    </x:row>
    <x:row r="666" ht="54" hidden="0" customHeight="1">
      <x:c r="A666" s="38" t="str">
        <x:v>Q017::B09VQKPGX8_review_3536078</x:v>
      </x:c>
      <x:c r="B666" s="38" t="str">
        <x:v>Q017</x:v>
      </x:c>
      <x:c r="C666" s="91" t="str">
        <x:v>Find a smartwatch with dependable battery life and water resistance for exercise.</x:v>
      </x:c>
      <x:c r="D666" s="38" t="n">
        <x:v>33</x:v>
      </x:c>
      <x:c r="E666" s="38" t="str">
        <x:v>B09VQKPGX8</x:v>
      </x:c>
      <x:c r="F666" s="38" t="str">
        <x:v>review</x:v>
      </x:c>
      <x:c r="G666" s="38" t="str">
        <x:v>price/value</x:v>
      </x:c>
      <x:c r="H666" s="38" t="str">
        <x:v>Cell Phones &amp; Accessories</x:v>
      </x:c>
      <x:c r="I666" s="91" t="str">
        <x:v>[Product: Tile Pro (2020) 2 - Pack - High Performance Bluetooth Tracker, Keys Finder and Item Locator for Keys, Bags, and More; 400 ft Range, Water Resistance and 1 Year Replaceable Battery | ASIN: B09VQKPGX8] Cheap solution for animal tracking!</x:v>
      </x:c>
      <x:c r="J666" s="101" t="n">
        <x:v>0</x:v>
      </x:c>
      <x:c r="K666" s="92" t="str">
        <x:v>Human_Reviewer_01</x:v>
      </x:c>
      <x:c r="L666" s="92" t="str">
        <x:v>High</x:v>
      </x:c>
      <x:c r="M666" s="93" t="str">
        <x:v>This is an item-location tracker, not a smartwatch.</x:v>
      </x:c>
      <x:c r="N666" s="94"/>
      <x:c r="O666" s="94"/>
      <x:c r="P666" s="94"/>
      <x:c r="Q666" s="95"/>
      <x:c r="R666" s="96"/>
      <x:c r="S666" s="96"/>
      <x:c r="T666" s="97"/>
      <x:c r="U666" s="98" t="str">
        <x:f>IF(OR(J666="",N666=""),"",IF(J666=N666,"No","Yes"))</x:f>
      </x:c>
      <x:c r="V666" s="98" t="n">
        <x:v>0</x:v>
      </x:c>
    </x:row>
    <x:row r="667" ht="54" hidden="0" customHeight="1">
      <x:c r="A667" s="38" t="str">
        <x:v>Q017::B0BVHYBXFR_spec</x:v>
      </x:c>
      <x:c r="B667" s="38" t="str">
        <x:v>Q017</x:v>
      </x:c>
      <x:c r="C667" s="91" t="str">
        <x:v>Find a smartwatch with dependable battery life and water resistance for exercise.</x:v>
      </x:c>
      <x:c r="D667" s="38" t="n">
        <x:v>34</x:v>
      </x:c>
      <x:c r="E667" s="38" t="str">
        <x:v>B0BVHYBXFR</x:v>
      </x:c>
      <x:c r="F667" s="38" t="str">
        <x:v>spec</x:v>
      </x:c>
      <x:c r="G667" s="38" t="str">
        <x:v>specifications</x:v>
      </x:c>
      <x:c r="H667" s="38" t="str">
        <x:v>Cell Phones &amp; Accessories</x:v>
      </x:c>
      <x:c r="I667" s="91" t="str">
        <x:v>[Product: Smart Watch,GPS Fitness Tracker with 24 Sports Modes,IP67 Swimming Waterproof,Blood Oxygen Heart Rate Sleep Monitor Step Calorie Counter 1.75" Touchscreen Smartwatch Fitness Watch for Android iPhone | ASIN: B0BVHYBXFR] Features: ["【Smart Watch with Bluetooth Call and Smart Notification】It's a smartwatch that allows you to answer or dial calls anywhere, anytime. The call function is connected to the watch via Bluetooth and you can choose to turn it on or off in the settings. Also, the Fitness Tracker will vibrate to remind you when your phone receives the messages or App notifications (Facebook, WhatsApp, Twitter, etc). Never miss any important notification."
 '【20 Sports Modes and Life Assistant】The smart watch for men and women offers multiple sports modes, such as running, jumping, cycling, walking, basketball, mountain climbing, yoga, fitness, etc. It can also work as an assistant: music and camera control, weather display, alarm clock, stopwatch, find phone, which help you live a convenient life.'
 '【24 Hours Heart Rate Sleep &amp; SpO2 Monitoring】The fitness smart watch for men and women can monitor your heart rate in real time and automatically detect your heart rate with built-in advanced optical sensor, low power consumption and high precision. It can also auto-track your sleep via smartwatch and our App and analyze your sleep quality(deep sleep, light sleep and wake up time) to help you develop a healthier lifestyle.'
 "【Long-lasting battery &amp; IP67 Waterproof Smart Watch】 When fully-charged, this smartwatch can last for up to 7 days or 30 days standby time. With IP67 waterproof, this Fitness Tracker can meet the waterproof requirements of your daily activities such as washing hands or working out in the rain with it. Whether it's sweat or a small splash, just handle it with ease."
 '【Customize your personalized Dial】This smart watch has a 1.75 inch large screen exquisite craft and borderless design, bring you wider vision.It support customizable watch faces,you can choose your favorite picture or photo to show your personalized style. The App about the watch is compatible with smartphones that use iOS 11.0/Android 6.0 or above and Bluetooth 5.0 or above.'] | Specifications: [('Product Dimensions', '"1.97 x 1.97 x 1.18 inches"'), ('Item model number', '"AT1"'), ('Best Sellers Rank', '{"Electronics":313043,"Smartwatches":6234}'), ('OS', '"Android"'), ('Wireless communication technologies', '"Bluetooth"'), ('Connectivity technologies', '"Wireless"'), ('GPS', '"True"'), ('Special features', '"Fast Charging"'), ('Display technology', '"LED"'), ('Other display features', '"Wireless"'), ('Human Interface Input', '"Touchscreen"'), ('Color', '"AT1"'), ('Battery Power Rating', '"180 Milliamp Hours"'), ('Whats in the box', '"1"'), ('Manufacturer', '"JJTZ"'), ('Date First Available', '"February 28, 2023"'), ('Brand', '"RAVIAD"'), ('Model Name', '"AT1"'), ('Style', '"Classic"'), ('Special Feature', '"Fast Charging"'), ('Shape', '"Heart"'), ('Target Audience', '"Men,Women"'), ('Age Range (Description)', '"Adult"'), ('Compatible Devices', '"iPhone 13 PRO MAX,12,11,X, 8，8 plus, 7, 7 plus, 6s, 6s Plus, 6, 6 Plus, 5s, 5c, 4s, Apple Watch, iPad Pro, iPad Air 2, iPad Air, iPad mini 4, iPad mini 2, iMac,MacBook,MacBook Pro,MacBook Air; Samsung Galaxy S8 &amp; S8+, Samsung Galaxy S7 edge, Samsung Galaxy S6 edge, Samsung Galaxy S6, Samsung Galaxy Note5, Note 4, Note 3; Moto X, Moto G, Moto E, DROID Turbo 2, DROID Maxx 2, SONY Xperia X Performance, Xperia X, Xperia XA, Xperia Z5, Xperia Z5 Compact, Xperia C4,Xperia M4 Aqua, Xperia Z3, Xperia Z4 Tablet, Xperia Z3 Tablet Compact, Xperia Z2 Tablet; Moto X, Moto G, Moto E, DROID Turbo 2, DROID Maxx 2, SONY Xperia X Performance, Xperia X, Xperia XA, Xperia Z5, Xperia Z5 Compact, Xperia C4,Xperia M4 Aqua, Xperia Z3, Xperia Z4 Tablet, Xperia Z3 Tablet Compact, Xperia Z2 Tablet; Xiaomi 6 Xiaomi 5s Xiaomi 5, Huawei mate9, Huawei mate8, Huawei P10, Huawei P9, Huawei P8, OnePlus one, OnePlus 2, OnePlus 3, OnePlus 3T, OPPO, Vivo, ZUKiPhone 13 PRO MAX,12,11,X, 8，8 plus, 7, 7 plus, 6s, 6s Plus, 6, 6 Plus, 5s, 5c, 4s, Apple Watch, iPad Pro, iPad Air 2, iPad Air, iPad mini 4, iPad mini 2, iMac,MacBook,MacBook Pro,MacBoo…  See more"'), ('Band Color', '"black"')] | Description: ['2022 Latest Smart Watch(Multiple sport modes), Your 24-hour Online Assistance'
 '✦ Bluetooth Call Function' '✦ Heart Rate/Sleep Monitor'
 '✦ Blood Oxygen Monitor' '✦ Message notification' '✦ Control your Music'
 '✦ Customize your personalized dial face' '✦ Remote Camera'
 '【How to connect the smart watch?】'
 '1. Download the App from you mobile App store'
 "2. Turn on your phone's bluetooth"
 '3. Open the App,click "Add a device" and find "X8+" to connect'
 '4. Swipe down the smartwatch screen,turn on the "call" function switch'
 '5. Open the phone\'s setting and turn on the Bluetooth page,then find "X8+" smart watch to connect'
 '6. After connecting, you can answer and dial calls on the\xa0 Fitness Tracker'
 '【Specification】' 'Screen size : 1.75 in' 'Weight : 33.5g'
 'Display type : LED color display/touch screen display'
 'Battery capacity : 180mAh'
 'Compatibility : iOS 9.0 or later/Android 5.0 or above'
 'Waterproof : IPX6' '【Product packaging】' '1 x Smart watch' '1 x Charger'
 '1 x User Manual']</x:v>
      </x:c>
      <x:c r="J667" s="101" t="n">
        <x:v>2</x:v>
      </x:c>
      <x:c r="K667" s="92" t="str">
        <x:v>Human_Reviewer_01</x:v>
      </x:c>
      <x:c r="L667" s="92" t="str">
        <x:v>Medium</x:v>
      </x:c>
      <x:c r="M667" s="93" t="str">
        <x:v>Seven-day runtime and rain or splash use are relevant; IP67 and IPX6 claims conflict internally.</x:v>
      </x:c>
      <x:c r="N667" s="94"/>
      <x:c r="O667" s="94"/>
      <x:c r="P667" s="94"/>
      <x:c r="Q667" s="95"/>
      <x:c r="R667" s="96"/>
      <x:c r="S667" s="96"/>
      <x:c r="T667" s="97"/>
      <x:c r="U667" s="98" t="str">
        <x:f>IF(OR(J667="",N667=""),"",IF(J667=N667,"No","Yes"))</x:f>
      </x:c>
      <x:c r="V667" s="98" t="n">
        <x:v>2</x:v>
      </x:c>
    </x:row>
    <x:row r="668" ht="54" hidden="0" customHeight="1">
      <x:c r="A668" s="38" t="str">
        <x:v>Q017::B09XVWK6RT_review_3383424</x:v>
      </x:c>
      <x:c r="B668" s="38" t="str">
        <x:v>Q017</x:v>
      </x:c>
      <x:c r="C668" s="91" t="str">
        <x:v>Find a smartwatch with dependable battery life and water resistance for exercise.</x:v>
      </x:c>
      <x:c r="D668" s="38" t="n">
        <x:v>35</x:v>
      </x:c>
      <x:c r="E668" s="38" t="str">
        <x:v>B09XVWK6RT</x:v>
      </x:c>
      <x:c r="F668" s="38" t="str">
        <x:v>review</x:v>
      </x:c>
      <x:c r="G668" s="38" t="str">
        <x:v>battery life</x:v>
      </x:c>
      <x:c r="H668" s="38" t="str">
        <x:v>Cell Phones &amp; Accessories</x:v>
      </x:c>
      <x:c r="I668" s="91" t="str">
        <x:v>[Product: Amazfit GTS Fitness Smartwatch with Heart Rate Monitor, 14-Day Battery Life, Music Control, 1.65" Display, Sleep and Swim Tracking, GPS, Water Resistant, Smart Notifications, Obsidian Black | ASIN: B09XVWK6RT] Battery life is amazing. I normally charge at 10% power remaining, after using the watch for 8-9 days.&lt;br /&gt;3)</x:v>
      </x:c>
      <x:c r="J668" s="101" t="n">
        <x:v>2</x:v>
      </x:c>
      <x:c r="K668" s="92" t="str">
        <x:v>Human_Reviewer_01</x:v>
      </x:c>
      <x:c r="L668" s="92" t="str">
        <x:v>High</x:v>
      </x:c>
      <x:c r="M668" s="93" t="str">
        <x:v>Fitness smartwatch retains ten percent charge after eight to nine days.</x:v>
      </x:c>
      <x:c r="N668" s="94"/>
      <x:c r="O668" s="94"/>
      <x:c r="P668" s="94"/>
      <x:c r="Q668" s="95"/>
      <x:c r="R668" s="96"/>
      <x:c r="S668" s="96"/>
      <x:c r="T668" s="97"/>
      <x:c r="U668" s="98" t="str">
        <x:f>IF(OR(J668="",N668=""),"",IF(J668=N668,"No","Yes"))</x:f>
      </x:c>
      <x:c r="V668" s="98" t="n">
        <x:v>2</x:v>
      </x:c>
    </x:row>
    <x:row r="669" ht="54" hidden="0" customHeight="1">
      <x:c r="A669" s="38" t="str">
        <x:v>Q017::B0BZGY3MPS_review_3167061</x:v>
      </x:c>
      <x:c r="B669" s="38" t="str">
        <x:v>Q017</x:v>
      </x:c>
      <x:c r="C669" s="91" t="str">
        <x:v>Find a smartwatch with dependable battery life and water resistance for exercise.</x:v>
      </x:c>
      <x:c r="D669" s="38" t="n">
        <x:v>36</x:v>
      </x:c>
      <x:c r="E669" s="38" t="str">
        <x:v>B0BZGY3MPS</x:v>
      </x:c>
      <x:c r="F669" s="38" t="str">
        <x:v>review</x:v>
      </x:c>
      <x:c r="G669" s="38" t="str">
        <x:v>general</x:v>
      </x:c>
      <x:c r="H669" s="38" t="str">
        <x:v>Cell Phones &amp; Accessories</x:v>
      </x:c>
      <x:c r="I669" s="91" t="str">
        <x:v>[Product: Amazfit Bip S Fitness Smartwatch, 40 Day Battery Life, 10 Sports Modes, Heart Rate, 1.28'' Always-On Display, Water Resistant, Built-in GPS, Carbon Black | ASIN: B0BZGY3MPS] /&gt;It is ok when you are at home</x:v>
      </x:c>
      <x:c r="J669" s="101" t="n">
        <x:v>1</x:v>
      </x:c>
      <x:c r="K669" s="92" t="str">
        <x:v>Human_Reviewer_01</x:v>
      </x:c>
      <x:c r="L669" s="92" t="str">
        <x:v>High</x:v>
      </x:c>
      <x:c r="M669" s="93" t="str">
        <x:v>Vague satisfactory home use does not establish endurance or exercise water resistance.</x:v>
      </x:c>
      <x:c r="N669" s="94"/>
      <x:c r="O669" s="94"/>
      <x:c r="P669" s="94"/>
      <x:c r="Q669" s="95"/>
      <x:c r="R669" s="96"/>
      <x:c r="S669" s="96"/>
      <x:c r="T669" s="97"/>
      <x:c r="U669" s="98" t="str">
        <x:f>IF(OR(J669="",N669=""),"",IF(J669=N669,"No","Yes"))</x:f>
      </x:c>
      <x:c r="V669" s="98" t="n">
        <x:v>1</x:v>
      </x:c>
    </x:row>
    <x:row r="670" ht="54" hidden="0" customHeight="1">
      <x:c r="A670" s="38" t="str">
        <x:v>Q017::B077S54BMP_review_3616797</x:v>
      </x:c>
      <x:c r="B670" s="38" t="str">
        <x:v>Q017</x:v>
      </x:c>
      <x:c r="C670" s="91" t="str">
        <x:v>Find a smartwatch with dependable battery life and water resistance for exercise.</x:v>
      </x:c>
      <x:c r="D670" s="38" t="n">
        <x:v>37</x:v>
      </x:c>
      <x:c r="E670" s="38" t="str">
        <x:v>B077S54BMP</x:v>
      </x:c>
      <x:c r="F670" s="38" t="str">
        <x:v>review</x:v>
      </x:c>
      <x:c r="G670" s="38" t="str">
        <x:v>battery life</x:v>
      </x:c>
      <x:c r="H670" s="38" t="str">
        <x:v>Cell Phones &amp; Accessories</x:v>
      </x:c>
      <x:c r="I670" s="91" t="str">
        <x:v>[Product: Huawei Watch 2 Classic Smartwatch - Ceramic Bezel- Black Leather Strap(Us Warranty) | ASIN: B077S54BMP] but the battery life does not suffer (see below).&lt;br /&gt;&lt;br /&gt;4) battery - at first i thought the battery was not great because it would barely last a day. i turned that off and now i usually have more than 50% at the end of the day when i put it on the charger (about 15 hours of use). you can easily use this for daily runs or other workouts and still get through the day without recharging.&lt;br /&gt;&lt;br /&gt;dislikes:&lt;br /&gt;1) weak water resistance - IP68 dust/waterproof rating is actually pretty great for most electronic devices.</x:v>
      </x:c>
      <x:c r="J670" s="101" t="n">
        <x:v>2</x:v>
      </x:c>
      <x:c r="K670" s="92" t="str">
        <x:v>Human_Reviewer_01</x:v>
      </x:c>
      <x:c r="L670" s="92" t="str">
        <x:v>High</x:v>
      </x:c>
      <x:c r="M670" s="93" t="str">
        <x:v>Smartwatch supports a workout day with battery remaining and provides water-resistance limitations.</x:v>
      </x:c>
      <x:c r="N670" s="94"/>
      <x:c r="O670" s="94"/>
      <x:c r="P670" s="94"/>
      <x:c r="Q670" s="95"/>
      <x:c r="R670" s="96"/>
      <x:c r="S670" s="96"/>
      <x:c r="T670" s="97"/>
      <x:c r="U670" s="98" t="str">
        <x:f>IF(OR(J670="",N670=""),"",IF(J670=N670,"No","Yes"))</x:f>
      </x:c>
      <x:c r="V670" s="98" t="n">
        <x:v>2</x:v>
      </x:c>
    </x:row>
    <x:row r="671" ht="54" hidden="0" customHeight="1">
      <x:c r="A671" s="38" t="str">
        <x:v>Q017::B01N4EXGQ7_review_4182082</x:v>
      </x:c>
      <x:c r="B671" s="38" t="str">
        <x:v>Q017</x:v>
      </x:c>
      <x:c r="C671" s="91" t="str">
        <x:v>Find a smartwatch with dependable battery life and water resistance for exercise.</x:v>
      </x:c>
      <x:c r="D671" s="38" t="n">
        <x:v>38</x:v>
      </x:c>
      <x:c r="E671" s="38" t="str">
        <x:v>B01N4EXGQ7</x:v>
      </x:c>
      <x:c r="F671" s="38" t="str">
        <x:v>review</x:v>
      </x:c>
      <x:c r="G671" s="38" t="str">
        <x:v>battery life</x:v>
      </x:c>
      <x:c r="H671" s="38" t="str">
        <x:v>Cell Phones &amp; Accessories</x:v>
      </x:c>
      <x:c r="I671" s="91" t="str">
        <x:v>[Product: Samsung Gear S2 R730A (AT&amp;T + Wi-Fi) Dust and Water Resistant Smartwatch - Silver (Renewed) | ASIN: B01N4EXGQ7] I have had it for a few weeks and at first the battery life was abysmal. Now my watch lasts two days without recharging.</x:v>
      </x:c>
      <x:c r="J671" s="101" t="n">
        <x:v>2</x:v>
      </x:c>
      <x:c r="K671" s="92" t="str">
        <x:v>Human_Reviewer_01</x:v>
      </x:c>
      <x:c r="L671" s="92" t="str">
        <x:v>High</x:v>
      </x:c>
      <x:c r="M671" s="93" t="str">
        <x:v>Smartwatch runtime improves from poor initial endurance to two days.</x:v>
      </x:c>
      <x:c r="N671" s="94"/>
      <x:c r="O671" s="94"/>
      <x:c r="P671" s="94"/>
      <x:c r="Q671" s="95"/>
      <x:c r="R671" s="96"/>
      <x:c r="S671" s="96"/>
      <x:c r="T671" s="97"/>
      <x:c r="U671" s="98" t="str">
        <x:f>IF(OR(J671="",N671=""),"",IF(J671=N671,"No","Yes"))</x:f>
      </x:c>
      <x:c r="V671" s="98" t="n">
        <x:v>2</x:v>
      </x:c>
    </x:row>
    <x:row r="672" ht="54" hidden="0" customHeight="1">
      <x:c r="A672" s="38" t="str">
        <x:v>Q017::B0BFFXDM1V_review_1746227</x:v>
      </x:c>
      <x:c r="B672" s="38" t="str">
        <x:v>Q017</x:v>
      </x:c>
      <x:c r="C672" s="91" t="str">
        <x:v>Find a smartwatch with dependable battery life and water resistance for exercise.</x:v>
      </x:c>
      <x:c r="D672" s="38" t="n">
        <x:v>39</x:v>
      </x:c>
      <x:c r="E672" s="38" t="str">
        <x:v>B0BFFXDM1V</x:v>
      </x:c>
      <x:c r="F672" s="38" t="str">
        <x:v>review</x:v>
      </x:c>
      <x:c r="G672" s="38" t="str">
        <x:v>price/value</x:v>
      </x:c>
      <x:c r="H672" s="38" t="str">
        <x:v>Cell Phones &amp; Accessories</x:v>
      </x:c>
      <x:c r="I672" s="91" t="str">
        <x:v>[Product: Amazfit GTR 2e Smart Watch, 24 Day Battery Life, Alexa Built-in, Fitness Tracker with GPS &amp; 90 Sports Modes, Blood Oxygen Heart Rate Tracker, 5 ATM Water Resistant, for Men Women Android iPhone,Black | ASIN: B0BFFXDM1V] I do not have to worry about charging, so everything is a connivence to use and it makes more fun and just worth the money also you get these features on the watch that make it even more of a bargain:&lt;br /&gt;&lt;br /&gt;Waterproof:</x:v>
      </x:c>
      <x:c r="J672" s="101" t="n">
        <x:v>2</x:v>
      </x:c>
      <x:c r="K672" s="92" t="str">
        <x:v>Human_Reviewer_01</x:v>
      </x:c>
      <x:c r="L672" s="92" t="str">
        <x:v>Medium</x:v>
      </x:c>
      <x:c r="M672" s="93" t="str">
        <x:v>Fitness smartwatch needs little charging, with endurance and water-resistance title claims; runtime detail is limited.</x:v>
      </x:c>
      <x:c r="N672" s="94"/>
      <x:c r="O672" s="94"/>
      <x:c r="P672" s="94"/>
      <x:c r="Q672" s="95"/>
      <x:c r="R672" s="96"/>
      <x:c r="S672" s="96"/>
      <x:c r="T672" s="97"/>
      <x:c r="U672" s="98" t="str">
        <x:f>IF(OR(J672="",N672=""),"",IF(J672=N672,"No","Yes"))</x:f>
      </x:c>
      <x:c r="V672" s="98" t="n">
        <x:v>2</x:v>
      </x:c>
    </x:row>
    <x:row r="673" ht="54" hidden="0" customHeight="1">
      <x:c r="A673" s="38" t="str">
        <x:v>Q017::B09VQKPGX8_review_3536087</x:v>
      </x:c>
      <x:c r="B673" s="38" t="str">
        <x:v>Q017</x:v>
      </x:c>
      <x:c r="C673" s="91" t="str">
        <x:v>Find a smartwatch with dependable battery life and water resistance for exercise.</x:v>
      </x:c>
      <x:c r="D673" s="38" t="n">
        <x:v>40</x:v>
      </x:c>
      <x:c r="E673" s="38" t="str">
        <x:v>B09VQKPGX8</x:v>
      </x:c>
      <x:c r="F673" s="38" t="str">
        <x:v>review</x:v>
      </x:c>
      <x:c r="G673" s="38" t="str">
        <x:v>connectivity</x:v>
      </x:c>
      <x:c r="H673" s="38" t="str">
        <x:v>Cell Phones &amp; Accessories</x:v>
      </x:c>
      <x:c r="I673" s="91" t="str">
        <x:v>[Product: Tile Pro (2020) 2 - Pack - High Performance Bluetooth Tracker, Keys Finder and Item Locator for Keys, Bags, and More; 400 ft Range, Water Resistance and 1 Year Replaceable Battery | ASIN: B09VQKPGX8] A friend suggested I order one of these after my husband misplaced my keys and I could not find them for several days.</x:v>
      </x:c>
      <x:c r="J673" s="101" t="n">
        <x:v>0</x:v>
      </x:c>
      <x:c r="K673" s="92" t="str">
        <x:v>Human_Reviewer_01</x:v>
      </x:c>
      <x:c r="L673" s="92" t="str">
        <x:v>High</x:v>
      </x:c>
      <x:c r="M673" s="93" t="str">
        <x:v>This is an item-location tracker, not a smartwatch.</x:v>
      </x:c>
      <x:c r="N673" s="94"/>
      <x:c r="O673" s="94"/>
      <x:c r="P673" s="94"/>
      <x:c r="Q673" s="95"/>
      <x:c r="R673" s="96"/>
      <x:c r="S673" s="96"/>
      <x:c r="T673" s="97"/>
      <x:c r="U673" s="98" t="str">
        <x:f>IF(OR(J673="",N673=""),"",IF(J673=N673,"No","Yes"))</x:f>
      </x:c>
      <x:c r="V673" s="98" t="n">
        <x:v>0</x:v>
      </x:c>
    </x:row>
    <x:row r="674" ht="54" hidden="0" customHeight="1">
      <x:c r="A674" s="38" t="str">
        <x:v>Q018::B00006JPES_review_2066928</x:v>
      </x:c>
      <x:c r="B674" s="38" t="str">
        <x:v>Q018</x:v>
      </x:c>
      <x:c r="C674" s="91" t="str">
        <x:v>I need a Bluetooth adapter that keeps a stable connection without frequent dropouts.</x:v>
      </x:c>
      <x:c r="D674" s="38" t="n">
        <x:v>1</x:v>
      </x:c>
      <x:c r="E674" s="38" t="str">
        <x:v>B00006JPES</x:v>
      </x:c>
      <x:c r="F674" s="38" t="str">
        <x:v>review</x:v>
      </x:c>
      <x:c r="G674" s="38" t="str">
        <x:v>general</x:v>
      </x:c>
      <x:c r="H674" s="38" t="str">
        <x:v>Cell Phones &amp; Accessories</x:v>
      </x:c>
      <x:c r="I674" s="91" t="str">
        <x:v>[Product: Cobra HA-BNC UHF-BNC PL259 CB Adapter | ASIN: B00006JPES] It is stable in it is use and will last forever. I have used it now for over 8 months of frequent use and I am very satisfied.</x:v>
      </x:c>
      <x:c r="J674" s="101" t="n">
        <x:v>0</x:v>
      </x:c>
      <x:c r="K674" s="92" t="str">
        <x:v>Human_Reviewer_01</x:v>
      </x:c>
      <x:c r="L674" s="92" t="str">
        <x:v>High</x:v>
      </x:c>
      <x:c r="M674" s="93" t="str">
        <x:v>This is a radio connector adapter, not a Bluetooth adapter.</x:v>
      </x:c>
      <x:c r="N674" s="94"/>
      <x:c r="O674" s="94"/>
      <x:c r="P674" s="94"/>
      <x:c r="Q674" s="95"/>
      <x:c r="R674" s="96"/>
      <x:c r="S674" s="96"/>
      <x:c r="T674" s="97"/>
      <x:c r="U674" s="98" t="str">
        <x:f>IF(OR(J674="",N674=""),"",IF(J674=N674,"No","Yes"))</x:f>
      </x:c>
      <x:c r="V674" s="98" t="n">
        <x:v>0</x:v>
      </x:c>
    </x:row>
    <x:row r="675" ht="54" hidden="0" customHeight="1">
      <x:c r="A675" s="38" t="str">
        <x:v>Q018::B0026SKZO0_review_2781306</x:v>
      </x:c>
      <x:c r="B675" s="38" t="str">
        <x:v>Q018</x:v>
      </x:c>
      <x:c r="C675" s="91" t="str">
        <x:v>I need a Bluetooth adapter that keeps a stable connection without frequent dropouts.</x:v>
      </x:c>
      <x:c r="D675" s="38" t="n">
        <x:v>2</x:v>
      </x:c>
      <x:c r="E675" s="38" t="str">
        <x:v>B0026SKZO0</x:v>
      </x:c>
      <x:c r="F675" s="38" t="str">
        <x:v>review</x:v>
      </x:c>
      <x:c r="G675" s="38" t="str">
        <x:v>price/value</x:v>
      </x:c>
      <x:c r="H675" s="38" t="str">
        <x:v>Computers</x:v>
      </x:c>
      <x:c r="I675" s="91" t="str">
        <x:v>[Product: Generic Smallest Wireless Sync Adapter Dongle (30000212) | ASIN: B0026SKZO0] It is worth a try.</x:v>
      </x:c>
      <x:c r="J675" s="101" t="n">
        <x:v>1</x:v>
      </x:c>
      <x:c r="K675" s="92" t="str">
        <x:v>Human_Reviewer_01</x:v>
      </x:c>
      <x:c r="L675" s="92" t="str">
        <x:v>Medium</x:v>
      </x:c>
      <x:c r="M675" s="93" t="str">
        <x:v>Generic wireless dongle is recommended, but Bluetooth and connection stability are not established.</x:v>
      </x:c>
      <x:c r="N675" s="94"/>
      <x:c r="O675" s="94"/>
      <x:c r="P675" s="94"/>
      <x:c r="Q675" s="95"/>
      <x:c r="R675" s="96"/>
      <x:c r="S675" s="96"/>
      <x:c r="T675" s="97"/>
      <x:c r="U675" s="98" t="str">
        <x:f>IF(OR(J675="",N675=""),"",IF(J675=N675,"No","Yes"))</x:f>
      </x:c>
      <x:c r="V675" s="98" t="n">
        <x:v>1</x:v>
      </x:c>
    </x:row>
    <x:row r="676" ht="54" hidden="0" customHeight="1">
      <x:c r="A676" s="38" t="str">
        <x:v>Q018::B01D84D3IU_review_2589493</x:v>
      </x:c>
      <x:c r="B676" s="38" t="str">
        <x:v>Q018</x:v>
      </x:c>
      <x:c r="C676" s="91" t="str">
        <x:v>I need a Bluetooth adapter that keeps a stable connection without frequent dropouts.</x:v>
      </x:c>
      <x:c r="D676" s="38" t="n">
        <x:v>3</x:v>
      </x:c>
      <x:c r="E676" s="38" t="str">
        <x:v>B01D84D3IU</x:v>
      </x:c>
      <x:c r="F676" s="38" t="str">
        <x:v>review</x:v>
      </x:c>
      <x:c r="G676" s="38" t="str">
        <x:v>connectivity</x:v>
      </x:c>
      <x:c r="H676" s="38" t="str">
        <x:v>Computers</x:v>
      </x:c>
      <x:c r="I676" s="91" t="str">
        <x:v>[Product: Pebble 2/2 SE Charger,GOOQ Charger Adapter Without USB Cable for Pebble Time/Pebble Time Round/Pebble Time Steel Smartwatch Apple/Android | ASIN: B01D84D3IU] Very poor magnetic connection. need to be very gently placed on a VERY stable surface, just right, to keep the connection</x:v>
      </x:c>
      <x:c r="J676" s="101" t="n">
        <x:v>0</x:v>
      </x:c>
      <x:c r="K676" s="92" t="str">
        <x:v>Human_Reviewer_01</x:v>
      </x:c>
      <x:c r="L676" s="92" t="str">
        <x:v>High</x:v>
      </x:c>
      <x:c r="M676" s="93" t="str">
        <x:v>This is a smartwatch charging adapter, not a Bluetooth adapter.</x:v>
      </x:c>
      <x:c r="N676" s="94"/>
      <x:c r="O676" s="94"/>
      <x:c r="P676" s="94"/>
      <x:c r="Q676" s="95"/>
      <x:c r="R676" s="96"/>
      <x:c r="S676" s="96"/>
      <x:c r="T676" s="97"/>
      <x:c r="U676" s="98" t="str">
        <x:f>IF(OR(J676="",N676=""),"",IF(J676=N676,"No","Yes"))</x:f>
      </x:c>
      <x:c r="V676" s="98" t="n">
        <x:v>0</x:v>
      </x:c>
    </x:row>
    <x:row r="677" ht="54" hidden="0" customHeight="1">
      <x:c r="A677" s="38" t="str">
        <x:v>Q018::B000FTO00M_review_2396570</x:v>
      </x:c>
      <x:c r="B677" s="38" t="str">
        <x:v>Q018</x:v>
      </x:c>
      <x:c r="C677" s="91" t="str">
        <x:v>I need a Bluetooth adapter that keeps a stable connection without frequent dropouts.</x:v>
      </x:c>
      <x:c r="D677" s="38" t="n">
        <x:v>4</x:v>
      </x:c>
      <x:c r="E677" s="38" t="str">
        <x:v>B000FTO00M</x:v>
      </x:c>
      <x:c r="F677" s="38" t="str">
        <x:v>review</x:v>
      </x:c>
      <x:c r="G677" s="38" t="str">
        <x:v>connectivity</x:v>
      </x:c>
      <x:c r="H677" s="38" t="str">
        <x:v>Cell Phones &amp; Accessories</x:v>
      </x:c>
      <x:c r="I677" s="91" t="str">
        <x:v>[Product: Jabra A320s Bluetooth Adapter (Discontinued by Manufacturer) | ASIN: B000FTO00M] This time it does not crash, but the connection are not stable at all.</x:v>
      </x:c>
      <x:c r="J677" s="101" t="n">
        <x:v>2</x:v>
      </x:c>
      <x:c r="K677" s="92" t="str">
        <x:v>Human_Reviewer_01</x:v>
      </x:c>
      <x:c r="L677" s="92" t="str">
        <x:v>High</x:v>
      </x:c>
      <x:c r="M677" s="93" t="str">
        <x:v>Bluetooth adapter explicitly has unstable connections.</x:v>
      </x:c>
      <x:c r="N677" s="94"/>
      <x:c r="O677" s="94"/>
      <x:c r="P677" s="94"/>
      <x:c r="Q677" s="95"/>
      <x:c r="R677" s="96"/>
      <x:c r="S677" s="96"/>
      <x:c r="T677" s="97"/>
      <x:c r="U677" s="98" t="str">
        <x:f>IF(OR(J677="",N677=""),"",IF(J677=N677,"No","Yes"))</x:f>
      </x:c>
      <x:c r="V677" s="98" t="n">
        <x:v>2</x:v>
      </x:c>
    </x:row>
    <x:row r="678" ht="54" hidden="0" customHeight="1">
      <x:c r="A678" s="38" t="str">
        <x:v>Q018::B00FXPL272_review_3682448</x:v>
      </x:c>
      <x:c r="B678" s="38" t="str">
        <x:v>Q018</x:v>
      </x:c>
      <x:c r="C678" s="91" t="str">
        <x:v>I need a Bluetooth adapter that keeps a stable connection without frequent dropouts.</x:v>
      </x:c>
      <x:c r="D678" s="38" t="n">
        <x:v>5</x:v>
      </x:c>
      <x:c r="E678" s="38" t="str">
        <x:v>B00FXPL272</x:v>
      </x:c>
      <x:c r="F678" s="38" t="str">
        <x:v>review</x:v>
      </x:c>
      <x:c r="G678" s="38" t="str">
        <x:v>connectivity</x:v>
      </x:c>
      <x:c r="H678" s="38" t="str">
        <x:v>Computers</x:v>
      </x:c>
      <x:c r="I678" s="91" t="str">
        <x:v>[Product: Amped BTSA1 Wireless Long Range Bluetooth Speaker Adapter | ASIN: B00FXPL272] The connection drops as soon as you walk away, and I mean walk away 1 foot from the device.</x:v>
      </x:c>
      <x:c r="J678" s="101" t="n">
        <x:v>2</x:v>
      </x:c>
      <x:c r="K678" s="92" t="str">
        <x:v>Human_Reviewer_01</x:v>
      </x:c>
      <x:c r="L678" s="92" t="str">
        <x:v>High</x:v>
      </x:c>
      <x:c r="M678" s="93" t="str">
        <x:v>Bluetooth adapter disconnects when the user moves about one foot away.</x:v>
      </x:c>
      <x:c r="N678" s="94"/>
      <x:c r="O678" s="94"/>
      <x:c r="P678" s="94"/>
      <x:c r="Q678" s="95"/>
      <x:c r="R678" s="96"/>
      <x:c r="S678" s="96"/>
      <x:c r="T678" s="97"/>
      <x:c r="U678" s="98" t="str">
        <x:f>IF(OR(J678="",N678=""),"",IF(J678=N678,"No","Yes"))</x:f>
      </x:c>
      <x:c r="V678" s="98" t="n">
        <x:v>2</x:v>
      </x:c>
    </x:row>
    <x:row r="679" ht="54" hidden="0" customHeight="1">
      <x:c r="A679" s="38" t="str">
        <x:v>Q018::B01EUIG3CG_review_1677877</x:v>
      </x:c>
      <x:c r="B679" s="38" t="str">
        <x:v>Q018</x:v>
      </x:c>
      <x:c r="C679" s="91" t="str">
        <x:v>I need a Bluetooth adapter that keeps a stable connection without frequent dropouts.</x:v>
      </x:c>
      <x:c r="D679" s="38" t="n">
        <x:v>6</x:v>
      </x:c>
      <x:c r="E679" s="38" t="str">
        <x:v>B01EUIG3CG</x:v>
      </x:c>
      <x:c r="F679" s="38" t="str">
        <x:v>review</x:v>
      </x:c>
      <x:c r="G679" s="38" t="str">
        <x:v>connectivity</x:v>
      </x:c>
      <x:c r="H679" s="38" t="str">
        <x:v>Computers</x:v>
      </x:c>
      <x:c r="I679" s="91" t="str">
        <x:v>[Product: SNANSHI WD5000 to 2.5" Sata Adapter Card for WD5000MPCK WD5000M22K WD5000M21K | ASIN: B01EUIG3CG] Cannot get a good stable connection with this adapter</x:v>
      </x:c>
      <x:c r="J679" s="101" t="n">
        <x:v>0</x:v>
      </x:c>
      <x:c r="K679" s="92" t="str">
        <x:v>Human_Reviewer_01</x:v>
      </x:c>
      <x:c r="L679" s="92" t="str">
        <x:v>High</x:v>
      </x:c>
      <x:c r="M679" s="93" t="str">
        <x:v>This is a SATA storage adapter, not a Bluetooth adapter.</x:v>
      </x:c>
      <x:c r="N679" s="94"/>
      <x:c r="O679" s="94"/>
      <x:c r="P679" s="94"/>
      <x:c r="Q679" s="95"/>
      <x:c r="R679" s="96"/>
      <x:c r="S679" s="96"/>
      <x:c r="T679" s="97"/>
      <x:c r="U679" s="98" t="str">
        <x:f>IF(OR(J679="",N679=""),"",IF(J679=N679,"No","Yes"))</x:f>
      </x:c>
      <x:c r="V679" s="98" t="n">
        <x:v>0</x:v>
      </x:c>
    </x:row>
    <x:row r="680" ht="54" hidden="0" customHeight="1">
      <x:c r="A680" s="38" t="str">
        <x:v>Q018::B0026SKZO0_review_2781312</x:v>
      </x:c>
      <x:c r="B680" s="38" t="str">
        <x:v>Q018</x:v>
      </x:c>
      <x:c r="C680" s="91" t="str">
        <x:v>I need a Bluetooth adapter that keeps a stable connection without frequent dropouts.</x:v>
      </x:c>
      <x:c r="D680" s="38" t="n">
        <x:v>7</x:v>
      </x:c>
      <x:c r="E680" s="38" t="str">
        <x:v>B0026SKZO0</x:v>
      </x:c>
      <x:c r="F680" s="38" t="str">
        <x:v>review</x:v>
      </x:c>
      <x:c r="G680" s="38" t="str">
        <x:v>price/value</x:v>
      </x:c>
      <x:c r="H680" s="38" t="str">
        <x:v>Computers</x:v>
      </x:c>
      <x:c r="I680" s="91" t="str">
        <x:v>[Product: Generic Smallest Wireless Sync Adapter Dongle (30000212) | ASIN: B0026SKZO0] So cheap, but it saved me the lost cost of the bluetooth headset - well worth it!</x:v>
      </x:c>
      <x:c r="J680" s="101" t="n">
        <x:v>1</x:v>
      </x:c>
      <x:c r="K680" s="92" t="str">
        <x:v>Human_Reviewer_01</x:v>
      </x:c>
      <x:c r="L680" s="92" t="str">
        <x:v>Medium</x:v>
      </x:c>
      <x:c r="M680" s="93" t="str">
        <x:v>Wireless adapter works with a Bluetooth headset, but sustained connection stability is untested.</x:v>
      </x:c>
      <x:c r="N680" s="94"/>
      <x:c r="O680" s="94"/>
      <x:c r="P680" s="94"/>
      <x:c r="Q680" s="95"/>
      <x:c r="R680" s="96"/>
      <x:c r="S680" s="96"/>
      <x:c r="T680" s="97"/>
      <x:c r="U680" s="98" t="str">
        <x:f>IF(OR(J680="",N680=""),"",IF(J680=N680,"No","Yes"))</x:f>
      </x:c>
      <x:c r="V680" s="98" t="n">
        <x:v>1</x:v>
      </x:c>
    </x:row>
    <x:row r="681" ht="54" hidden="0" customHeight="1">
      <x:c r="A681" s="38" t="str">
        <x:v>Q018::B0090I9NRE_review_2604747</x:v>
      </x:c>
      <x:c r="B681" s="38" t="str">
        <x:v>Q018</x:v>
      </x:c>
      <x:c r="C681" s="91" t="str">
        <x:v>I need a Bluetooth adapter that keeps a stable connection without frequent dropouts.</x:v>
      </x:c>
      <x:c r="D681" s="38" t="n">
        <x:v>8</x:v>
      </x:c>
      <x:c r="E681" s="38" t="str">
        <x:v>B0090I9NRE</x:v>
      </x:c>
      <x:c r="F681" s="38" t="str">
        <x:v>review</x:v>
      </x:c>
      <x:c r="G681" s="38" t="str">
        <x:v>connectivity</x:v>
      </x:c>
      <x:c r="H681" s="38" t="str">
        <x:v>Computers</x:v>
      </x:c>
      <x:c r="I681" s="91" t="str">
        <x:v>[Product: Cirago Bluetooth 4.0 USB Mini Adapter (BTA8000) | ASIN: B0090I9NRE] I have had a few but they all work funny with Stereo headsets, every time the sound stopped for any reason, it seemed the connection would go to sleep and when the sound started again, it had to "wake up" and reconnect. Great range too, I can walk downstairs and across the house and it stays connected.&lt;br /&gt;&lt;br /&gt;One note, DO NOT INSTALL THE MOTOROLA CRAPWARE that comes with it, just use the Windows drivers.</x:v>
      </x:c>
      <x:c r="J681" s="101" t="n">
        <x:v>2</x:v>
      </x:c>
      <x:c r="K681" s="92" t="str">
        <x:v>Human_Reviewer_01</x:v>
      </x:c>
      <x:c r="L681" s="92" t="str">
        <x:v>High</x:v>
      </x:c>
      <x:c r="M681" s="93" t="str">
        <x:v>Bluetooth adapter remains connected across floors and rooms, with driver-use advice.</x:v>
      </x:c>
      <x:c r="N681" s="94"/>
      <x:c r="O681" s="94"/>
      <x:c r="P681" s="94"/>
      <x:c r="Q681" s="95"/>
      <x:c r="R681" s="96"/>
      <x:c r="S681" s="96"/>
      <x:c r="T681" s="97"/>
      <x:c r="U681" s="98" t="str">
        <x:f>IF(OR(J681="",N681=""),"",IF(J681=N681,"No","Yes"))</x:f>
      </x:c>
      <x:c r="V681" s="98" t="n">
        <x:v>2</x:v>
      </x:c>
    </x:row>
    <x:row r="682" ht="54" hidden="0" customHeight="1">
      <x:c r="A682" s="38" t="str">
        <x:v>Q018::B01MRUF1ZO_review_2692389</x:v>
      </x:c>
      <x:c r="B682" s="38" t="str">
        <x:v>Q018</x:v>
      </x:c>
      <x:c r="C682" s="91" t="str">
        <x:v>I need a Bluetooth adapter that keeps a stable connection without frequent dropouts.</x:v>
      </x:c>
      <x:c r="D682" s="38" t="n">
        <x:v>9</x:v>
      </x:c>
      <x:c r="E682" s="38" t="str">
        <x:v>B01MRUF1ZO</x:v>
      </x:c>
      <x:c r="F682" s="38" t="str">
        <x:v>review</x:v>
      </x:c>
      <x:c r="G682" s="38" t="str">
        <x:v>connectivity</x:v>
      </x:c>
      <x:c r="H682" s="38" t="str">
        <x:v>Cell Phones &amp; Accessories</x:v>
      </x:c>
      <x:c r="I682" s="91" t="str">
        <x:v>[Product: Bluetooth Audio Adapter- Cingk Bluetooth 4.1 Transmitter and Receiver, 2-in-1 3.5mm Wireless Audio Adapter Car Kit for TV/Home Stereo System,Headphones,Speakers, MP3 / MP4,iPhone and More | ASIN: B01MRUF1ZO] This product works great for receiving bluetooth connection - Very little delay and fairly clear - But there is some issues with the product randomly loosing connection at times with any device i try it on (OnePlus one, Iphone 6). I have tried it with multiple bluetooth headphones / Devices with no password (Bose quietcomfort, Peats audio earbuds) and have had no success. After 5 or so minutes of no connection it automatically shuts down.</x:v>
      </x:c>
      <x:c r="J682" s="101" t="n">
        <x:v>2</x:v>
      </x:c>
      <x:c r="K682" s="92" t="str">
        <x:v>Human_Reviewer_01</x:v>
      </x:c>
      <x:c r="L682" s="92" t="str">
        <x:v>High</x:v>
      </x:c>
      <x:c r="M682" s="93" t="str">
        <x:v>Bluetooth adapter randomly loses connections with multiple devices.</x:v>
      </x:c>
      <x:c r="N682" s="94"/>
      <x:c r="O682" s="94"/>
      <x:c r="P682" s="94"/>
      <x:c r="Q682" s="95"/>
      <x:c r="R682" s="96"/>
      <x:c r="S682" s="96"/>
      <x:c r="T682" s="97"/>
      <x:c r="U682" s="98" t="str">
        <x:f>IF(OR(J682="",N682=""),"",IF(J682=N682,"No","Yes"))</x:f>
      </x:c>
      <x:c r="V682" s="98" t="n">
        <x:v>2</x:v>
      </x:c>
    </x:row>
    <x:row r="683" ht="54" hidden="0" customHeight="1">
      <x:c r="A683" s="38" t="str">
        <x:v>Q018::B0026SKZO0_review_2781301</x:v>
      </x:c>
      <x:c r="B683" s="38" t="str">
        <x:v>Q018</x:v>
      </x:c>
      <x:c r="C683" s="91" t="str">
        <x:v>I need a Bluetooth adapter that keeps a stable connection without frequent dropouts.</x:v>
      </x:c>
      <x:c r="D683" s="38" t="n">
        <x:v>10</x:v>
      </x:c>
      <x:c r="E683" s="38" t="str">
        <x:v>B0026SKZO0</x:v>
      </x:c>
      <x:c r="F683" s="38" t="str">
        <x:v>review</x:v>
      </x:c>
      <x:c r="G683" s="38" t="str">
        <x:v>connectivity</x:v>
      </x:c>
      <x:c r="H683" s="38" t="str">
        <x:v>Computers</x:v>
      </x:c>
      <x:c r="I683" s="91" t="str">
        <x:v>[Product: Generic Smallest Wireless Sync Adapter Dongle (30000212) | ASIN: B0026SKZO0] /&gt;Supports native Windows bluetooth stack (Windows XP, Vista, Windows 7). Supports native Windows drivers&lt;</x:v>
      </x:c>
      <x:c r="J683" s="101" t="n">
        <x:v>1</x:v>
      </x:c>
      <x:c r="K683" s="92" t="str">
        <x:v>Human_Reviewer_01</x:v>
      </x:c>
      <x:c r="L683" s="92" t="str">
        <x:v>High</x:v>
      </x:c>
      <x:c r="M683" s="93" t="str">
        <x:v>Bluetooth driver compatibility is established, but connection stability is untested.</x:v>
      </x:c>
      <x:c r="N683" s="94"/>
      <x:c r="O683" s="94"/>
      <x:c r="P683" s="94"/>
      <x:c r="Q683" s="95"/>
      <x:c r="R683" s="96"/>
      <x:c r="S683" s="96"/>
      <x:c r="T683" s="97"/>
      <x:c r="U683" s="98" t="str">
        <x:f>IF(OR(J683="",N683=""),"",IF(J683=N683,"No","Yes"))</x:f>
      </x:c>
      <x:c r="V683" s="98" t="n">
        <x:v>1</x:v>
      </x:c>
    </x:row>
    <x:row r="684" ht="54" hidden="0" customHeight="1">
      <x:c r="A684" s="38" t="str">
        <x:v>Q018::B006P18W58_review_2194773</x:v>
      </x:c>
      <x:c r="B684" s="38" t="str">
        <x:v>Q018</x:v>
      </x:c>
      <x:c r="C684" s="91" t="str">
        <x:v>I need a Bluetooth adapter that keeps a stable connection without frequent dropouts.</x:v>
      </x:c>
      <x:c r="D684" s="38" t="n">
        <x:v>11</x:v>
      </x:c>
      <x:c r="E684" s="38" t="str">
        <x:v>B006P18W58</x:v>
      </x:c>
      <x:c r="F684" s="38" t="str">
        <x:v>review</x:v>
      </x:c>
      <x:c r="G684" s="38" t="str">
        <x:v>general</x:v>
      </x:c>
      <x:c r="H684" s="38" t="str">
        <x:v>Computers</x:v>
      </x:c>
      <x:c r="I684" s="91" t="str">
        <x:v>[Product: IOGEAR USB 2.1 Bluetooth Micro Adapter (GBU421WM) | ASIN: B006P18W58] They often dropped for no apparent reason.</x:v>
      </x:c>
      <x:c r="J684" s="101" t="n">
        <x:v>2</x:v>
      </x:c>
      <x:c r="K684" s="92" t="str">
        <x:v>Human_Reviewer_01</x:v>
      </x:c>
      <x:c r="L684" s="92" t="str">
        <x:v>High</x:v>
      </x:c>
      <x:c r="M684" s="93" t="str">
        <x:v>Bluetooth adapter connections frequently drop without explanation.</x:v>
      </x:c>
      <x:c r="N684" s="94"/>
      <x:c r="O684" s="94"/>
      <x:c r="P684" s="94"/>
      <x:c r="Q684" s="95"/>
      <x:c r="R684" s="96"/>
      <x:c r="S684" s="96"/>
      <x:c r="T684" s="97"/>
      <x:c r="U684" s="98" t="str">
        <x:f>IF(OR(J684="",N684=""),"",IF(J684=N684,"No","Yes"))</x:f>
      </x:c>
      <x:c r="V684" s="98" t="n">
        <x:v>2</x:v>
      </x:c>
    </x:row>
    <x:row r="685" ht="54" hidden="0" customHeight="1">
      <x:c r="A685" s="38" t="str">
        <x:v>Q018::B01M0RY5JI_review_1499585</x:v>
      </x:c>
      <x:c r="B685" s="38" t="str">
        <x:v>Q018</x:v>
      </x:c>
      <x:c r="C685" s="91" t="str">
        <x:v>I need a Bluetooth adapter that keeps a stable connection without frequent dropouts.</x:v>
      </x:c>
      <x:c r="D685" s="38" t="n">
        <x:v>12</x:v>
      </x:c>
      <x:c r="E685" s="38" t="str">
        <x:v>B01M0RY5JI</x:v>
      </x:c>
      <x:c r="F685" s="38" t="str">
        <x:v>review</x:v>
      </x:c>
      <x:c r="G685" s="38" t="str">
        <x:v>price/value</x:v>
      </x:c>
      <x:c r="H685" s="38" t="str">
        <x:v>Computers</x:v>
      </x:c>
      <x:c r="I685" s="91" t="str">
        <x:v>[Product: Mini USB Bluetooth 2.0 Dongle Wireless Adapter Pack of 2 | ASIN: B01M0RY5JI] it does work well if you need an inexpensive bluetooth :)</x:v>
      </x:c>
      <x:c r="J685" s="101" t="n">
        <x:v>1</x:v>
      </x:c>
      <x:c r="K685" s="92" t="str">
        <x:v>Human_Reviewer_01</x:v>
      </x:c>
      <x:c r="L685" s="92" t="str">
        <x:v>High</x:v>
      </x:c>
      <x:c r="M685" s="93" t="str">
        <x:v>Bluetooth adapter works generally, without specific stability or dropout evidence.</x:v>
      </x:c>
      <x:c r="N685" s="94"/>
      <x:c r="O685" s="94"/>
      <x:c r="P685" s="94"/>
      <x:c r="Q685" s="95"/>
      <x:c r="R685" s="96"/>
      <x:c r="S685" s="96"/>
      <x:c r="T685" s="97"/>
      <x:c r="U685" s="98" t="str">
        <x:f>IF(OR(J685="",N685=""),"",IF(J685=N685,"No","Yes"))</x:f>
      </x:c>
      <x:c r="V685" s="98" t="n">
        <x:v>1</x:v>
      </x:c>
    </x:row>
    <x:row r="686" ht="54" hidden="0" customHeight="1">
      <x:c r="A686" s="38" t="str">
        <x:v>Q018::B000FBOVOK_review_874469</x:v>
      </x:c>
      <x:c r="B686" s="38" t="str">
        <x:v>Q018</x:v>
      </x:c>
      <x:c r="C686" s="91" t="str">
        <x:v>I need a Bluetooth adapter that keeps a stable connection without frequent dropouts.</x:v>
      </x:c>
      <x:c r="D686" s="38" t="n">
        <x:v>13</x:v>
      </x:c>
      <x:c r="E686" s="38" t="str">
        <x:v>B000FBOVOK</x:v>
      </x:c>
      <x:c r="F686" s="38" t="str">
        <x:v>review</x:v>
      </x:c>
      <x:c r="G686" s="38" t="str">
        <x:v>ease of use</x:v>
      </x:c>
      <x:c r="H686" s="38" t="str">
        <x:v>Computers</x:v>
      </x:c>
      <x:c r="I686" s="91" t="str">
        <x:v>[Product: Billionton Class 1 PCMCIA Bluetooth Adapter (V2.0 + EDR) | ASIN: B000FBOVOK] I recommend Widcomm's standard installer from their site.</x:v>
      </x:c>
      <x:c r="J686" s="101" t="n">
        <x:v>1</x:v>
      </x:c>
      <x:c r="K686" s="92" t="str">
        <x:v>Human_Reviewer_01</x:v>
      </x:c>
      <x:c r="L686" s="92" t="str">
        <x:v>High</x:v>
      </x:c>
      <x:c r="M686" s="93" t="str">
        <x:v>Installer advice is related to setup, but connection stability is not described.</x:v>
      </x:c>
      <x:c r="N686" s="94"/>
      <x:c r="O686" s="94"/>
      <x:c r="P686" s="94"/>
      <x:c r="Q686" s="95"/>
      <x:c r="R686" s="96"/>
      <x:c r="S686" s="96"/>
      <x:c r="T686" s="97"/>
      <x:c r="U686" s="98" t="str">
        <x:f>IF(OR(J686="",N686=""),"",IF(J686=N686,"No","Yes"))</x:f>
      </x:c>
      <x:c r="V686" s="98" t="n">
        <x:v>1</x:v>
      </x:c>
    </x:row>
    <x:row r="687" ht="54" hidden="0" customHeight="1">
      <x:c r="A687" s="38" t="str">
        <x:v>Q018::B00AW0CSHQ_review_2769437</x:v>
      </x:c>
      <x:c r="B687" s="38" t="str">
        <x:v>Q018</x:v>
      </x:c>
      <x:c r="C687" s="91" t="str">
        <x:v>I need a Bluetooth adapter that keeps a stable connection without frequent dropouts.</x:v>
      </x:c>
      <x:c r="D687" s="38" t="n">
        <x:v>14</x:v>
      </x:c>
      <x:c r="E687" s="38" t="str">
        <x:v>B00AW0CSHQ</x:v>
      </x:c>
      <x:c r="F687" s="38" t="str">
        <x:v>review</x:v>
      </x:c>
      <x:c r="G687" s="38" t="str">
        <x:v>connectivity</x:v>
      </x:c>
      <x:c r="H687" s="38" t="str">
        <x:v>Cell Phones &amp; Accessories</x:v>
      </x:c>
      <x:c r="I687" s="91" t="str">
        <x:v>[Product: iLive Wireless Bluetooth Adapter | ASIN: B00AW0CSHQ] It is a shame because I really enjoyed the convenience of a Bluetooth receiver, but it is no good if it is going to break so quickly.</x:v>
      </x:c>
      <x:c r="J687" s="101" t="n">
        <x:v>2</x:v>
      </x:c>
      <x:c r="K687" s="92" t="str">
        <x:v>Human_Reviewer_01</x:v>
      </x:c>
      <x:c r="L687" s="92" t="str">
        <x:v>Medium</x:v>
      </x:c>
      <x:c r="M687" s="93" t="str">
        <x:v>Bluetooth adapter breaks quickly and ceases useful operation; dropout frequency itself is unspecified.</x:v>
      </x:c>
      <x:c r="N687" s="94"/>
      <x:c r="O687" s="94"/>
      <x:c r="P687" s="94"/>
      <x:c r="Q687" s="95"/>
      <x:c r="R687" s="96"/>
      <x:c r="S687" s="96"/>
      <x:c r="T687" s="97"/>
      <x:c r="U687" s="98" t="str">
        <x:f>IF(OR(J687="",N687=""),"",IF(J687=N687,"No","Yes"))</x:f>
      </x:c>
      <x:c r="V687" s="98" t="n">
        <x:v>2</x:v>
      </x:c>
    </x:row>
    <x:row r="688" ht="54" hidden="0" customHeight="1">
      <x:c r="A688" s="38" t="str">
        <x:v>Q018::B00EB90RFY_review_2900865</x:v>
      </x:c>
      <x:c r="B688" s="38" t="str">
        <x:v>Q018</x:v>
      </x:c>
      <x:c r="C688" s="91" t="str">
        <x:v>I need a Bluetooth adapter that keeps a stable connection without frequent dropouts.</x:v>
      </x:c>
      <x:c r="D688" s="38" t="n">
        <x:v>15</x:v>
      </x:c>
      <x:c r="E688" s="38" t="str">
        <x:v>B00EB90RFY</x:v>
      </x:c>
      <x:c r="F688" s="38" t="str">
        <x:v>review</x:v>
      </x:c>
      <x:c r="G688" s="38" t="str">
        <x:v>connectivity</x:v>
      </x:c>
      <x:c r="H688" s="38" t="str">
        <x:v>Computers</x:v>
      </x:c>
      <x:c r="I688" s="91" t="str">
        <x:v>[Product: ZyXEL 200 Mbps Mini Powerline AV Ethernet Adapter (PLA4101) | ASIN: B00EB90RFY] /&gt;Speeds are fine, but connection consistency is VERY unreliable. I was getting very frequent &amp;#34;soft&amp;#34; connection drops where I would lose network access for a short amount of time. The result is a get LESS soft drops overall, (they still happen about once a day on average) but now I get fairly frequent hard drops, where I completely lose connection to my network with an actual error message. The only way to regain a connection is to physically unplug the unit and plug it back in.</x:v>
      </x:c>
      <x:c r="J688" s="101" t="n">
        <x:v>0</x:v>
      </x:c>
      <x:c r="K688" s="92" t="str">
        <x:v>Human_Reviewer_01</x:v>
      </x:c>
      <x:c r="L688" s="92" t="str">
        <x:v>High</x:v>
      </x:c>
      <x:c r="M688" s="93" t="str">
        <x:v>This is a powerline Ethernet adapter, not a Bluetooth adapter.</x:v>
      </x:c>
      <x:c r="N688" s="94"/>
      <x:c r="O688" s="94"/>
      <x:c r="P688" s="94"/>
      <x:c r="Q688" s="95"/>
      <x:c r="R688" s="96"/>
      <x:c r="S688" s="96"/>
      <x:c r="T688" s="97"/>
      <x:c r="U688" s="98" t="str">
        <x:f>IF(OR(J688="",N688=""),"",IF(J688=N688,"No","Yes"))</x:f>
      </x:c>
      <x:c r="V688" s="98" t="n">
        <x:v>0</x:v>
      </x:c>
    </x:row>
    <x:row r="689" ht="54" hidden="0" customHeight="1">
      <x:c r="A689" s="38" t="str">
        <x:v>Q018::B0797CHKDJ_review_918745</x:v>
      </x:c>
      <x:c r="B689" s="38" t="str">
        <x:v>Q018</x:v>
      </x:c>
      <x:c r="C689" s="91" t="str">
        <x:v>I need a Bluetooth adapter that keeps a stable connection without frequent dropouts.</x:v>
      </x:c>
      <x:c r="D689" s="38" t="n">
        <x:v>16</x:v>
      </x:c>
      <x:c r="E689" s="38" t="str">
        <x:v>B0797CHKDJ</x:v>
      </x:c>
      <x:c r="F689" s="38" t="str">
        <x:v>review</x:v>
      </x:c>
      <x:c r="G689" s="38" t="str">
        <x:v>connectivity</x:v>
      </x:c>
      <x:c r="H689" s="38" t="str">
        <x:v>Cell Phones &amp; Accessories</x:v>
      </x:c>
      <x:c r="I689" s="91" t="str">
        <x:v>[Product: Jabra 100-98600000-02 Elite Sport - 3.5 Hour Old Version Black | ASIN: B0797CHKDJ] Of the fully wireless earbuds I have tried (Bragi Dash and Headphone) these have by far the best bluetooth connection. Even outside in the open the connection is solid and I have not had any dropouts. I would like to see a pair of earbuds without all the sensors and sports integration that concentrates on the sound quality, battery life, and bluetooth connectivity.</x:v>
      </x:c>
      <x:c r="J689" s="101" t="n">
        <x:v>0</x:v>
      </x:c>
      <x:c r="K689" s="92" t="str">
        <x:v>Human_Reviewer_01</x:v>
      </x:c>
      <x:c r="L689" s="92" t="str">
        <x:v>High</x:v>
      </x:c>
      <x:c r="M689" s="93" t="str">
        <x:v>These are wireless earbuds, not a Bluetooth adapter.</x:v>
      </x:c>
      <x:c r="N689" s="94"/>
      <x:c r="O689" s="94"/>
      <x:c r="P689" s="94"/>
      <x:c r="Q689" s="95"/>
      <x:c r="R689" s="96"/>
      <x:c r="S689" s="96"/>
      <x:c r="T689" s="97"/>
      <x:c r="U689" s="98" t="str">
        <x:f>IF(OR(J689="",N689=""),"",IF(J689=N689,"No","Yes"))</x:f>
      </x:c>
      <x:c r="V689" s="98" t="n">
        <x:v>0</x:v>
      </x:c>
    </x:row>
    <x:row r="690" ht="54" hidden="0" customHeight="1">
      <x:c r="A690" s="38" t="str">
        <x:v>Q018::B00M4ZTI3Y_review_581686</x:v>
      </x:c>
      <x:c r="B690" s="38" t="str">
        <x:v>Q018</x:v>
      </x:c>
      <x:c r="C690" s="91" t="str">
        <x:v>I need a Bluetooth adapter that keeps a stable connection without frequent dropouts.</x:v>
      </x:c>
      <x:c r="D690" s="38" t="n">
        <x:v>17</x:v>
      </x:c>
      <x:c r="E690" s="38" t="str">
        <x:v>B00M4ZTI3Y</x:v>
      </x:c>
      <x:c r="F690" s="38" t="str">
        <x:v>review</x:v>
      </x:c>
      <x:c r="G690" s="38" t="str">
        <x:v>connectivity</x:v>
      </x:c>
      <x:c r="H690" s="38" t="str">
        <x:v>Cell Phones &amp; Accessories</x:v>
      </x:c>
      <x:c r="I690" s="91" t="str">
        <x:v>[Product: Samsung Level Box Bluetooth Wireless Speaker (Black) | ASIN: B00M4ZTI3Y] The Bluetooth connection is very stable with my iPod Touch 6th gen as well.</x:v>
      </x:c>
      <x:c r="J690" s="101" t="n">
        <x:v>0</x:v>
      </x:c>
      <x:c r="K690" s="92" t="str">
        <x:v>Human_Reviewer_01</x:v>
      </x:c>
      <x:c r="L690" s="92" t="str">
        <x:v>High</x:v>
      </x:c>
      <x:c r="M690" s="93" t="str">
        <x:v>This is a Bluetooth speaker, not an adapter.</x:v>
      </x:c>
      <x:c r="N690" s="94"/>
      <x:c r="O690" s="94"/>
      <x:c r="P690" s="94"/>
      <x:c r="Q690" s="95"/>
      <x:c r="R690" s="96"/>
      <x:c r="S690" s="96"/>
      <x:c r="T690" s="97"/>
      <x:c r="U690" s="98" t="str">
        <x:f>IF(OR(J690="",N690=""),"",IF(J690=N690,"No","Yes"))</x:f>
      </x:c>
      <x:c r="V690" s="98" t="n">
        <x:v>0</x:v>
      </x:c>
    </x:row>
    <x:row r="691" ht="54" hidden="0" customHeight="1">
      <x:c r="A691" s="38" t="str">
        <x:v>Q018::B00IQBSW28_review_2829134</x:v>
      </x:c>
      <x:c r="B691" s="38" t="str">
        <x:v>Q018</x:v>
      </x:c>
      <x:c r="C691" s="91" t="str">
        <x:v>I need a Bluetooth adapter that keeps a stable connection without frequent dropouts.</x:v>
      </x:c>
      <x:c r="D691" s="38" t="n">
        <x:v>18</x:v>
      </x:c>
      <x:c r="E691" s="38" t="str">
        <x:v>B00IQBSW28</x:v>
      </x:c>
      <x:c r="F691" s="38" t="str">
        <x:v>review</x:v>
      </x:c>
      <x:c r="G691" s="38" t="str">
        <x:v>connectivity</x:v>
      </x:c>
      <x:c r="H691" s="38" t="str">
        <x:v>Computers</x:v>
      </x:c>
      <x:c r="I691" s="91" t="str">
        <x:v>[Product: Logitech Bluetooth Audio Adapter for Bluetooth Streaming | ASIN: B00IQBSW28] Worked ok for about a month, then started dropping connections constantly. Would connect for a few minutes then being to constantly reconnect.</x:v>
      </x:c>
      <x:c r="J691" s="101" t="n">
        <x:v>2</x:v>
      </x:c>
      <x:c r="K691" s="92" t="str">
        <x:v>Human_Reviewer_01</x:v>
      </x:c>
      <x:c r="L691" s="92" t="str">
        <x:v>High</x:v>
      </x:c>
      <x:c r="M691" s="93" t="str">
        <x:v>Bluetooth adapter repeatedly disconnects and reconnects after a month of use.</x:v>
      </x:c>
      <x:c r="N691" s="94"/>
      <x:c r="O691" s="94"/>
      <x:c r="P691" s="94"/>
      <x:c r="Q691" s="95"/>
      <x:c r="R691" s="96"/>
      <x:c r="S691" s="96"/>
      <x:c r="T691" s="97"/>
      <x:c r="U691" s="98" t="str">
        <x:f>IF(OR(J691="",N691=""),"",IF(J691=N691,"No","Yes"))</x:f>
      </x:c>
      <x:c r="V691" s="98" t="n">
        <x:v>2</x:v>
      </x:c>
    </x:row>
    <x:row r="692" ht="54" hidden="0" customHeight="1">
      <x:c r="A692" s="38" t="str">
        <x:v>Q018::B002BZXAFE_review_3708691</x:v>
      </x:c>
      <x:c r="B692" s="38" t="str">
        <x:v>Q018</x:v>
      </x:c>
      <x:c r="C692" s="91" t="str">
        <x:v>I need a Bluetooth adapter that keeps a stable connection without frequent dropouts.</x:v>
      </x:c>
      <x:c r="D692" s="38" t="n">
        <x:v>19</x:v>
      </x:c>
      <x:c r="E692" s="38" t="str">
        <x:v>B002BZXAFE</x:v>
      </x:c>
      <x:c r="F692" s="38" t="str">
        <x:v>review</x:v>
      </x:c>
      <x:c r="G692" s="38" t="str">
        <x:v>general</x:v>
      </x:c>
      <x:c r="H692" s="38" t="str">
        <x:v>Camera &amp; Photo</x:v>
      </x:c>
      <x:c r="I692" s="91" t="str">
        <x:v>[Product: Panasonic DVM60EJ20P MiniDV Tapes for all MiniDV Cam - 20 Pack | ASIN: B002BZXAFE] I ruined a couple of recordings because of the frequent dropouts. Note that bad dropouts such as these interrupt transfers to computers. You need to manually move beyond the dropout to resume the transfer, which increases the gap. /&gt;I tested many of the tapes after this nightmare and they were all bad. Had to throw them out.&lt;br /&gt;&lt;br /&gt;This item deserves no stars at all.</x:v>
      </x:c>
      <x:c r="J692" s="101" t="n">
        <x:v>0</x:v>
      </x:c>
      <x:c r="K692" s="92" t="str">
        <x:v>Human_Reviewer_01</x:v>
      </x:c>
      <x:c r="L692" s="92" t="str">
        <x:v>High</x:v>
      </x:c>
      <x:c r="M692" s="93" t="str">
        <x:v>These are video tapes, not a Bluetooth adapter.</x:v>
      </x:c>
      <x:c r="N692" s="94"/>
      <x:c r="O692" s="94"/>
      <x:c r="P692" s="94"/>
      <x:c r="Q692" s="95"/>
      <x:c r="R692" s="96"/>
      <x:c r="S692" s="96"/>
      <x:c r="T692" s="97"/>
      <x:c r="U692" s="98" t="str">
        <x:f>IF(OR(J692="",N692=""),"",IF(J692=N692,"No","Yes"))</x:f>
      </x:c>
      <x:c r="V692" s="98" t="n">
        <x:v>0</x:v>
      </x:c>
    </x:row>
    <x:row r="693" ht="54" hidden="0" customHeight="1">
      <x:c r="A693" s="38" t="str">
        <x:v>Q018::B00FXPL272_review_3682419</x:v>
      </x:c>
      <x:c r="B693" s="38" t="str">
        <x:v>Q018</x:v>
      </x:c>
      <x:c r="C693" s="91" t="str">
        <x:v>I need a Bluetooth adapter that keeps a stable connection without frequent dropouts.</x:v>
      </x:c>
      <x:c r="D693" s="38" t="n">
        <x:v>20</x:v>
      </x:c>
      <x:c r="E693" s="38" t="str">
        <x:v>B00FXPL272</x:v>
      </x:c>
      <x:c r="F693" s="38" t="str">
        <x:v>review</x:v>
      </x:c>
      <x:c r="G693" s="38" t="str">
        <x:v>general</x:v>
      </x:c>
      <x:c r="H693" s="38" t="str">
        <x:v>Computers</x:v>
      </x:c>
      <x:c r="I693" s="91" t="str">
        <x:v>[Product: Amped BTSA1 Wireless Long Range Bluetooth Speaker Adapter | ASIN: B00FXPL272] I got this the day it came out. I can play music on my iPad from anywhere in the house without any dropouts. Nice!</x:v>
      </x:c>
      <x:c r="J693" s="101" t="n">
        <x:v>2</x:v>
      </x:c>
      <x:c r="K693" s="92" t="str">
        <x:v>Human_Reviewer_01</x:v>
      </x:c>
      <x:c r="L693" s="92" t="str">
        <x:v>High</x:v>
      </x:c>
      <x:c r="M693" s="93" t="str">
        <x:v>Bluetooth adapter streams throughout the house without dropouts.</x:v>
      </x:c>
      <x:c r="N693" s="94"/>
      <x:c r="O693" s="94"/>
      <x:c r="P693" s="94"/>
      <x:c r="Q693" s="95"/>
      <x:c r="R693" s="96"/>
      <x:c r="S693" s="96"/>
      <x:c r="T693" s="97"/>
      <x:c r="U693" s="98" t="str">
        <x:f>IF(OR(J693="",N693=""),"",IF(J693=N693,"No","Yes"))</x:f>
      </x:c>
      <x:c r="V693" s="98" t="n">
        <x:v>2</x:v>
      </x:c>
    </x:row>
    <x:row r="694" ht="54" hidden="0" customHeight="1">
      <x:c r="A694" s="38" t="str">
        <x:v>Q018::B000YMSYDY_review_1212087</x:v>
      </x:c>
      <x:c r="B694" s="38" t="str">
        <x:v>Q018</x:v>
      </x:c>
      <x:c r="C694" s="91" t="str">
        <x:v>I need a Bluetooth adapter that keeps a stable connection without frequent dropouts.</x:v>
      </x:c>
      <x:c r="D694" s="38" t="n">
        <x:v>21</x:v>
      </x:c>
      <x:c r="E694" s="38" t="str">
        <x:v>B000YMSYDY</x:v>
      </x:c>
      <x:c r="F694" s="38" t="str">
        <x:v>review</x:v>
      </x:c>
      <x:c r="G694" s="38" t="str">
        <x:v>connectivity</x:v>
      </x:c>
      <x:c r="H694" s="38" t="str">
        <x:v>Computers</x:v>
      </x:c>
      <x:c r="I694" s="91" t="str">
        <x:v>[Product: Motorola D200 Bluetooth Stereo USB PC Adaptor SJ0399A | ASIN: B000YMSYDY] I used this to solve two issues I was facing with my laptop's built-in bluetooth adapter:&lt;br /&gt;* D200 range is much better than my laptop's built-in bluetooth -- able to use ~25 feet away through 2 walls. My lenovo laptop's bluetooth adapter did not work more than 5 feet away.&lt;br /&gt;* D200 does not &amp;#34;buffer&amp;#34; audio -- if your connection drops out temporarily while watching a movie, when your headset reconnects it will sync back up with the video stream immediately. My lenovo laptop's built-in bluetooth had a pretty bad problem with this -- if the audio dropped out even for a half second, the audio stream would get out of sync with the video and I would have to perform a disconnect/reconnect cycle. Bluetooth 4.0 A2DP Headset. Sounds just as good as a hardline audio connection. Automatically detects &amp; connects to my bluetooth headset without any configuration or button presses required.&lt;br /&gt;&lt;br /&gt;Unfortunately this adapter does seem to result in &amp;#34;crackling&amp;#34; audio when the signal occasionally drops out from wifi interference. The cure is to use a USB extension cable to move the D200 away from the computer.</x:v>
      </x:c>
      <x:c r="J694" s="101" t="n">
        <x:v>2</x:v>
      </x:c>
      <x:c r="K694" s="92" t="str">
        <x:v>Human_Reviewer_01</x:v>
      </x:c>
      <x:c r="L694" s="92" t="str">
        <x:v>High</x:v>
      </x:c>
      <x:c r="M694" s="93" t="str">
        <x:v>Bluetooth adapter has range and reconnection evidence, with occasional interference-related signal drops.</x:v>
      </x:c>
      <x:c r="N694" s="94"/>
      <x:c r="O694" s="94"/>
      <x:c r="P694" s="94"/>
      <x:c r="Q694" s="95"/>
      <x:c r="R694" s="96"/>
      <x:c r="S694" s="96"/>
      <x:c r="T694" s="97"/>
      <x:c r="U694" s="98" t="str">
        <x:f>IF(OR(J694="",N694=""),"",IF(J694=N694,"No","Yes"))</x:f>
      </x:c>
      <x:c r="V694" s="98" t="n">
        <x:v>2</x:v>
      </x:c>
    </x:row>
    <x:row r="695" ht="54" hidden="0" customHeight="1">
      <x:c r="A695" s="38" t="str">
        <x:v>Q018::B0BVJ4DHFQ_review_3684519</x:v>
      </x:c>
      <x:c r="B695" s="38" t="str">
        <x:v>Q018</x:v>
      </x:c>
      <x:c r="C695" s="91" t="str">
        <x:v>I need a Bluetooth adapter that keeps a stable connection without frequent dropouts.</x:v>
      </x:c>
      <x:c r="D695" s="38" t="n">
        <x:v>22</x:v>
      </x:c>
      <x:c r="E695" s="38" t="str">
        <x:v>B0BVJ4DHFQ</x:v>
      </x:c>
      <x:c r="F695" s="38" t="str">
        <x:v>review</x:v>
      </x:c>
      <x:c r="G695" s="38" t="str">
        <x:v>connectivity</x:v>
      </x:c>
      <x:c r="H695" s="38" t="str">
        <x:v>Computers</x:v>
      </x:c>
      <x:c r="I695" s="91" t="str">
        <x:v>[Product: TP-Link USB Bluetooth Adapter for PC(UB400), 4.0 Bluetooth Dongle Receiver Support Windows 11/10/8.1/8/7/XP for Desktop, Laptop, Mouse, Keyboard, Printers, Headsets, Speakers, PS4/ Xbox Controllers | ASIN: B0BVJ4DHFQ] My laptop setup is relatively bluetooth dependent because I use a standing desk and dock - my keyboard, headphones, and sometimes mouse are all bluetooth. The onboard bluetooth of my Macbook Pro is very weak, but I also have to travel with it often, and I break bluetooth adapters pretty frequently. We have had frequent connectivity issues, including the strange problem of the adapter requiring unobstructed line of sight for any sort of connection. Trying to listen via connected headphones was a real frustration with frequent dropouts, and occasionally, if I using both the controller and headphones via this adapter it was because constant dropped frames and severe input lag.</x:v>
      </x:c>
      <x:c r="J695" s="101" t="n">
        <x:v>2</x:v>
      </x:c>
      <x:c r="K695" s="92" t="str">
        <x:v>Human_Reviewer_01</x:v>
      </x:c>
      <x:c r="L695" s="92" t="str">
        <x:v>High</x:v>
      </x:c>
      <x:c r="M695" s="93" t="str">
        <x:v>Bluetooth adapter has frequent dropouts, line-of-sight dependence, and severe input lag.</x:v>
      </x:c>
      <x:c r="N695" s="94"/>
      <x:c r="O695" s="94"/>
      <x:c r="P695" s="94"/>
      <x:c r="Q695" s="95"/>
      <x:c r="R695" s="96"/>
      <x:c r="S695" s="96"/>
      <x:c r="T695" s="97"/>
      <x:c r="U695" s="98" t="str">
        <x:f>IF(OR(J695="",N695=""),"",IF(J695=N695,"No","Yes"))</x:f>
      </x:c>
      <x:c r="V695" s="98" t="n">
        <x:v>2</x:v>
      </x:c>
    </x:row>
    <x:row r="696" ht="54" hidden="0" customHeight="1">
      <x:c r="A696" s="38" t="str">
        <x:v>Q018::B003OX2OMM_review_4017355</x:v>
      </x:c>
      <x:c r="B696" s="38" t="str">
        <x:v>Q018</x:v>
      </x:c>
      <x:c r="C696" s="91" t="str">
        <x:v>I need a Bluetooth adapter that keeps a stable connection without frequent dropouts.</x:v>
      </x:c>
      <x:c r="D696" s="38" t="n">
        <x:v>23</x:v>
      </x:c>
      <x:c r="E696" s="38" t="str">
        <x:v>B003OX2OMM</x:v>
      </x:c>
      <x:c r="F696" s="38" t="str">
        <x:v>review</x:v>
      </x:c>
      <x:c r="G696" s="38" t="str">
        <x:v>connectivity</x:v>
      </x:c>
      <x:c r="H696" s="38" t="str">
        <x:v>Computers</x:v>
      </x:c>
      <x:c r="I696" s="91" t="str">
        <x:v>[Product: Acer Aspire AS8943G-6190 18.4-Inch Laptop (Aluminum) | ASIN: B003OX2OMM] I have had no problems at all maintaining a wireless connection for several hours without any dropouts. I have also added a second hard drive for video storage and can stream video through the 1394 Firewire port from the Panasonic HPX170 P2 camera in full HD without missing a frame.</x:v>
      </x:c>
      <x:c r="J696" s="101" t="n">
        <x:v>0</x:v>
      </x:c>
      <x:c r="K696" s="92" t="str">
        <x:v>Human_Reviewer_01</x:v>
      </x:c>
      <x:c r="L696" s="92" t="str">
        <x:v>High</x:v>
      </x:c>
      <x:c r="M696" s="93" t="str">
        <x:v>This is a laptop, not a standalone Bluetooth adapter.</x:v>
      </x:c>
      <x:c r="N696" s="94"/>
      <x:c r="O696" s="94"/>
      <x:c r="P696" s="94"/>
      <x:c r="Q696" s="95"/>
      <x:c r="R696" s="96"/>
      <x:c r="S696" s="96"/>
      <x:c r="T696" s="97"/>
      <x:c r="U696" s="98" t="str">
        <x:f>IF(OR(J696="",N696=""),"",IF(J696=N696,"No","Yes"))</x:f>
      </x:c>
      <x:c r="V696" s="98" t="n">
        <x:v>0</x:v>
      </x:c>
    </x:row>
    <x:row r="697" ht="54" hidden="0" customHeight="1">
      <x:c r="A697" s="38" t="str">
        <x:v>Q018::B00M9GFIJG_review_3483961</x:v>
      </x:c>
      <x:c r="B697" s="38" t="str">
        <x:v>Q018</x:v>
      </x:c>
      <x:c r="C697" s="91" t="str">
        <x:v>I need a Bluetooth adapter that keeps a stable connection without frequent dropouts.</x:v>
      </x:c>
      <x:c r="D697" s="38" t="n">
        <x:v>24</x:v>
      </x:c>
      <x:c r="E697" s="38" t="str">
        <x:v>B00M9GFIJG</x:v>
      </x:c>
      <x:c r="F697" s="38" t="str">
        <x:v>review</x:v>
      </x:c>
      <x:c r="G697" s="38" t="str">
        <x:v>general</x:v>
      </x:c>
      <x:c r="H697" s="38" t="str">
        <x:v>Computers</x:v>
      </x:c>
      <x:c r="I697" s="91" t="str">
        <x:v>[Product: Insignia - Bluetooth 4.0 USB Adapter NS-PCY5BMA | ASIN: B00M9GFIJG] Works well!</x:v>
      </x:c>
      <x:c r="J697" s="101" t="n">
        <x:v>1</x:v>
      </x:c>
      <x:c r="K697" s="92" t="str">
        <x:v>Human_Reviewer_01</x:v>
      </x:c>
      <x:c r="L697" s="92" t="str">
        <x:v>High</x:v>
      </x:c>
      <x:c r="M697" s="93" t="str">
        <x:v>Bluetooth adapter praise is generic, without stability evidence.</x:v>
      </x:c>
      <x:c r="N697" s="94"/>
      <x:c r="O697" s="94"/>
      <x:c r="P697" s="94"/>
      <x:c r="Q697" s="95"/>
      <x:c r="R697" s="96"/>
      <x:c r="S697" s="96"/>
      <x:c r="T697" s="97"/>
      <x:c r="U697" s="98" t="str">
        <x:f>IF(OR(J697="",N697=""),"",IF(J697=N697,"No","Yes"))</x:f>
      </x:c>
      <x:c r="V697" s="98" t="n">
        <x:v>1</x:v>
      </x:c>
    </x:row>
    <x:row r="698" ht="54" hidden="0" customHeight="1">
      <x:c r="A698" s="38" t="str">
        <x:v>Q018::B00AW0CSHQ_review_2769452</x:v>
      </x:c>
      <x:c r="B698" s="38" t="str">
        <x:v>Q018</x:v>
      </x:c>
      <x:c r="C698" s="91" t="str">
        <x:v>I need a Bluetooth adapter that keeps a stable connection without frequent dropouts.</x:v>
      </x:c>
      <x:c r="D698" s="38" t="n">
        <x:v>25</x:v>
      </x:c>
      <x:c r="E698" s="38" t="str">
        <x:v>B00AW0CSHQ</x:v>
      </x:c>
      <x:c r="F698" s="38" t="str">
        <x:v>review</x:v>
      </x:c>
      <x:c r="G698" s="38" t="str">
        <x:v>general</x:v>
      </x:c>
      <x:c r="H698" s="38" t="str">
        <x:v>Cell Phones &amp; Accessories</x:v>
      </x:c>
      <x:c r="I698" s="91" t="str">
        <x:v>[Product: iLive Wireless Bluetooth Adapter | ASIN: B00AW0CSHQ] Would work good with any blue tooth source.</x:v>
      </x:c>
      <x:c r="J698" s="101" t="n">
        <x:v>1</x:v>
      </x:c>
      <x:c r="K698" s="92" t="str">
        <x:v>Human_Reviewer_01</x:v>
      </x:c>
      <x:c r="L698" s="92" t="str">
        <x:v>High</x:v>
      </x:c>
      <x:c r="M698" s="93" t="str">
        <x:v>Bluetooth source compatibility is predicted generally, without stability evidence.</x:v>
      </x:c>
      <x:c r="N698" s="94"/>
      <x:c r="O698" s="94"/>
      <x:c r="P698" s="94"/>
      <x:c r="Q698" s="95"/>
      <x:c r="R698" s="96"/>
      <x:c r="S698" s="96"/>
      <x:c r="T698" s="97"/>
      <x:c r="U698" s="98" t="str">
        <x:f>IF(OR(J698="",N698=""),"",IF(J698=N698,"No","Yes"))</x:f>
      </x:c>
      <x:c r="V698" s="98" t="n">
        <x:v>1</x:v>
      </x:c>
    </x:row>
    <x:row r="699" ht="54" hidden="0" customHeight="1">
      <x:c r="A699" s="38" t="str">
        <x:v>Q018::B08FB388V1_review_3517307</x:v>
      </x:c>
      <x:c r="B699" s="38" t="str">
        <x:v>Q018</x:v>
      </x:c>
      <x:c r="C699" s="91" t="str">
        <x:v>I need a Bluetooth adapter that keeps a stable connection without frequent dropouts.</x:v>
      </x:c>
      <x:c r="D699" s="38" t="n">
        <x:v>26</x:v>
      </x:c>
      <x:c r="E699" s="38" t="str">
        <x:v>B08FB388V1</x:v>
      </x:c>
      <x:c r="F699" s="38" t="str">
        <x:v>review</x:v>
      </x:c>
      <x:c r="G699" s="38" t="str">
        <x:v>connectivity</x:v>
      </x:c>
      <x:c r="H699" s="38" t="str">
        <x:v>Computers</x:v>
      </x:c>
      <x:c r="I699" s="91" t="str">
        <x:v>[Product: JUQITECH Backlit Keyboard Case for iPad 10.2 8th 7th Generation Smart Case with Touchpad Keyboard for iPad 10.2" 8th 2020 7th 2019 Wireless Tablet Detachable Keyboard Cover Pencil Holder, Black | ASIN: B08FB388V1] I got the replacement keyboard WITHOUT touchpad.&lt;br /&gt;&lt;br /&gt;Material quality is good.&lt;br /&gt;&lt;br /&gt;Easy ad stable Bluetooth connection with IPAD 7th gen.&lt;br /&gt;&lt;br It would be better if apple lightening to USB adapter included.&lt;br /&gt;&lt;br</x:v>
      </x:c>
      <x:c r="J699" s="101" t="n">
        <x:v>0</x:v>
      </x:c>
      <x:c r="K699" s="92" t="str">
        <x:v>Human_Reviewer_01</x:v>
      </x:c>
      <x:c r="L699" s="92" t="str">
        <x:v>High</x:v>
      </x:c>
      <x:c r="M699" s="93" t="str">
        <x:v>This is a tablet keyboard case, not a Bluetooth adapter.</x:v>
      </x:c>
      <x:c r="N699" s="94"/>
      <x:c r="O699" s="94"/>
      <x:c r="P699" s="94"/>
      <x:c r="Q699" s="95"/>
      <x:c r="R699" s="96"/>
      <x:c r="S699" s="96"/>
      <x:c r="T699" s="97"/>
      <x:c r="U699" s="98" t="str">
        <x:f>IF(OR(J699="",N699=""),"",IF(J699=N699,"No","Yes"))</x:f>
      </x:c>
      <x:c r="V699" s="98" t="n">
        <x:v>0</x:v>
      </x:c>
    </x:row>
    <x:row r="700" ht="54" hidden="0" customHeight="1">
      <x:c r="A700" s="38" t="str">
        <x:v>Q018::B0BK7Y51NB_review_85412</x:v>
      </x:c>
      <x:c r="B700" s="38" t="str">
        <x:v>Q018</x:v>
      </x:c>
      <x:c r="C700" s="91" t="str">
        <x:v>I need a Bluetooth adapter that keeps a stable connection without frequent dropouts.</x:v>
      </x:c>
      <x:c r="D700" s="38" t="n">
        <x:v>27</x:v>
      </x:c>
      <x:c r="E700" s="38" t="str">
        <x:v>B0BK7Y51NB</x:v>
      </x:c>
      <x:c r="F700" s="38" t="str">
        <x:v>review</x:v>
      </x:c>
      <x:c r="G700" s="38" t="str">
        <x:v>connectivity</x:v>
      </x:c>
      <x:c r="H700" s="38" t="str">
        <x:v>Computers</x:v>
      </x:c>
      <x:c r="I700" s="91" t="str">
        <x:v>[Product: ASUS ZenWiFi Pro AXE11000 Tri-Band WiFi 6E Mesh System (ET12 2PK) &amp; ZenWiFi Pro AXE11000 Tri-Band WiFi 6E Mesh System (ET12 1PK) | ASIN: B0BK7Y51NB] They simply report "incorrect password" and fail to connect at all.&lt;br /&gt;&lt;br /&gt;I tried troubleshooting for 6 hours and messed with every single wifi setting the router has (there are many) but to no avail. I am stuck in support loops with Asus where they are asking me over and over to send them logs and information that I have already sent.&lt;br /&gt;&lt;br /&gt;Additionally, even the 5ghz band suffers frequent (multiple times an hour) connection dropouts.</x:v>
      </x:c>
      <x:c r="J700" s="101" t="n">
        <x:v>0</x:v>
      </x:c>
      <x:c r="K700" s="92" t="str">
        <x:v>Human_Reviewer_01</x:v>
      </x:c>
      <x:c r="L700" s="92" t="str">
        <x:v>High</x:v>
      </x:c>
      <x:c r="M700" s="93" t="str">
        <x:v>This is a Wi-Fi mesh router system, not a Bluetooth adapter.</x:v>
      </x:c>
      <x:c r="N700" s="94"/>
      <x:c r="O700" s="94"/>
      <x:c r="P700" s="94"/>
      <x:c r="Q700" s="95"/>
      <x:c r="R700" s="96"/>
      <x:c r="S700" s="96"/>
      <x:c r="T700" s="97"/>
      <x:c r="U700" s="98" t="str">
        <x:f>IF(OR(J700="",N700=""),"",IF(J700=N700,"No","Yes"))</x:f>
      </x:c>
      <x:c r="V700" s="98" t="n">
        <x:v>0</x:v>
      </x:c>
    </x:row>
    <x:row r="701" ht="54" hidden="0" customHeight="1">
      <x:c r="A701" s="38" t="str">
        <x:v>Q018::B00N7MFZA8_review_571154</x:v>
      </x:c>
      <x:c r="B701" s="38" t="str">
        <x:v>Q018</x:v>
      </x:c>
      <x:c r="C701" s="91" t="str">
        <x:v>I need a Bluetooth adapter that keeps a stable connection without frequent dropouts.</x:v>
      </x:c>
      <x:c r="D701" s="38" t="n">
        <x:v>28</x:v>
      </x:c>
      <x:c r="E701" s="38" t="str">
        <x:v>B00N7MFZA8</x:v>
      </x:c>
      <x:c r="F701" s="38" t="str">
        <x:v>review</x:v>
      </x:c>
      <x:c r="G701" s="38" t="str">
        <x:v>connectivity</x:v>
      </x:c>
      <x:c r="H701" s="38" t="str">
        <x:v>Cell Phones &amp; Accessories</x:v>
      </x:c>
      <x:c r="I701" s="91" t="str">
        <x:v>[Product: Garmin vívosmart - Slate Bundle (Large) (Includes Heart Rate Monitor) | ASIN: B00N7MFZA8] First there was the frequent issues where the Bluetooth refused to sync. The only way to re-establish the connection appears to be randomly restarting the phone, toggling the Bluetooth off and on and frequent trips into the Garmin Connect app settings.</x:v>
      </x:c>
      <x:c r="J701" s="101" t="n">
        <x:v>0</x:v>
      </x:c>
      <x:c r="K701" s="92" t="str">
        <x:v>Human_Reviewer_01</x:v>
      </x:c>
      <x:c r="L701" s="92" t="str">
        <x:v>High</x:v>
      </x:c>
      <x:c r="M701" s="93" t="str">
        <x:v>This is a fitness tracker, not a Bluetooth adapter.</x:v>
      </x:c>
      <x:c r="N701" s="94"/>
      <x:c r="O701" s="94"/>
      <x:c r="P701" s="94"/>
      <x:c r="Q701" s="95"/>
      <x:c r="R701" s="96"/>
      <x:c r="S701" s="96"/>
      <x:c r="T701" s="97"/>
      <x:c r="U701" s="98" t="str">
        <x:f>IF(OR(J701="",N701=""),"",IF(J701=N701,"No","Yes"))</x:f>
      </x:c>
      <x:c r="V701" s="98" t="n">
        <x:v>0</x:v>
      </x:c>
    </x:row>
    <x:row r="702" ht="54" hidden="0" customHeight="1">
      <x:c r="A702" s="38" t="str">
        <x:v>Q018::B001F0R1CY_review_2071719</x:v>
      </x:c>
      <x:c r="B702" s="38" t="str">
        <x:v>Q018</x:v>
      </x:c>
      <x:c r="C702" s="91" t="str">
        <x:v>I need a Bluetooth adapter that keeps a stable connection without frequent dropouts.</x:v>
      </x:c>
      <x:c r="D702" s="38" t="n">
        <x:v>29</x:v>
      </x:c>
      <x:c r="E702" s="38" t="str">
        <x:v>B001F0R1CY</x:v>
      </x:c>
      <x:c r="F702" s="38" t="str">
        <x:v>review</x:v>
      </x:c>
      <x:c r="G702" s="38" t="str">
        <x:v>general</x:v>
      </x:c>
      <x:c r="H702" s="38" t="str">
        <x:v>Computers</x:v>
      </x:c>
      <x:c r="I702" s="91" t="str">
        <x:v>[Product: HP bt500 - Network adapter - USB - Bluetooth 2.0 EDR ( Q6273A#1H9 ) | ASIN: B001F0R1CY] Works like a champ. Reliable. No wires.</x:v>
      </x:c>
      <x:c r="J702" s="101" t="n">
        <x:v>1</x:v>
      </x:c>
      <x:c r="K702" s="92" t="str">
        <x:v>Human_Reviewer_01</x:v>
      </x:c>
      <x:c r="L702" s="92" t="str">
        <x:v>High</x:v>
      </x:c>
      <x:c r="M702" s="93" t="str">
        <x:v>Bluetooth adapter is called reliable generically; no connection or dropout observation is provided.</x:v>
      </x:c>
      <x:c r="N702" s="94"/>
      <x:c r="O702" s="94"/>
      <x:c r="P702" s="94"/>
      <x:c r="Q702" s="95"/>
      <x:c r="R702" s="96"/>
      <x:c r="S702" s="96"/>
      <x:c r="T702" s="97"/>
      <x:c r="U702" s="98" t="str">
        <x:f>IF(OR(J702="",N702=""),"",IF(J702=N702,"No","Yes"))</x:f>
      </x:c>
      <x:c r="V702" s="98" t="n">
        <x:v>1</x:v>
      </x:c>
    </x:row>
    <x:row r="703" ht="54" hidden="0" customHeight="1">
      <x:c r="A703" s="38" t="str">
        <x:v>Q018::B004GJURHM_review_3940523</x:v>
      </x:c>
      <x:c r="B703" s="38" t="str">
        <x:v>Q018</x:v>
      </x:c>
      <x:c r="C703" s="91" t="str">
        <x:v>I need a Bluetooth adapter that keeps a stable connection without frequent dropouts.</x:v>
      </x:c>
      <x:c r="D703" s="38" t="n">
        <x:v>30</x:v>
      </x:c>
      <x:c r="E703" s="38" t="str">
        <x:v>B004GJURHM</x:v>
      </x:c>
      <x:c r="F703" s="38" t="str">
        <x:v>review</x:v>
      </x:c>
      <x:c r="G703" s="38" t="str">
        <x:v>connectivity</x:v>
      </x:c>
      <x:c r="H703" s="38" t="str">
        <x:v>Cell Phones &amp; Accessories</x:v>
      </x:c>
      <x:c r="I703" s="91" t="str">
        <x:v>[Product: New Potato Technologies TuneLink Auto Bluetooth in Car Stereo Wireless Adapter for iPhone, iPod Touch, iPad - (Black) - 1001-01002 | ASIN: B004GJURHM] The device will drop Bluetooth signal about every 10 min. It will also have troubles keeping sync with your Bluetooth device. "There is no Bluetooth timer. The fact that the signal drops about every 10 minutes is either coincidence or there is something else afoot. Does your car have any type of built in Bluetooth or hands free kit? We have had a few reports of issues with other Bluetooth devices "stealing" the Bluetooth connection. Also, when you say that the Bluetooth signal is lost, does the Bluetooth icon on the top of the iPhone go away? In some cases, the Bluetooth may stay connected, but just the audio will drop out. /&gt;I have a 2002 vehicle with no sort of "hands free anything" and this WAS the only Bluetooth device that I owned. My Bluetooth appears to be still functioning on my Iphone (I have no other Bluetooth devices to test it but the icon is still up in the corner when the signal drops).</x:v>
      </x:c>
      <x:c r="J703" s="101" t="n">
        <x:v>2</x:v>
      </x:c>
      <x:c r="K703" s="92" t="str">
        <x:v>Human_Reviewer_01</x:v>
      </x:c>
      <x:c r="L703" s="92" t="str">
        <x:v>Medium</x:v>
      </x:c>
      <x:c r="M703" s="93" t="str">
        <x:v>Bluetooth audio adapter loses signal or audio about every ten minutes; support disputes the cause.</x:v>
      </x:c>
      <x:c r="N703" s="94"/>
      <x:c r="O703" s="94"/>
      <x:c r="P703" s="94"/>
      <x:c r="Q703" s="95"/>
      <x:c r="R703" s="96"/>
      <x:c r="S703" s="96"/>
      <x:c r="T703" s="97"/>
      <x:c r="U703" s="98" t="str">
        <x:f>IF(OR(J703="",N703=""),"",IF(J703=N703,"No","Yes"))</x:f>
      </x:c>
      <x:c r="V703" s="98" t="n">
        <x:v>2</x:v>
      </x:c>
    </x:row>
    <x:row r="704" ht="54" hidden="0" customHeight="1">
      <x:c r="A704" s="38" t="str">
        <x:v>Q018::B0B52WR916_review_2925067</x:v>
      </x:c>
      <x:c r="B704" s="38" t="str">
        <x:v>Q018</x:v>
      </x:c>
      <x:c r="C704" s="91" t="str">
        <x:v>I need a Bluetooth adapter that keeps a stable connection without frequent dropouts.</x:v>
      </x:c>
      <x:c r="D704" s="38" t="n">
        <x:v>31</x:v>
      </x:c>
      <x:c r="E704" s="38" t="str">
        <x:v>B0B52WR916</x:v>
      </x:c>
      <x:c r="F704" s="38" t="str">
        <x:v>review</x:v>
      </x:c>
      <x:c r="G704" s="38" t="str">
        <x:v>connectivity</x:v>
      </x:c>
      <x:c r="H704" s="38" t="str">
        <x:v>Computers</x:v>
      </x:c>
      <x:c r="I704" s="91" t="str">
        <x:v>[Product: Lightning to Ethernet RJ45 LAN Network Adapter with Charging Port for lPhone,lPad 10/100Mbps High Speed,Plug and Play Supports All iOS | ASIN: B0B52WR916] This is a great product for those who prefer a hardwired internet connection over Wi-Fi. The Lightning to Ethernet RJ45 LAN Network Adapter is easy to use and provides a stable and reliable internet connection. Highly recommend for those who need a wired connection on their iPad.</x:v>
      </x:c>
      <x:c r="J704" s="101" t="n">
        <x:v>0</x:v>
      </x:c>
      <x:c r="K704" s="92" t="str">
        <x:v>Human_Reviewer_01</x:v>
      </x:c>
      <x:c r="L704" s="92" t="str">
        <x:v>High</x:v>
      </x:c>
      <x:c r="M704" s="93" t="str">
        <x:v>This is a wired Ethernet adapter, not a Bluetooth adapter.</x:v>
      </x:c>
      <x:c r="N704" s="94"/>
      <x:c r="O704" s="94"/>
      <x:c r="P704" s="94"/>
      <x:c r="Q704" s="95"/>
      <x:c r="R704" s="96"/>
      <x:c r="S704" s="96"/>
      <x:c r="T704" s="97"/>
      <x:c r="U704" s="98" t="str">
        <x:f>IF(OR(J704="",N704=""),"",IF(J704=N704,"No","Yes"))</x:f>
      </x:c>
      <x:c r="V704" s="98" t="n">
        <x:v>0</x:v>
      </x:c>
    </x:row>
    <x:row r="705" ht="54" hidden="0" customHeight="1">
      <x:c r="A705" s="38" t="str">
        <x:v>Q018::B008BC1U4O_review_3248425</x:v>
      </x:c>
      <x:c r="B705" s="38" t="str">
        <x:v>Q018</x:v>
      </x:c>
      <x:c r="C705" s="91" t="str">
        <x:v>I need a Bluetooth adapter that keeps a stable connection without frequent dropouts.</x:v>
      </x:c>
      <x:c r="D705" s="38" t="n">
        <x:v>32</x:v>
      </x:c>
      <x:c r="E705" s="38" t="str">
        <x:v>B008BC1U4O</x:v>
      </x:c>
      <x:c r="F705" s="38" t="str">
        <x:v>review</x:v>
      </x:c>
      <x:c r="G705" s="38" t="str">
        <x:v>price/value</x:v>
      </x:c>
      <x:c r="H705" s="38" t="str">
        <x:v>Computers</x:v>
      </x:c>
      <x:c r="I705" s="91" t="str">
        <x:v>[Product: Satechi USB Bluetooth 4.0 Low Energy Adapter for Windows (32bit/64bit) 10/8.1/8/7/Vista/XP, Linux, Raspberry Pi and more | ASIN: B008BC1U4O] This has both, and for a really good price. /&gt;As for reliability, this adapter comes with its own Widcomm drivers, which is a nice change from the inexpensive ones I have purchased in the past which make you just rely on the built-in Windows drivers (which work well with some devices, but not others). It is also Bluetooth 4.0, which is very difficult to find at an affordable price.&lt;br /&gt;&lt;br /&gt;Update - 3/26/13&lt;br /&gt;&lt;br /&gt;After</x:v>
      </x:c>
      <x:c r="J705" s="101" t="n">
        <x:v>1</x:v>
      </x:c>
      <x:c r="K705" s="92" t="str">
        <x:v>Human_Reviewer_01</x:v>
      </x:c>
      <x:c r="L705" s="92" t="str">
        <x:v>High</x:v>
      </x:c>
      <x:c r="M705" s="93" t="str">
        <x:v>Bluetooth adapter driver availability is discussed as an indirect reliability argument, without stability results.</x:v>
      </x:c>
      <x:c r="N705" s="94"/>
      <x:c r="O705" s="94"/>
      <x:c r="P705" s="94"/>
      <x:c r="Q705" s="95"/>
      <x:c r="R705" s="96"/>
      <x:c r="S705" s="96"/>
      <x:c r="T705" s="97"/>
      <x:c r="U705" s="98" t="str">
        <x:f>IF(OR(J705="",N705=""),"",IF(J705=N705,"No","Yes"))</x:f>
      </x:c>
      <x:c r="V705" s="98" t="n">
        <x:v>1</x:v>
      </x:c>
    </x:row>
    <x:row r="706" ht="54" hidden="0" customHeight="1">
      <x:c r="A706" s="38" t="str">
        <x:v>Q018::B0BVJ4DHFQ_review_3684506</x:v>
      </x:c>
      <x:c r="B706" s="38" t="str">
        <x:v>Q018</x:v>
      </x:c>
      <x:c r="C706" s="91" t="str">
        <x:v>I need a Bluetooth adapter that keeps a stable connection without frequent dropouts.</x:v>
      </x:c>
      <x:c r="D706" s="38" t="n">
        <x:v>33</x:v>
      </x:c>
      <x:c r="E706" s="38" t="str">
        <x:v>B0BVJ4DHFQ</x:v>
      </x:c>
      <x:c r="F706" s="38" t="str">
        <x:v>review</x:v>
      </x:c>
      <x:c r="G706" s="38" t="str">
        <x:v>connectivity</x:v>
      </x:c>
      <x:c r="H706" s="38" t="str">
        <x:v>Computers</x:v>
      </x:c>
      <x:c r="I706" s="91" t="str">
        <x:v>[Product: TP-Link USB Bluetooth Adapter for PC(UB400), 4.0 Bluetooth Dongle Receiver Support Windows 11/10/8.1/8/7/XP for Desktop, Laptop, Mouse, Keyboard, Printers, Headsets, Speakers, PS4/ Xbox Controllers | ASIN: B0BVJ4DHFQ] The connection with my AirPod and mouse is stable when moving around and no latency so far. It is an ideal product for PC without bluetooth connection and a need to connect bluetooth headphones or printers.</x:v>
      </x:c>
      <x:c r="J706" s="101" t="n">
        <x:v>2</x:v>
      </x:c>
      <x:c r="K706" s="92" t="str">
        <x:v>Human_Reviewer_01</x:v>
      </x:c>
      <x:c r="L706" s="92" t="str">
        <x:v>High</x:v>
      </x:c>
      <x:c r="M706" s="93" t="str">
        <x:v>Bluetooth adapter maintains stable AirPods and mouse connections while the user moves.</x:v>
      </x:c>
      <x:c r="N706" s="94"/>
      <x:c r="O706" s="94"/>
      <x:c r="P706" s="94"/>
      <x:c r="Q706" s="95"/>
      <x:c r="R706" s="96"/>
      <x:c r="S706" s="96"/>
      <x:c r="T706" s="97"/>
      <x:c r="U706" s="98" t="str">
        <x:f>IF(OR(J706="",N706=""),"",IF(J706=N706,"No","Yes"))</x:f>
      </x:c>
      <x:c r="V706" s="98" t="n">
        <x:v>2</x:v>
      </x:c>
    </x:row>
    <x:row r="707" ht="54" hidden="0" customHeight="1">
      <x:c r="A707" s="38" t="str">
        <x:v>Q018::B0026SKZO0_review_2781281</x:v>
      </x:c>
      <x:c r="B707" s="38" t="str">
        <x:v>Q018</x:v>
      </x:c>
      <x:c r="C707" s="91" t="str">
        <x:v>I need a Bluetooth adapter that keeps a stable connection without frequent dropouts.</x:v>
      </x:c>
      <x:c r="D707" s="38" t="n">
        <x:v>34</x:v>
      </x:c>
      <x:c r="E707" s="38" t="str">
        <x:v>B0026SKZO0</x:v>
      </x:c>
      <x:c r="F707" s="38" t="str">
        <x:v>review</x:v>
      </x:c>
      <x:c r="G707" s="38" t="str">
        <x:v>connectivity</x:v>
      </x:c>
      <x:c r="H707" s="38" t="str">
        <x:v>Computers</x:v>
      </x:c>
      <x:c r="I707" s="91" t="str">
        <x:v>[Product: Generic Smallest Wireless Sync Adapter Dongle (30000212) | ASIN: B0026SKZO0] No driver support outside of bluesoleil. So in the end, you will end up paying more for the crappy software, crappy support, and weak hardware.&lt;br /&gt;&lt;br Not to mention this device's bluetooth class is the short choppy range type. It is disenfranchising the wonderful thing bluetooth could be.</x:v>
      </x:c>
      <x:c r="J707" s="101" t="n">
        <x:v>2</x:v>
      </x:c>
      <x:c r="K707" s="92" t="str">
        <x:v>Human_Reviewer_01</x:v>
      </x:c>
      <x:c r="L707" s="92" t="str">
        <x:v>High</x:v>
      </x:c>
      <x:c r="M707" s="93" t="str">
        <x:v>Bluetooth adapter has short choppy range and weak hardware testimony.</x:v>
      </x:c>
      <x:c r="N707" s="94"/>
      <x:c r="O707" s="94"/>
      <x:c r="P707" s="94"/>
      <x:c r="Q707" s="95"/>
      <x:c r="R707" s="96"/>
      <x:c r="S707" s="96"/>
      <x:c r="T707" s="97"/>
      <x:c r="U707" s="98" t="str">
        <x:f>IF(OR(J707="",N707=""),"",IF(J707=N707,"No","Yes"))</x:f>
      </x:c>
      <x:c r="V707" s="98" t="n">
        <x:v>2</x:v>
      </x:c>
    </x:row>
    <x:row r="708" ht="54" hidden="0" customHeight="1">
      <x:c r="A708" s="38" t="str">
        <x:v>Q018::B00JAZGSXY_review_2564870</x:v>
      </x:c>
      <x:c r="B708" s="38" t="str">
        <x:v>Q018</x:v>
      </x:c>
      <x:c r="C708" s="91" t="str">
        <x:v>I need a Bluetooth adapter that keeps a stable connection without frequent dropouts.</x:v>
      </x:c>
      <x:c r="D708" s="38" t="n">
        <x:v>35</x:v>
      </x:c>
      <x:c r="E708" s="38" t="str">
        <x:v>B00JAZGSXY</x:v>
      </x:c>
      <x:c r="F708" s="38" t="str">
        <x:v>review</x:v>
      </x:c>
      <x:c r="G708" s="38" t="str">
        <x:v>sound quality</x:v>
      </x:c>
      <x:c r="H708" s="38" t="str">
        <x:v>Computers</x:v>
      </x:c>
      <x:c r="I708" s="91" t="str">
        <x:v>[Product: Azio USB Micro Bluetooth Adapter V4.0 EDR and aptX (BTD-V401),Black | ASIN: B00JAZGSXY] If you leave around 10 feets WITHOUT any block, the sound will not very stable sometime.</x:v>
      </x:c>
      <x:c r="J708" s="101" t="n">
        <x:v>2</x:v>
      </x:c>
      <x:c r="K708" s="92" t="str">
        <x:v>Human_Reviewer_01</x:v>
      </x:c>
      <x:c r="L708" s="92" t="str">
        <x:v>High</x:v>
      </x:c>
      <x:c r="M708" s="93" t="str">
        <x:v>Bluetooth adapter sound becomes unstable at roughly ten feet without obstruction.</x:v>
      </x:c>
      <x:c r="N708" s="94"/>
      <x:c r="O708" s="94"/>
      <x:c r="P708" s="94"/>
      <x:c r="Q708" s="95"/>
      <x:c r="R708" s="96"/>
      <x:c r="S708" s="96"/>
      <x:c r="T708" s="97"/>
      <x:c r="U708" s="98" t="str">
        <x:f>IF(OR(J708="",N708=""),"",IF(J708=N708,"No","Yes"))</x:f>
      </x:c>
      <x:c r="V708" s="98" t="n">
        <x:v>2</x:v>
      </x:c>
    </x:row>
    <x:row r="709" ht="54" hidden="0" customHeight="1">
      <x:c r="A709" s="38" t="str">
        <x:v>Q018::B0BSMW36LL_review_3151174</x:v>
      </x:c>
      <x:c r="B709" s="38" t="str">
        <x:v>Q018</x:v>
      </x:c>
      <x:c r="C709" s="91" t="str">
        <x:v>I need a Bluetooth adapter that keeps a stable connection without frequent dropouts.</x:v>
      </x:c>
      <x:c r="D709" s="38" t="n">
        <x:v>36</x:v>
      </x:c>
      <x:c r="E709" s="38" t="str">
        <x:v>B0BSMW36LL</x:v>
      </x:c>
      <x:c r="F709" s="38" t="str">
        <x:v>review</x:v>
      </x:c>
      <x:c r="G709" s="38" t="str">
        <x:v>connectivity</x:v>
      </x:c>
      <x:c r="H709" s="38" t="str">
        <x:v>Computers</x:v>
      </x:c>
      <x:c r="I709" s="91" t="str">
        <x:v>[Product: Verbatim Rechargeable Multi-Device Bluetooth 5.0 USB 2.4Ghz Wireless Optical Mouse with Adjustable DPI – Black 70755 | ASIN: B0BSMW36LL] Bluetooth pairing worked perfectly, and the connection is stable without any dropouts.</x:v>
      </x:c>
      <x:c r="J709" s="101" t="n">
        <x:v>0</x:v>
      </x:c>
      <x:c r="K709" s="92" t="str">
        <x:v>Human_Reviewer_01</x:v>
      </x:c>
      <x:c r="L709" s="92" t="str">
        <x:v>High</x:v>
      </x:c>
      <x:c r="M709" s="93" t="str">
        <x:v>This is a Bluetooth mouse, not an adapter.</x:v>
      </x:c>
      <x:c r="N709" s="94"/>
      <x:c r="O709" s="94"/>
      <x:c r="P709" s="94"/>
      <x:c r="Q709" s="95"/>
      <x:c r="R709" s="96"/>
      <x:c r="S709" s="96"/>
      <x:c r="T709" s="97"/>
      <x:c r="U709" s="98" t="str">
        <x:f>IF(OR(J709="",N709=""),"",IF(J709=N709,"No","Yes"))</x:f>
      </x:c>
      <x:c r="V709" s="98" t="n">
        <x:v>0</x:v>
      </x:c>
    </x:row>
    <x:row r="710" ht="54" hidden="0" customHeight="1">
      <x:c r="A710" s="38" t="str">
        <x:v>Q018::B081V8TDMF_review_3647611</x:v>
      </x:c>
      <x:c r="B710" s="38" t="str">
        <x:v>Q018</x:v>
      </x:c>
      <x:c r="C710" s="91" t="str">
        <x:v>I need a Bluetooth adapter that keeps a stable connection without frequent dropouts.</x:v>
      </x:c>
      <x:c r="D710" s="38" t="n">
        <x:v>37</x:v>
      </x:c>
      <x:c r="E710" s="38" t="str">
        <x:v>B081V8TDMF</x:v>
      </x:c>
      <x:c r="F710" s="38" t="str">
        <x:v>review</x:v>
      </x:c>
      <x:c r="G710" s="38" t="str">
        <x:v>connectivity</x:v>
      </x:c>
      <x:c r="H710" s="38" t="str">
        <x:v>Computers</x:v>
      </x:c>
      <x:c r="I710" s="91" t="str">
        <x:v>[Product: ：USB WiFi Adapter for PC Latest Long Range Stable Signal 1200Mbps Wireless WiFi Dongle USB 3.0 2.4G/5G 802.11ac Network Adapter with Dual Antenna for Windows XP/10/8/8.1/7/Vista Mac 10.6-10.15 | ASIN: B081V8TDMF] This one comes with a dock/extension cable as shown in the photos, but when I set it up that way, about every 30 seconds it would drop its USB handshaking and then reconnect. So I was treated to a symphony of "disconnect" and "reconnect" USB sounds, plus it was dropping my wifi connection every time.&lt;br /&gt;&lt;br /&gt;I am not sure if this specific dock or cable are defective, or it may be a design issue, but the antenna works fine when plugged directly into the USB port, good bandwidth and no further dropouts.</x:v>
      </x:c>
      <x:c r="J710" s="101" t="n">
        <x:v>0</x:v>
      </x:c>
      <x:c r="K710" s="92" t="str">
        <x:v>Human_Reviewer_01</x:v>
      </x:c>
      <x:c r="L710" s="92" t="str">
        <x:v>High</x:v>
      </x:c>
      <x:c r="M710" s="93" t="str">
        <x:v>This is a Wi-Fi adapter, not a Bluetooth adapter.</x:v>
      </x:c>
      <x:c r="N710" s="94"/>
      <x:c r="O710" s="94"/>
      <x:c r="P710" s="94"/>
      <x:c r="Q710" s="95"/>
      <x:c r="R710" s="96"/>
      <x:c r="S710" s="96"/>
      <x:c r="T710" s="97"/>
      <x:c r="U710" s="98" t="str">
        <x:f>IF(OR(J710="",N710=""),"",IF(J710=N710,"No","Yes"))</x:f>
      </x:c>
      <x:c r="V710" s="98" t="n">
        <x:v>0</x:v>
      </x:c>
    </x:row>
    <x:row r="711" ht="54" hidden="0" customHeight="1">
      <x:c r="A711" s="38" t="str">
        <x:v>Q018::B08D3TK9RH_review_1638114</x:v>
      </x:c>
      <x:c r="B711" s="38" t="str">
        <x:v>Q018</x:v>
      </x:c>
      <x:c r="C711" s="91" t="str">
        <x:v>I need a Bluetooth adapter that keeps a stable connection without frequent dropouts.</x:v>
      </x:c>
      <x:c r="D711" s="38" t="n">
        <x:v>38</x:v>
      </x:c>
      <x:c r="E711" s="38" t="str">
        <x:v>B08D3TK9RH</x:v>
      </x:c>
      <x:c r="F711" s="38" t="str">
        <x:v>review</x:v>
      </x:c>
      <x:c r="G711" s="38" t="str">
        <x:v>build quality</x:v>
      </x:c>
      <x:c r="H711" s="38" t="str">
        <x:v>Camera &amp; Photo</x:v>
      </x:c>
      <x:c r="I711" s="91" t="str">
        <x:v>[Product: Webcam with Microphone, 1080P HD Live Streaming Webcam for Desktop or Laptop PC USB Plug and Play Camera for Computer Widescreen Video Calling, Recording, Conferencing, Online Classes,Streaming,Gaming | ASIN: B08D3TK9RH] on camera activated, but low quality with frequent dropouts.</x:v>
      </x:c>
      <x:c r="J711" s="101" t="n">
        <x:v>0</x:v>
      </x:c>
      <x:c r="K711" s="92" t="str">
        <x:v>Human_Reviewer_01</x:v>
      </x:c>
      <x:c r="L711" s="92" t="str">
        <x:v>High</x:v>
      </x:c>
      <x:c r="M711" s="93" t="str">
        <x:v>This is a webcam, not a Bluetooth adapter.</x:v>
      </x:c>
      <x:c r="N711" s="94"/>
      <x:c r="O711" s="94"/>
      <x:c r="P711" s="94"/>
      <x:c r="Q711" s="95"/>
      <x:c r="R711" s="96"/>
      <x:c r="S711" s="96"/>
      <x:c r="T711" s="97"/>
      <x:c r="U711" s="98" t="str">
        <x:f>IF(OR(J711="",N711=""),"",IF(J711=N711,"No","Yes"))</x:f>
      </x:c>
      <x:c r="V711" s="98" t="n">
        <x:v>0</x:v>
      </x:c>
    </x:row>
    <x:row r="712" ht="54" hidden="0" customHeight="1">
      <x:c r="A712" s="38" t="str">
        <x:v>Q018::B07D1ZVJ54_review_3784873</x:v>
      </x:c>
      <x:c r="B712" s="38" t="str">
        <x:v>Q018</x:v>
      </x:c>
      <x:c r="C712" s="91" t="str">
        <x:v>I need a Bluetooth adapter that keeps a stable connection without frequent dropouts.</x:v>
      </x:c>
      <x:c r="D712" s="38" t="n">
        <x:v>39</x:v>
      </x:c>
      <x:c r="E712" s="38" t="str">
        <x:v>B07D1ZVJ54</x:v>
      </x:c>
      <x:c r="F712" s="38" t="str">
        <x:v>review</x:v>
      </x:c>
      <x:c r="G712" s="38" t="str">
        <x:v>general</x:v>
      </x:c>
      <x:c r="H712" s="38" t="str">
        <x:v>Computers</x:v>
      </x:c>
      <x:c r="I712" s="91" t="str">
        <x:v>[Product: USB-C hub Adapter for MacBook Pro 2016, 2017, 2018. Dual Thunderbolt-3 Type-C Port with 4k HDMI Output. Multiport Charging &amp; Connecting Adapter USB 3.0 SD Micro SD Card Reader, Stable Connection | ASIN: B07D1ZVJ54] We were happy with this item! Everything you need in one package!!!</x:v>
      </x:c>
      <x:c r="J712" s="101" t="n">
        <x:v>0</x:v>
      </x:c>
      <x:c r="K712" s="92" t="str">
        <x:v>Human_Reviewer_01</x:v>
      </x:c>
      <x:c r="L712" s="92" t="str">
        <x:v>High</x:v>
      </x:c>
      <x:c r="M712" s="93" t="str">
        <x:v>This is a USB-C hub, not a Bluetooth adapter.</x:v>
      </x:c>
      <x:c r="N712" s="94"/>
      <x:c r="O712" s="94"/>
      <x:c r="P712" s="94"/>
      <x:c r="Q712" s="95"/>
      <x:c r="R712" s="96"/>
      <x:c r="S712" s="96"/>
      <x:c r="T712" s="97"/>
      <x:c r="U712" s="98" t="str">
        <x:f>IF(OR(J712="",N712=""),"",IF(J712=N712,"No","Yes"))</x:f>
      </x:c>
      <x:c r="V712" s="98" t="n">
        <x:v>0</x:v>
      </x:c>
    </x:row>
    <x:row r="713" ht="54" hidden="0" customHeight="1">
      <x:c r="A713" s="38" t="str">
        <x:v>Q019::B01M0GHMCT_review_1481522</x:v>
      </x:c>
      <x:c r="B713" s="38" t="str">
        <x:v>Q019</x:v>
      </x:c>
      <x:c r="C713" s="91" t="str">
        <x:v>Which laptop charger is durable and works reliably without overheating?</x:v>
      </x:c>
      <x:c r="D713" s="38" t="n">
        <x:v>1</x:v>
      </x:c>
      <x:c r="E713" s="38" t="str">
        <x:v>B01M0GHMCT</x:v>
      </x:c>
      <x:c r="F713" s="38" t="str">
        <x:v>review</x:v>
      </x:c>
      <x:c r="G713" s="38" t="str">
        <x:v>general</x:v>
      </x:c>
      <x:c r="H713" s="38" t="str">
        <x:v>Camera &amp; Photo</x:v>
      </x:c>
      <x:c r="I713" s="91" t="str">
        <x:v>[Product: Kastar Battery X2 + Slim USB Charger for Sony NP-BG1 NP-FG1 Battery Sony Cybershot DSC-HX5V, DSC-HX9V, DSC-W30, DSC-W35, DSC-W50, DSC-W55, DSC-W70, DSC-W80, DSC-W290, DSC-H10, H20, H50, H55, H70, H90 | ASIN: B01M0GHMCT] It works reliably well. It arrived as promised and well packaged.</x:v>
      </x:c>
      <x:c r="J713" s="101" t="n">
        <x:v>0</x:v>
      </x:c>
      <x:c r="K713" s="92" t="str">
        <x:v>Human_Reviewer_01</x:v>
      </x:c>
      <x:c r="L713" s="92" t="str">
        <x:v>High</x:v>
      </x:c>
      <x:c r="M713" s="93" t="str">
        <x:v>This is a camera battery charger kit, not a laptop charger.</x:v>
      </x:c>
      <x:c r="N713" s="94"/>
      <x:c r="O713" s="94"/>
      <x:c r="P713" s="94"/>
      <x:c r="Q713" s="95"/>
      <x:c r="R713" s="96"/>
      <x:c r="S713" s="96"/>
      <x:c r="T713" s="97"/>
      <x:c r="U713" s="98" t="str">
        <x:f>IF(OR(J713="",N713=""),"",IF(J713=N713,"No","Yes"))</x:f>
      </x:c>
      <x:c r="V713" s="98" t="n">
        <x:v>0</x:v>
      </x:c>
    </x:row>
    <x:row r="714" ht="54" hidden="0" customHeight="1">
      <x:c r="A714" s="38" t="str">
        <x:v>Q019::B089NDBM22_review_2258331</x:v>
      </x:c>
      <x:c r="B714" s="38" t="str">
        <x:v>Q019</x:v>
      </x:c>
      <x:c r="C714" s="91" t="str">
        <x:v>Which laptop charger is durable and works reliably without overheating?</x:v>
      </x:c>
      <x:c r="D714" s="38" t="n">
        <x:v>2</x:v>
      </x:c>
      <x:c r="E714" s="38" t="str">
        <x:v>B089NDBM22</x:v>
      </x:c>
      <x:c r="F714" s="38" t="str">
        <x:v>review</x:v>
      </x:c>
      <x:c r="G714" s="38" t="str">
        <x:v>build quality</x:v>
      </x:c>
      <x:c r="H714" s="38" t="str">
        <x:v>Cell Phones &amp; Accessories</x:v>
      </x:c>
      <x:c r="I714" s="91" t="str">
        <x:v>[Product: USB Type C Cable 15ft with 3A Fast Charging, Ultra Long and Extremely Durable Nylon Braided USB C Charger Cord for Galaxy S10/S9/S8/Google Pixel/LG/OnePlus/Moto and More (Blue) | ASIN: B089NDBM22] I was pleased to find that this one works very well, which speaks to the quality of the cable to some degree.</x:v>
      </x:c>
      <x:c r="J714" s="101" t="n">
        <x:v>0</x:v>
      </x:c>
      <x:c r="K714" s="92" t="str">
        <x:v>Human_Reviewer_01</x:v>
      </x:c>
      <x:c r="L714" s="92" t="str">
        <x:v>High</x:v>
      </x:c>
      <x:c r="M714" s="93" t="str">
        <x:v>This is a phone charging cable, not a laptop power adapter.</x:v>
      </x:c>
      <x:c r="N714" s="94"/>
      <x:c r="O714" s="94"/>
      <x:c r="P714" s="94"/>
      <x:c r="Q714" s="95"/>
      <x:c r="R714" s="96"/>
      <x:c r="S714" s="96"/>
      <x:c r="T714" s="97"/>
      <x:c r="U714" s="98" t="str">
        <x:f>IF(OR(J714="",N714=""),"",IF(J714=N714,"No","Yes"))</x:f>
      </x:c>
      <x:c r="V714" s="98" t="n">
        <x:v>0</x:v>
      </x:c>
    </x:row>
    <x:row r="715" ht="54" hidden="0" customHeight="1">
      <x:c r="A715" s="38" t="str">
        <x:v>Q019::B08NV4XMWZ_review_821573</x:v>
      </x:c>
      <x:c r="B715" s="38" t="str">
        <x:v>Q019</x:v>
      </x:c>
      <x:c r="C715" s="91" t="str">
        <x:v>Which laptop charger is durable and works reliably without overheating?</x:v>
      </x:c>
      <x:c r="D715" s="38" t="n">
        <x:v>3</x:v>
      </x:c>
      <x:c r="E715" s="38" t="str">
        <x:v>B08NV4XMWZ</x:v>
      </x:c>
      <x:c r="F715" s="38" t="str">
        <x:v>review</x:v>
      </x:c>
      <x:c r="G715" s="38" t="str">
        <x:v>battery life</x:v>
      </x:c>
      <x:c r="H715" s="38" t="str">
        <x:v>Computers</x:v>
      </x:c>
      <x:c r="I715" s="91" t="str">
        <x:v>[Product: USB-C Laptop Charger Universal (Black 100W USB-C Charger) | ASIN: B08NV4XMWZ] My daughter needed a charger for her HP Laptop. We lost her charger and have spent 2 years without being able to charge her computer. Charged the computer right up and the computer works great.</x:v>
      </x:c>
      <x:c r="J715" s="101" t="n">
        <x:v>1</x:v>
      </x:c>
      <x:c r="K715" s="92" t="str">
        <x:v>Human_Reviewer_01</x:v>
      </x:c>
      <x:c r="L715" s="92" t="str">
        <x:v>High</x:v>
      </x:c>
      <x:c r="M715" s="93" t="str">
        <x:v>Laptop charger successfully charges a computer, but durability and temperature are untested.</x:v>
      </x:c>
      <x:c r="N715" s="94"/>
      <x:c r="O715" s="94"/>
      <x:c r="P715" s="94"/>
      <x:c r="Q715" s="95"/>
      <x:c r="R715" s="96"/>
      <x:c r="S715" s="96"/>
      <x:c r="T715" s="97"/>
      <x:c r="U715" s="98" t="str">
        <x:f>IF(OR(J715="",N715=""),"",IF(J715=N715,"No","Yes"))</x:f>
      </x:c>
      <x:c r="V715" s="98" t="n">
        <x:v>1</x:v>
      </x:c>
    </x:row>
    <x:row r="716" ht="54" hidden="0" customHeight="1">
      <x:c r="A716" s="38" t="str">
        <x:v>Q019::B010MHZGOU_review_1507310</x:v>
      </x:c>
      <x:c r="B716" s="38" t="str">
        <x:v>Q019</x:v>
      </x:c>
      <x:c r="C716" s="91" t="str">
        <x:v>Which laptop charger is durable and works reliably without overheating?</x:v>
      </x:c>
      <x:c r="D716" s="38" t="n">
        <x:v>4</x:v>
      </x:c>
      <x:c r="E716" s="38" t="str">
        <x:v>B010MHZGOU</x:v>
      </x:c>
      <x:c r="F716" s="38" t="str">
        <x:v>review</x:v>
      </x:c>
      <x:c r="G716" s="38" t="str">
        <x:v>battery life</x:v>
      </x:c>
      <x:c r="H716" s="38" t="str">
        <x:v>Computers</x:v>
      </x:c>
      <x:c r="I716" s="91" t="str">
        <x:v>[Product: Targus ultra-slim laptop charger for various devices, 65 w, black | ASIN: B010MHZGOU] The charger itself does not get hot like my OEM charger does.</x:v>
      </x:c>
      <x:c r="J716" s="101" t="n">
        <x:v>2</x:v>
      </x:c>
      <x:c r="K716" s="92" t="str">
        <x:v>Human_Reviewer_01</x:v>
      </x:c>
      <x:c r="L716" s="92" t="str">
        <x:v>High</x:v>
      </x:c>
      <x:c r="M716" s="93" t="str">
        <x:v>Laptop charger explicitly stays cooler than the original charger.</x:v>
      </x:c>
      <x:c r="N716" s="94"/>
      <x:c r="O716" s="94"/>
      <x:c r="P716" s="94"/>
      <x:c r="Q716" s="95"/>
      <x:c r="R716" s="96"/>
      <x:c r="S716" s="96"/>
      <x:c r="T716" s="97"/>
      <x:c r="U716" s="98" t="str">
        <x:f>IF(OR(J716="",N716=""),"",IF(J716=N716,"No","Yes"))</x:f>
      </x:c>
      <x:c r="V716" s="98" t="n">
        <x:v>2</x:v>
      </x:c>
    </x:row>
    <x:row r="717" ht="54" hidden="0" customHeight="1">
      <x:c r="A717" s="38" t="str">
        <x:v>Q019::B018JN2BU6_review_2230574</x:v>
      </x:c>
      <x:c r="B717" s="38" t="str">
        <x:v>Q019</x:v>
      </x:c>
      <x:c r="C717" s="91" t="str">
        <x:v>Which laptop charger is durable and works reliably without overheating?</x:v>
      </x:c>
      <x:c r="D717" s="38" t="n">
        <x:v>5</x:v>
      </x:c>
      <x:c r="E717" s="38" t="str">
        <x:v>B018JN2BU6</x:v>
      </x:c>
      <x:c r="F717" s="38" t="str">
        <x:v>review</x:v>
      </x:c>
      <x:c r="G717" s="38" t="str">
        <x:v>general</x:v>
      </x:c>
      <x:c r="H717" s="38" t="str">
        <x:v>Computers</x:v>
      </x:c>
      <x:c r="I717" s="91" t="str">
        <x:v>[Product: Universal 65W USB C (2 Tips) AC Adapter Laptop Charger Compatible with Lenovo ThinkPad Yoga 13,X1 Carbon, Chromebook,Flex 14,T430 T440 T440S T440P T460S T560 E440 E550 E560 ADLX65NLC3A Power Cord | ASIN: B018JN2BU6] It gets really hot within 15 minutes of use. I have a Lenovo Y700 and it is great for casual use. The main games I play are Rocket League, League of Legends, Fortnite, and OSRS. It only happens to Rocket League and Fortnite for me. Definitely recommend for casual use, but not for gaming.</x:v>
      </x:c>
      <x:c r="J717" s="101" t="n">
        <x:v>1</x:v>
      </x:c>
      <x:c r="K717" s="92" t="str">
        <x:v>Human_Reviewer_01</x:v>
      </x:c>
      <x:c r="L717" s="92" t="str">
        <x:v>Low</x:v>
      </x:c>
      <x:c r="M717" s="93" t="str">
        <x:v>Heat is reported, but surrounding laptop-gaming discussion makes attribution to the charger uncertain.</x:v>
      </x:c>
      <x:c r="N717" s="94"/>
      <x:c r="O717" s="94"/>
      <x:c r="P717" s="94"/>
      <x:c r="Q717" s="95"/>
      <x:c r="R717" s="96"/>
      <x:c r="S717" s="96"/>
      <x:c r="T717" s="97"/>
      <x:c r="U717" s="98" t="str">
        <x:f>IF(OR(J717="",N717=""),"",IF(J717=N717,"No","Yes"))</x:f>
      </x:c>
      <x:c r="V717" s="98" t="n">
        <x:v>1</x:v>
      </x:c>
    </x:row>
    <x:row r="718" ht="54" hidden="0" customHeight="1">
      <x:c r="A718" s="38" t="str">
        <x:v>Q019::B01DFJMNWK_review_1099786</x:v>
      </x:c>
      <x:c r="B718" s="38" t="str">
        <x:v>Q019</x:v>
      </x:c>
      <x:c r="C718" s="91" t="str">
        <x:v>Which laptop charger is durable and works reliably without overheating?</x:v>
      </x:c>
      <x:c r="D718" s="38" t="n">
        <x:v>6</x:v>
      </x:c>
      <x:c r="E718" s="38" t="str">
        <x:v>B01DFJMNWK</x:v>
      </x:c>
      <x:c r="F718" s="38" t="str">
        <x:v>review</x:v>
      </x:c>
      <x:c r="G718" s="38" t="str">
        <x:v>battery life</x:v>
      </x:c>
      <x:c r="H718" s="38" t="str">
        <x:v>Cell Phones &amp; Accessories</x:v>
      </x:c>
      <x:c r="I718" s="91" t="str">
        <x:v>[Product: HP V5Y26UT#ABA Smart Buy 45W USB-C Power | ASIN: B01DFJMNWK] The charger charge stays cool and does not heat up once the laptop is fully charged, thus, the internal waste energy is low and safe to stay plug in. The charger does not come with the long cord as shown in picture but only a wall plug header. The original extension cord for the original cable, however is not compatible with this charger. I would recommend using the original one to be the mobile charger to carry out since it has a longer cord extension.</x:v>
      </x:c>
      <x:c r="J718" s="101" t="n">
        <x:v>2</x:v>
      </x:c>
      <x:c r="K718" s="92" t="str">
        <x:v>Human_Reviewer_01</x:v>
      </x:c>
      <x:c r="L718" s="92" t="str">
        <x:v>High</x:v>
      </x:c>
      <x:c r="M718" s="93" t="str">
        <x:v>Laptop charger stays cool after charging; cable compatibility limitations are also stated.</x:v>
      </x:c>
      <x:c r="N718" s="94"/>
      <x:c r="O718" s="94"/>
      <x:c r="P718" s="94"/>
      <x:c r="Q718" s="95"/>
      <x:c r="R718" s="96"/>
      <x:c r="S718" s="96"/>
      <x:c r="T718" s="97"/>
      <x:c r="U718" s="98" t="str">
        <x:f>IF(OR(J718="",N718=""),"",IF(J718=N718,"No","Yes"))</x:f>
      </x:c>
      <x:c r="V718" s="98" t="n">
        <x:v>2</x:v>
      </x:c>
    </x:row>
    <x:row r="719" ht="54" hidden="0" customHeight="1">
      <x:c r="A719" s="38" t="str">
        <x:v>Q019::B006X59X9A_review_2897710</x:v>
      </x:c>
      <x:c r="B719" s="38" t="str">
        <x:v>Q019</x:v>
      </x:c>
      <x:c r="C719" s="91" t="str">
        <x:v>Which laptop charger is durable and works reliably without overheating?</x:v>
      </x:c>
      <x:c r="D719" s="38" t="n">
        <x:v>7</x:v>
      </x:c>
      <x:c r="E719" s="38" t="str">
        <x:v>B006X59X9A</x:v>
      </x:c>
      <x:c r="F719" s="38" t="str">
        <x:v>review</x:v>
      </x:c>
      <x:c r="G719" s="38" t="str">
        <x:v>battery life</x:v>
      </x:c>
      <x:c r="H719" s="38" t="str">
        <x:v>Camera &amp; Photo</x:v>
      </x:c>
      <x:c r="I719" s="91" t="str">
        <x:v>[Product: Wasabi Power Battery (2-Pack) and Charger for Panasonic VW-VBL090, VW-VBK180 | ASIN: B006X59X9A] This is my third wasabi power battery set, and works just as well as the others. The batteries themselves work reliably and last every bit as long as the OEM panasonic battery that came with the camcorder. The car adapter for the charger is also a nice touch. These guys seem to consistently make a high-quality third-party battery, and I have no complaints whatsoever.</x:v>
      </x:c>
      <x:c r="J719" s="101" t="n">
        <x:v>0</x:v>
      </x:c>
      <x:c r="K719" s="92" t="str">
        <x:v>Human_Reviewer_01</x:v>
      </x:c>
      <x:c r="L719" s="92" t="str">
        <x:v>High</x:v>
      </x:c>
      <x:c r="M719" s="93" t="str">
        <x:v>This is a camcorder battery charger kit, not a laptop charger.</x:v>
      </x:c>
      <x:c r="N719" s="94"/>
      <x:c r="O719" s="94"/>
      <x:c r="P719" s="94"/>
      <x:c r="Q719" s="95"/>
      <x:c r="R719" s="96"/>
      <x:c r="S719" s="96"/>
      <x:c r="T719" s="97"/>
      <x:c r="U719" s="98" t="str">
        <x:f>IF(OR(J719="",N719=""),"",IF(J719=N719,"No","Yes"))</x:f>
      </x:c>
      <x:c r="V719" s="98" t="n">
        <x:v>0</x:v>
      </x:c>
    </x:row>
    <x:row r="720" ht="54" hidden="0" customHeight="1">
      <x:c r="A720" s="38" t="str">
        <x:v>Q019::B081G99954_review_2894071</x:v>
      </x:c>
      <x:c r="B720" s="38" t="str">
        <x:v>Q019</x:v>
      </x:c>
      <x:c r="C720" s="91" t="str">
        <x:v>Which laptop charger is durable and works reliably without overheating?</x:v>
      </x:c>
      <x:c r="D720" s="38" t="n">
        <x:v>8</x:v>
      </x:c>
      <x:c r="E720" s="38" t="str">
        <x:v>B081G99954</x:v>
      </x:c>
      <x:c r="F720" s="38" t="str">
        <x:v>review</x:v>
      </x:c>
      <x:c r="G720" s="38" t="str">
        <x:v>battery life</x:v>
      </x:c>
      <x:c r="H720" s="38" t="str">
        <x:v>Cell Phones &amp; Accessories</x:v>
      </x:c>
      <x:c r="I720" s="91" t="str">
        <x:v>[Product: KINPS MFI Certified Lightning Cable 10FT, C89 Upgrade iPhone Charger Cord Compatible with iPhone 12/11/XS Max/XS/XR/X/8 Plus/8/7 Plus/7/6S Plu/6Ss, iPad, (White) | ASIN: B081G99954] 5 star rating for this durable well-made Apple 10FT charger cord which works great with my Apple iPhone and iPad. Fast charging too.</x:v>
      </x:c>
      <x:c r="J720" s="101" t="n">
        <x:v>0</x:v>
      </x:c>
      <x:c r="K720" s="92" t="str">
        <x:v>Human_Reviewer_01</x:v>
      </x:c>
      <x:c r="L720" s="92" t="str">
        <x:v>High</x:v>
      </x:c>
      <x:c r="M720" s="93" t="str">
        <x:v>This is a phone charging cable, not a laptop charger.</x:v>
      </x:c>
      <x:c r="N720" s="94"/>
      <x:c r="O720" s="94"/>
      <x:c r="P720" s="94"/>
      <x:c r="Q720" s="95"/>
      <x:c r="R720" s="96"/>
      <x:c r="S720" s="96"/>
      <x:c r="T720" s="97"/>
      <x:c r="U720" s="98" t="str">
        <x:f>IF(OR(J720="",N720=""),"",IF(J720=N720,"No","Yes"))</x:f>
      </x:c>
      <x:c r="V720" s="98" t="n">
        <x:v>0</x:v>
      </x:c>
    </x:row>
    <x:row r="721" ht="54" hidden="0" customHeight="1">
      <x:c r="A721" s="38" t="str">
        <x:v>Q019::B003LR9352_review_3915494</x:v>
      </x:c>
      <x:c r="B721" s="38" t="str">
        <x:v>Q019</x:v>
      </x:c>
      <x:c r="C721" s="91" t="str">
        <x:v>Which laptop charger is durable and works reliably without overheating?</x:v>
      </x:c>
      <x:c r="D721" s="38" t="n">
        <x:v>9</x:v>
      </x:c>
      <x:c r="E721" s="38" t="str">
        <x:v>B003LR9352</x:v>
      </x:c>
      <x:c r="F721" s="38" t="str">
        <x:v>review</x:v>
      </x:c>
      <x:c r="G721" s="38" t="str">
        <x:v>battery life</x:v>
      </x:c>
      <x:c r="H721" s="38" t="str">
        <x:v>Camera &amp; Photo</x:v>
      </x:c>
      <x:c r="I721" s="91" t="str">
        <x:v>[Product: Sony Cyber-shot BC-CSN Battery Charger fits NP-BN1 Batteries, without Power Cable | ASIN: B003LR9352] I lost my original charger for my Sony NP-BN1 batteries. This is an exact OEM replacement and works well and charges fast. It is very compact which is why I did not buy some other charger.</x:v>
      </x:c>
      <x:c r="J721" s="101" t="n">
        <x:v>0</x:v>
      </x:c>
      <x:c r="K721" s="92" t="str">
        <x:v>Human_Reviewer_01</x:v>
      </x:c>
      <x:c r="L721" s="92" t="str">
        <x:v>High</x:v>
      </x:c>
      <x:c r="M721" s="93" t="str">
        <x:v>This is a camera battery charger, not a laptop charger.</x:v>
      </x:c>
      <x:c r="N721" s="94"/>
      <x:c r="O721" s="94"/>
      <x:c r="P721" s="94"/>
      <x:c r="Q721" s="95"/>
      <x:c r="R721" s="96"/>
      <x:c r="S721" s="96"/>
      <x:c r="T721" s="97"/>
      <x:c r="U721" s="98" t="str">
        <x:f>IF(OR(J721="",N721=""),"",IF(J721=N721,"No","Yes"))</x:f>
      </x:c>
      <x:c r="V721" s="98" t="n">
        <x:v>0</x:v>
      </x:c>
    </x:row>
    <x:row r="722" ht="54" hidden="0" customHeight="1">
      <x:c r="A722" s="38" t="str">
        <x:v>Q019::B004I6AZ9S_review_1830130</x:v>
      </x:c>
      <x:c r="B722" s="38" t="str">
        <x:v>Q019</x:v>
      </x:c>
      <x:c r="C722" s="91" t="str">
        <x:v>Which laptop charger is durable and works reliably without overheating?</x:v>
      </x:c>
      <x:c r="D722" s="38" t="n">
        <x:v>10</x:v>
      </x:c>
      <x:c r="E722" s="38" t="str">
        <x:v>B004I6AZ9S</x:v>
      </x:c>
      <x:c r="F722" s="38" t="str">
        <x:v>review</x:v>
      </x:c>
      <x:c r="G722" s="38" t="str">
        <x:v>general</x:v>
      </x:c>
      <x:c r="H722" s="38" t="str">
        <x:v>Computers</x:v>
      </x:c>
      <x:c r="I722" s="91" t="str">
        <x:v>[Product: Pwr UL Listed 65W Charger Power Adapter for HP Envy Pavilion x2 x360 11 13 15 17, Spectre x360 13, Chromebook 11 G3 G4, Elitebook 840 G3, 840 G4, 840 G5, 850 G5 Extra Long 741727-001 AC Adapter Cord | ASIN: B004I6AZ9S] Seriously, this unit does not overheat, or get warm much at all really. You can tell it is put together well, with good internal parts.</x:v>
      </x:c>
      <x:c r="J722" s="101" t="n">
        <x:v>2</x:v>
      </x:c>
      <x:c r="K722" s="92" t="str">
        <x:v>Human_Reviewer_01</x:v>
      </x:c>
      <x:c r="L722" s="92" t="str">
        <x:v>High</x:v>
      </x:c>
      <x:c r="M722" s="93" t="str">
        <x:v>Laptop charger barely warms and has positive construction testimony.</x:v>
      </x:c>
      <x:c r="N722" s="94"/>
      <x:c r="O722" s="94"/>
      <x:c r="P722" s="94"/>
      <x:c r="Q722" s="95"/>
      <x:c r="R722" s="96"/>
      <x:c r="S722" s="96"/>
      <x:c r="T722" s="97"/>
      <x:c r="U722" s="98" t="str">
        <x:f>IF(OR(J722="",N722=""),"",IF(J722=N722,"No","Yes"))</x:f>
      </x:c>
      <x:c r="V722" s="98" t="n">
        <x:v>2</x:v>
      </x:c>
    </x:row>
    <x:row r="723" ht="54" hidden="0" customHeight="1">
      <x:c r="A723" s="38" t="str">
        <x:v>Q019::B00NLXNUDW_review_1105036</x:v>
      </x:c>
      <x:c r="B723" s="38" t="str">
        <x:v>Q019</x:v>
      </x:c>
      <x:c r="C723" s="91" t="str">
        <x:v>Which laptop charger is durable and works reliably without overheating?</x:v>
      </x:c>
      <x:c r="D723" s="38" t="n">
        <x:v>11</x:v>
      </x:c>
      <x:c r="E723" s="38" t="str">
        <x:v>B00NLXNUDW</x:v>
      </x:c>
      <x:c r="F723" s="38" t="str">
        <x:v>review</x:v>
      </x:c>
      <x:c r="G723" s="38" t="str">
        <x:v>general</x:v>
      </x:c>
      <x:c r="H723" s="38" t="str">
        <x:v>Computers</x:v>
      </x:c>
      <x:c r="I723" s="91" t="str">
        <x:v>[Product: HP Compaq NX6315 NX6325 NX7300 NX7400 Laptop AC Adapter Charger Power Cord | ASIN: B00NLXNUDW] Very nice and works great without any issues.</x:v>
      </x:c>
      <x:c r="J723" s="101" t="n">
        <x:v>1</x:v>
      </x:c>
      <x:c r="K723" s="92" t="str">
        <x:v>Human_Reviewer_01</x:v>
      </x:c>
      <x:c r="L723" s="92" t="str">
        <x:v>High</x:v>
      </x:c>
      <x:c r="M723" s="93" t="str">
        <x:v>Laptop charger operation is praised generically without temperature or durability evidence.</x:v>
      </x:c>
      <x:c r="N723" s="94"/>
      <x:c r="O723" s="94"/>
      <x:c r="P723" s="94"/>
      <x:c r="Q723" s="95"/>
      <x:c r="R723" s="96"/>
      <x:c r="S723" s="96"/>
      <x:c r="T723" s="97"/>
      <x:c r="U723" s="98" t="str">
        <x:f>IF(OR(J723="",N723=""),"",IF(J723=N723,"No","Yes"))</x:f>
      </x:c>
      <x:c r="V723" s="98" t="n">
        <x:v>1</x:v>
      </x:c>
    </x:row>
    <x:row r="724" ht="54" hidden="0" customHeight="1">
      <x:c r="A724" s="38" t="str">
        <x:v>Q019::B0019SEGUW_review_3789184</x:v>
      </x:c>
      <x:c r="B724" s="38" t="str">
        <x:v>Q019</x:v>
      </x:c>
      <x:c r="C724" s="91" t="str">
        <x:v>Which laptop charger is durable and works reliably without overheating?</x:v>
      </x:c>
      <x:c r="D724" s="38" t="n">
        <x:v>12</x:v>
      </x:c>
      <x:c r="E724" s="38" t="str">
        <x:v>B0019SEGUW</x:v>
      </x:c>
      <x:c r="F724" s="38" t="str">
        <x:v>review</x:v>
      </x:c>
      <x:c r="G724" s="38" t="str">
        <x:v>general</x:v>
      </x:c>
      <x:c r="H724" s="38" t="str">
        <x:v>Computers</x:v>
      </x:c>
      <x:c r="I724" s="91" t="str">
        <x:v>[Product: 90W Laptop Charger for Dell Inspiron | ASIN: B0019SEGUW] /&gt;It gets pretty dang hot when in use so I do not know how well it would hold up over the long run, but its a great option for my use.</x:v>
      </x:c>
      <x:c r="J724" s="101" t="n">
        <x:v>2</x:v>
      </x:c>
      <x:c r="K724" s="92" t="str">
        <x:v>Human_Reviewer_01</x:v>
      </x:c>
      <x:c r="L724" s="92" t="str">
        <x:v>High</x:v>
      </x:c>
      <x:c r="M724" s="93" t="str">
        <x:v>Laptop charger gets very hot and long-term durability is uncertain.</x:v>
      </x:c>
      <x:c r="N724" s="94"/>
      <x:c r="O724" s="94"/>
      <x:c r="P724" s="94"/>
      <x:c r="Q724" s="95"/>
      <x:c r="R724" s="96"/>
      <x:c r="S724" s="96"/>
      <x:c r="T724" s="97"/>
      <x:c r="U724" s="98" t="str">
        <x:f>IF(OR(J724="",N724=""),"",IF(J724=N724,"No","Yes"))</x:f>
      </x:c>
      <x:c r="V724" s="98" t="n">
        <x:v>2</x:v>
      </x:c>
    </x:row>
    <x:row r="725" ht="54" hidden="0" customHeight="1">
      <x:c r="A725" s="38" t="str">
        <x:v>Q019::B07KHMZVQP_review_4141332</x:v>
      </x:c>
      <x:c r="B725" s="38" t="str">
        <x:v>Q019</x:v>
      </x:c>
      <x:c r="C725" s="91" t="str">
        <x:v>Which laptop charger is durable and works reliably without overheating?</x:v>
      </x:c>
      <x:c r="D725" s="38" t="n">
        <x:v>13</x:v>
      </x:c>
      <x:c r="E725" s="38" t="str">
        <x:v>B07KHMZVQP</x:v>
      </x:c>
      <x:c r="F725" s="38" t="str">
        <x:v>review</x:v>
      </x:c>
      <x:c r="G725" s="38" t="str">
        <x:v>price/value</x:v>
      </x:c>
      <x:c r="H725" s="38" t="str">
        <x:v>Computers</x:v>
      </x:c>
      <x:c r="I725" s="91" t="str">
        <x:v>[Product: CYD 45W 19.5V 2.31A Laptop Charger Compatible for HP Stream Charger 11 13 14 Split 13 x2 13-g110dx 13-m010dx 14-x013dx 15-r132wm 15-r030nr 15-050nr Pavilion x360 15-f272wm 15-f387wm 15-f233wm | ASIN: B07KHMZVQP] So far, this is the best charger I have purchased for this price on Amazon. It does get hot, but does not overheat like lower cost chargers.</x:v>
      </x:c>
      <x:c r="J725" s="101" t="n">
        <x:v>2</x:v>
      </x:c>
      <x:c r="K725" s="92" t="str">
        <x:v>Human_Reviewer_01</x:v>
      </x:c>
      <x:c r="L725" s="92" t="str">
        <x:v>High</x:v>
      </x:c>
      <x:c r="M725" s="93" t="str">
        <x:v>Laptop charger gets hot but reportedly avoids overheating.</x:v>
      </x:c>
      <x:c r="N725" s="94"/>
      <x:c r="O725" s="94"/>
      <x:c r="P725" s="94"/>
      <x:c r="Q725" s="95"/>
      <x:c r="R725" s="96"/>
      <x:c r="S725" s="96"/>
      <x:c r="T725" s="97"/>
      <x:c r="U725" s="98" t="str">
        <x:f>IF(OR(J725="",N725=""),"",IF(J725=N725,"No","Yes"))</x:f>
      </x:c>
      <x:c r="V725" s="98" t="n">
        <x:v>2</x:v>
      </x:c>
    </x:row>
    <x:row r="726" ht="54" hidden="0" customHeight="1">
      <x:c r="A726" s="38" t="str">
        <x:v>Q019::B08JLGX72X_review_375012</x:v>
      </x:c>
      <x:c r="B726" s="38" t="str">
        <x:v>Q019</x:v>
      </x:c>
      <x:c r="C726" s="91" t="str">
        <x:v>Which laptop charger is durable and works reliably without overheating?</x:v>
      </x:c>
      <x:c r="D726" s="38" t="n">
        <x:v>14</x:v>
      </x:c>
      <x:c r="E726" s="38" t="str">
        <x:v>B08JLGX72X</x:v>
      </x:c>
      <x:c r="F726" s="38" t="str">
        <x:v>review</x:v>
      </x:c>
      <x:c r="G726" s="38" t="str">
        <x:v>battery life</x:v>
      </x:c>
      <x:c r="H726" s="38" t="str">
        <x:v>Computers</x:v>
      </x:c>
      <x:c r="I726" s="91" t="str">
        <x:v>[Product: 65W AC Adapter Laptop Charger for Acer Aspire 5 A515-54 A13-045N2A C720 R5-571TG C738T R7-372T V3-372T-5051 A115-31 S5-371-52JR R7-371T C720P R5-471T R5-471T-52EE Swift 3 SF314-55G Supplied Power Cord | ASIN: B08JLGX72X] Within 2 months, it is regularly overheating, beeping every few seconds when I plug it in and not maintaining a long charge.</x:v>
      </x:c>
      <x:c r="J726" s="101" t="n">
        <x:v>2</x:v>
      </x:c>
      <x:c r="K726" s="92" t="str">
        <x:v>Human_Reviewer_01</x:v>
      </x:c>
      <x:c r="L726" s="92" t="str">
        <x:v>High</x:v>
      </x:c>
      <x:c r="M726" s="93" t="str">
        <x:v>Laptop charger overheats and beeps after two months, with unreliable charging.</x:v>
      </x:c>
      <x:c r="N726" s="94"/>
      <x:c r="O726" s="94"/>
      <x:c r="P726" s="94"/>
      <x:c r="Q726" s="95"/>
      <x:c r="R726" s="96"/>
      <x:c r="S726" s="96"/>
      <x:c r="T726" s="97"/>
      <x:c r="U726" s="98" t="str">
        <x:f>IF(OR(J726="",N726=""),"",IF(J726=N726,"No","Yes"))</x:f>
      </x:c>
      <x:c r="V726" s="98" t="n">
        <x:v>2</x:v>
      </x:c>
    </x:row>
    <x:row r="727" ht="54" hidden="0" customHeight="1">
      <x:c r="A727" s="38" t="str">
        <x:v>Q019::B09B2CK7XD_review_3881666</x:v>
      </x:c>
      <x:c r="B727" s="38" t="str">
        <x:v>Q019</x:v>
      </x:c>
      <x:c r="C727" s="91" t="str">
        <x:v>Which laptop charger is durable and works reliably without overheating?</x:v>
      </x:c>
      <x:c r="D727" s="38" t="n">
        <x:v>15</x:v>
      </x:c>
      <x:c r="E727" s="38" t="str">
        <x:v>B09B2CK7XD</x:v>
      </x:c>
      <x:c r="F727" s="38" t="str">
        <x:v>review</x:v>
      </x:c>
      <x:c r="G727" s="38" t="str">
        <x:v>battery life</x:v>
      </x:c>
      <x:c r="H727" s="38" t="str">
        <x:v>Computers</x:v>
      </x:c>
      <x:c r="I727" s="91" t="str">
        <x:v>[Product: Laptop Charger Type C 65W 45W for HP Chromebook Charger USB-C HP Spectre x360 Charger for HP Spectre Charger Series HP Chromebook x360 Charger | ASIN: B09B2CK7XD] They came with chargers. Somehow the kids can reliably keep their phones charged, and the chargers are always by their bed. They never quite know where the Chromebook charger is.</x:v>
      </x:c>
      <x:c r="J727" s="101" t="n">
        <x:v>1</x:v>
      </x:c>
      <x:c r="K727" s="92" t="str">
        <x:v>Human_Reviewer_01</x:v>
      </x:c>
      <x:c r="L727" s="92" t="str">
        <x:v>High</x:v>
      </x:c>
      <x:c r="M727" s="93" t="str">
        <x:v>Correct laptop charger, but the chunk describes children losing chargers rather than charger performance.</x:v>
      </x:c>
      <x:c r="N727" s="94"/>
      <x:c r="O727" s="94"/>
      <x:c r="P727" s="94"/>
      <x:c r="Q727" s="95"/>
      <x:c r="R727" s="96"/>
      <x:c r="S727" s="96"/>
      <x:c r="T727" s="97"/>
      <x:c r="U727" s="98" t="str">
        <x:f>IF(OR(J727="",N727=""),"",IF(J727=N727,"No","Yes"))</x:f>
      </x:c>
      <x:c r="V727" s="98" t="n">
        <x:v>1</x:v>
      </x:c>
    </x:row>
    <x:row r="728" ht="54" hidden="0" customHeight="1">
      <x:c r="A728" s="38" t="str">
        <x:v>Q019::B0763YJR1N_review_3470453</x:v>
      </x:c>
      <x:c r="B728" s="38" t="str">
        <x:v>Q019</x:v>
      </x:c>
      <x:c r="C728" s="91" t="str">
        <x:v>Which laptop charger is durable and works reliably without overheating?</x:v>
      </x:c>
      <x:c r="D728" s="38" t="n">
        <x:v>16</x:v>
      </x:c>
      <x:c r="E728" s="38" t="str">
        <x:v>B0763YJR1N</x:v>
      </x:c>
      <x:c r="F728" s="38" t="str">
        <x:v>review</x:v>
      </x:c>
      <x:c r="G728" s="38" t="str">
        <x:v>general</x:v>
      </x:c>
      <x:c r="H728" s="38" t="str">
        <x:v>Computers</x:v>
      </x:c>
      <x:c r="I728" s="91" t="str">
        <x:v>[Product: Laptop Charger for Lenovo IdeaPad S340 S145 C340 110 120 120S 310 330S 320 S130 S130S S340 510 110S 110S-11IBR ADL45WCC PA-1450-5LL 5 320-15IAP Flex 4 5 Yoga 520 710 E41 N22 N23 20V 2.25A 45W Adapter | ASIN: B0763YJR1N] We have not had any overheating issues.</x:v>
      </x:c>
      <x:c r="J728" s="101" t="n">
        <x:v>2</x:v>
      </x:c>
      <x:c r="K728" s="92" t="str">
        <x:v>Human_Reviewer_01</x:v>
      </x:c>
      <x:c r="L728" s="92" t="str">
        <x:v>High</x:v>
      </x:c>
      <x:c r="M728" s="93" t="str">
        <x:v>Laptop charger explicitly has no overheating issues.</x:v>
      </x:c>
      <x:c r="N728" s="94"/>
      <x:c r="O728" s="94"/>
      <x:c r="P728" s="94"/>
      <x:c r="Q728" s="95"/>
      <x:c r="R728" s="96"/>
      <x:c r="S728" s="96"/>
      <x:c r="T728" s="97"/>
      <x:c r="U728" s="98" t="str">
        <x:f>IF(OR(J728="",N728=""),"",IF(J728=N728,"No","Yes"))</x:f>
      </x:c>
      <x:c r="V728" s="98" t="n">
        <x:v>2</x:v>
      </x:c>
    </x:row>
    <x:row r="729" ht="54" hidden="0" customHeight="1">
      <x:c r="A729" s="38" t="str">
        <x:v>Q019::B00763XONY_review_1660469</x:v>
      </x:c>
      <x:c r="B729" s="38" t="str">
        <x:v>Q019</x:v>
      </x:c>
      <x:c r="C729" s="91" t="str">
        <x:v>Which laptop charger is durable and works reliably without overheating?</x:v>
      </x:c>
      <x:c r="D729" s="38" t="n">
        <x:v>17</x:v>
      </x:c>
      <x:c r="E729" s="38" t="str">
        <x:v>B00763XONY</x:v>
      </x:c>
      <x:c r="F729" s="38" t="str">
        <x:v>review</x:v>
      </x:c>
      <x:c r="G729" s="38" t="str">
        <x:v>battery life</x:v>
      </x:c>
      <x:c r="H729" s="38" t="str">
        <x:v>Computers</x:v>
      </x:c>
      <x:c r="I729" s="91" t="str">
        <x:v>[Product: AC Adapter/Battery Charger for Compaq Presario | ASIN: B00763XONY] Works with both of my computers which is great because the one needs a whole new battery so I cannot use it without it being on the charger. Plugged in my smaller HP laptop with it and it charged it perfectly.</x:v>
      </x:c>
      <x:c r="J729" s="101" t="n">
        <x:v>1</x:v>
      </x:c>
      <x:c r="K729" s="92" t="str">
        <x:v>Human_Reviewer_01</x:v>
      </x:c>
      <x:c r="L729" s="92" t="str">
        <x:v>High</x:v>
      </x:c>
      <x:c r="M729" s="93" t="str">
        <x:v>Laptop charger works with two computers, but prolonged reliability, durability, and temperature are untested.</x:v>
      </x:c>
      <x:c r="N729" s="94"/>
      <x:c r="O729" s="94"/>
      <x:c r="P729" s="94"/>
      <x:c r="Q729" s="95"/>
      <x:c r="R729" s="96"/>
      <x:c r="S729" s="96"/>
      <x:c r="T729" s="97"/>
      <x:c r="U729" s="98" t="str">
        <x:f>IF(OR(J729="",N729=""),"",IF(J729=N729,"No","Yes"))</x:f>
      </x:c>
      <x:c r="V729" s="98" t="n">
        <x:v>1</x:v>
      </x:c>
    </x:row>
    <x:row r="730" ht="54" hidden="0" customHeight="1">
      <x:c r="A730" s="38" t="str">
        <x:v>Q019::B004BHCKBK_review_442153</x:v>
      </x:c>
      <x:c r="B730" s="38" t="str">
        <x:v>Q019</x:v>
      </x:c>
      <x:c r="C730" s="91" t="str">
        <x:v>Which laptop charger is durable and works reliably without overheating?</x:v>
      </x:c>
      <x:c r="D730" s="38" t="n">
        <x:v>18</x:v>
      </x:c>
      <x:c r="E730" s="38" t="str">
        <x:v>B004BHCKBK</x:v>
      </x:c>
      <x:c r="F730" s="38" t="str">
        <x:v>review</x:v>
      </x:c>
      <x:c r="G730" s="38" t="str">
        <x:v>battery life</x:v>
      </x:c>
      <x:c r="H730" s="38" t="str">
        <x:v>Computers</x:v>
      </x:c>
      <x:c r="I730" s="91" t="str">
        <x:v>[Product: PWR+ 180W AC Adapter for Asus ROG Gaming G501JK GL551 GL552VW GL503 GL752VW G55VW G75VW FX504 N580 Zenbook Q524UQ Q534UX UX501JW UX550 UL Listed Laptop Charger Power Cord | ASIN: B004BHCKBK] Charges well and stays cool. GREAT charger. Cord is long enough I can take the computer to bed for sexy times without having to run on battery power...for the computer, that is.</x:v>
      </x:c>
      <x:c r="J730" s="101" t="n">
        <x:v>2</x:v>
      </x:c>
      <x:c r="K730" s="92" t="str">
        <x:v>Human_Reviewer_01</x:v>
      </x:c>
      <x:c r="L730" s="92" t="str">
        <x:v>High</x:v>
      </x:c>
      <x:c r="M730" s="93" t="str">
        <x:v>Laptop charger charges well and stays cool.</x:v>
      </x:c>
      <x:c r="N730" s="94"/>
      <x:c r="O730" s="94"/>
      <x:c r="P730" s="94"/>
      <x:c r="Q730" s="95"/>
      <x:c r="R730" s="96"/>
      <x:c r="S730" s="96"/>
      <x:c r="T730" s="97"/>
      <x:c r="U730" s="98" t="str">
        <x:f>IF(OR(J730="",N730=""),"",IF(J730=N730,"No","Yes"))</x:f>
      </x:c>
      <x:c r="V730" s="98" t="n">
        <x:v>2</x:v>
      </x:c>
    </x:row>
    <x:row r="731" ht="54" hidden="0" customHeight="1">
      <x:c r="A731" s="38" t="str">
        <x:v>Q019::B00281T8HK_review_1428181</x:v>
      </x:c>
      <x:c r="B731" s="38" t="str">
        <x:v>Q019</x:v>
      </x:c>
      <x:c r="C731" s="91" t="str">
        <x:v>Which laptop charger is durable and works reliably without overheating?</x:v>
      </x:c>
      <x:c r="D731" s="38" t="n">
        <x:v>19</x:v>
      </x:c>
      <x:c r="E731" s="38" t="str">
        <x:v>B00281T8HK</x:v>
      </x:c>
      <x:c r="F731" s="38" t="str">
        <x:v>review</x:v>
      </x:c>
      <x:c r="G731" s="38" t="str">
        <x:v>battery life</x:v>
      </x:c>
      <x:c r="H731" s="38" t="str">
        <x:v>Computers</x:v>
      </x:c>
      <x:c r="I731" s="91" t="str">
        <x:v>[Product: Charger for HP 15 17 Laptop Probook Elitebook Notebook: UL Listed Cord Power Adapter 250 255 430 450 640 650 840 G2 G3 G4 G5 G6 x360 M6 Chromebook 11 G4 G5 EE 14a-na0023nr 710412-001 740015-003 | ASIN: B00281T8HK] This is the first replacement adapter power supply cord that I have gotten that works reliably and does not overheat.</x:v>
      </x:c>
      <x:c r="J731" s="101" t="n">
        <x:v>2</x:v>
      </x:c>
      <x:c r="K731" s="92" t="str">
        <x:v>Human_Reviewer_01</x:v>
      </x:c>
      <x:c r="L731" s="92" t="str">
        <x:v>High</x:v>
      </x:c>
      <x:c r="M731" s="93" t="str">
        <x:v>Laptop charger explicitly works reliably without overheating.</x:v>
      </x:c>
      <x:c r="N731" s="94"/>
      <x:c r="O731" s="94"/>
      <x:c r="P731" s="94"/>
      <x:c r="Q731" s="95"/>
      <x:c r="R731" s="96"/>
      <x:c r="S731" s="96"/>
      <x:c r="T731" s="97"/>
      <x:c r="U731" s="98" t="str">
        <x:f>IF(OR(J731="",N731=""),"",IF(J731=N731,"No","Yes"))</x:f>
      </x:c>
      <x:c r="V731" s="98" t="n">
        <x:v>2</x:v>
      </x:c>
    </x:row>
    <x:row r="732" ht="54" hidden="0" customHeight="1">
      <x:c r="A732" s="38" t="str">
        <x:v>Q019::B004UGJLT6_review_3032788</x:v>
      </x:c>
      <x:c r="B732" s="38" t="str">
        <x:v>Q019</x:v>
      </x:c>
      <x:c r="C732" s="91" t="str">
        <x:v>Which laptop charger is durable and works reliably without overheating?</x:v>
      </x:c>
      <x:c r="D732" s="38" t="n">
        <x:v>20</x:v>
      </x:c>
      <x:c r="E732" s="38" t="str">
        <x:v>B004UGJLT6</x:v>
      </x:c>
      <x:c r="F732" s="38" t="str">
        <x:v>review</x:v>
      </x:c>
      <x:c r="G732" s="38" t="str">
        <x:v>general</x:v>
      </x:c>
      <x:c r="H732" s="38" t="str">
        <x:v>Computers</x:v>
      </x:c>
      <x:c r="I732" s="91" t="str">
        <x:v>[Product: AcBel Laptop Charger for HP G60-519WM G60-445DX G60-230US G60-630US G62-144DX AC Adapter Power Cord | ASIN: B004UGJLT6] /&gt;I was a little apprehensive about buying it at first, given that a good chunk of the reviews I saw had mentioned terrible overheating issues, but I have not noticed any issues in the couple of months I have been using it. I do, however, take caution to keep it in a well ventilated area under my desk, and typically only have it plugged in for three to four hours at a time. I do not know if there are any issues with long hours of use.&lt;br /&gt;&lt;br</x:v>
      </x:c>
      <x:c r="J732" s="101" t="n">
        <x:v>2</x:v>
      </x:c>
      <x:c r="K732" s="92" t="str">
        <x:v>Human_Reviewer_01</x:v>
      </x:c>
      <x:c r="L732" s="92" t="str">
        <x:v>High</x:v>
      </x:c>
      <x:c r="M732" s="93" t="str">
        <x:v>Laptop charger avoids heat issues over months of limited ventilated use; longer-use limits are explicit.</x:v>
      </x:c>
      <x:c r="N732" s="94"/>
      <x:c r="O732" s="94"/>
      <x:c r="P732" s="94"/>
      <x:c r="Q732" s="95"/>
      <x:c r="R732" s="96"/>
      <x:c r="S732" s="96"/>
      <x:c r="T732" s="97"/>
      <x:c r="U732" s="98" t="str">
        <x:f>IF(OR(J732="",N732=""),"",IF(J732=N732,"No","Yes"))</x:f>
      </x:c>
      <x:c r="V732" s="98" t="n">
        <x:v>2</x:v>
      </x:c>
    </x:row>
    <x:row r="733" ht="54" hidden="0" customHeight="1">
      <x:c r="A733" s="38" t="str">
        <x:v>Q019::B009UGAV36_review_955190</x:v>
      </x:c>
      <x:c r="B733" s="38" t="str">
        <x:v>Q019</x:v>
      </x:c>
      <x:c r="C733" s="91" t="str">
        <x:v>Which laptop charger is durable and works reliably without overheating?</x:v>
      </x:c>
      <x:c r="D733" s="38" t="n">
        <x:v>21</x:v>
      </x:c>
      <x:c r="E733" s="38" t="str">
        <x:v>B009UGAV36</x:v>
      </x:c>
      <x:c r="F733" s="38" t="str">
        <x:v>review</x:v>
      </x:c>
      <x:c r="G733" s="38" t="str">
        <x:v>general</x:v>
      </x:c>
      <x:c r="H733" s="38" t="str">
        <x:v>Computers</x:v>
      </x:c>
      <x:c r="I733" s="91" t="str">
        <x:v>[Product: Asus X550LB X550LC X550LA F450CA S451LA S301LA S451LB S301LALaptop AC Adapter Charger Power Cord | ASIN: B009UGAV36] I have had this and used it daily for almost six months now. It stays cool and never gets too hot. The cables are nice and long with very good rubber shielding on them. I am very pleased with this adapter and would recommend it to anyone who needs one without hesitation.</x:v>
      </x:c>
      <x:c r="J733" s="101" t="n">
        <x:v>2</x:v>
      </x:c>
      <x:c r="K733" s="92" t="str">
        <x:v>Human_Reviewer_01</x:v>
      </x:c>
      <x:c r="L733" s="92" t="str">
        <x:v>High</x:v>
      </x:c>
      <x:c r="M733" s="93" t="str">
        <x:v>Laptop charger stays cool during six months of daily use and has protective cable shielding.</x:v>
      </x:c>
      <x:c r="N733" s="94"/>
      <x:c r="O733" s="94"/>
      <x:c r="P733" s="94"/>
      <x:c r="Q733" s="95"/>
      <x:c r="R733" s="96"/>
      <x:c r="S733" s="96"/>
      <x:c r="T733" s="97"/>
      <x:c r="U733" s="98" t="str">
        <x:f>IF(OR(J733="",N733=""),"",IF(J733=N733,"No","Yes"))</x:f>
      </x:c>
      <x:c r="V733" s="98" t="n">
        <x:v>2</x:v>
      </x:c>
    </x:row>
    <x:row r="734" ht="54" hidden="0" customHeight="1">
      <x:c r="A734" s="38" t="str">
        <x:v>Q019::B009HAUYQO_review_1080682</x:v>
      </x:c>
      <x:c r="B734" s="38" t="str">
        <x:v>Q019</x:v>
      </x:c>
      <x:c r="C734" s="91" t="str">
        <x:v>Which laptop charger is durable and works reliably without overheating?</x:v>
      </x:c>
      <x:c r="D734" s="38" t="n">
        <x:v>22</x:v>
      </x:c>
      <x:c r="E734" s="38" t="str">
        <x:v>B009HAUYQO</x:v>
      </x:c>
      <x:c r="F734" s="38" t="str">
        <x:v>review</x:v>
      </x:c>
      <x:c r="G734" s="38" t="str">
        <x:v>general</x:v>
      </x:c>
      <x:c r="H734" s="38" t="str">
        <x:v>Computers</x:v>
      </x:c>
      <x:c r="I734" s="91" t="str">
        <x:v>[Product: Lenovo Thinkpad Edge E130 E335 E430 E435 E530 Laptop AC Adapter Charger Power Cord | ASIN: B009HAUYQO] No problems with overheating thus far, and I have had it for a few months.</x:v>
      </x:c>
      <x:c r="J734" s="101" t="n">
        <x:v>2</x:v>
      </x:c>
      <x:c r="K734" s="92" t="str">
        <x:v>Human_Reviewer_01</x:v>
      </x:c>
      <x:c r="L734" s="92" t="str">
        <x:v>High</x:v>
      </x:c>
      <x:c r="M734" s="93" t="str">
        <x:v>Laptop charger has no overheating after several months.</x:v>
      </x:c>
      <x:c r="N734" s="94"/>
      <x:c r="O734" s="94"/>
      <x:c r="P734" s="94"/>
      <x:c r="Q734" s="95"/>
      <x:c r="R734" s="96"/>
      <x:c r="S734" s="96"/>
      <x:c r="T734" s="97"/>
      <x:c r="U734" s="98" t="str">
        <x:f>IF(OR(J734="",N734=""),"",IF(J734=N734,"No","Yes"))</x:f>
      </x:c>
      <x:c r="V734" s="98" t="n">
        <x:v>2</x:v>
      </x:c>
    </x:row>
    <x:row r="735" ht="54" hidden="0" customHeight="1">
      <x:c r="A735" s="38" t="str">
        <x:v>Q019::B009Z27U5W_review_1969208</x:v>
      </x:c>
      <x:c r="B735" s="38" t="str">
        <x:v>Q019</x:v>
      </x:c>
      <x:c r="C735" s="91" t="str">
        <x:v>Which laptop charger is durable and works reliably without overheating?</x:v>
      </x:c>
      <x:c r="D735" s="38" t="n">
        <x:v>23</x:v>
      </x:c>
      <x:c r="E735" s="38" t="str">
        <x:v>B009Z27U5W</x:v>
      </x:c>
      <x:c r="F735" s="38" t="str">
        <x:v>review</x:v>
      </x:c>
      <x:c r="G735" s="38" t="str">
        <x:v>battery life</x:v>
      </x:c>
      <x:c r="H735" s="38" t="str">
        <x:v>Computers</x:v>
      </x:c>
      <x:c r="I735" s="91" t="str">
        <x:v>[Product: PWR+ 180W 150W 120W AC Adapter Compatible with Asus ROG-Gaming Laptop Charger: UL Listed Long 12Ft Power Cord G501JK GL551 GL552VW GL503 GL752VW G55VW G75VW FX504 N580 Zenbook Q524UQ Q534UX UX501JW | ASIN: B009Z27U5W] The body of the charger gets a little warm but i would not say to hot. my kids always seem to be at the end of the couch near the plug charging there devices and with this i can sit in the middle and still stay powered up!</x:v>
      </x:c>
      <x:c r="J735" s="101" t="n">
        <x:v>2</x:v>
      </x:c>
      <x:c r="K735" s="92" t="str">
        <x:v>Human_Reviewer_01</x:v>
      </x:c>
      <x:c r="L735" s="92" t="str">
        <x:v>High</x:v>
      </x:c>
      <x:c r="M735" s="93" t="str">
        <x:v>Laptop charger becomes slightly warm but not excessively hot.</x:v>
      </x:c>
      <x:c r="N735" s="94"/>
      <x:c r="O735" s="94"/>
      <x:c r="P735" s="94"/>
      <x:c r="Q735" s="95"/>
      <x:c r="R735" s="96"/>
      <x:c r="S735" s="96"/>
      <x:c r="T735" s="97"/>
      <x:c r="U735" s="98" t="str">
        <x:f>IF(OR(J735="",N735=""),"",IF(J735=N735,"No","Yes"))</x:f>
      </x:c>
      <x:c r="V735" s="98" t="n">
        <x:v>2</x:v>
      </x:c>
    </x:row>
    <x:row r="736" ht="54" hidden="0" customHeight="1">
      <x:c r="A736" s="38" t="str">
        <x:v>Q019::B00527J0OI_review_348701</x:v>
      </x:c>
      <x:c r="B736" s="38" t="str">
        <x:v>Q019</x:v>
      </x:c>
      <x:c r="C736" s="91" t="str">
        <x:v>Which laptop charger is durable and works reliably without overheating?</x:v>
      </x:c>
      <x:c r="D736" s="38" t="n">
        <x:v>24</x:v>
      </x:c>
      <x:c r="E736" s="38" t="str">
        <x:v>B00527J0OI</x:v>
      </x:c>
      <x:c r="F736" s="38" t="str">
        <x:v>review</x:v>
      </x:c>
      <x:c r="G736" s="38" t="str">
        <x:v>general</x:v>
      </x:c>
      <x:c r="H736" s="38" t="str">
        <x:v>Computers</x:v>
      </x:c>
      <x:c r="I736" s="91" t="str">
        <x:v>[Product: Pwr Laptop Charger Replacement Power Adapter 65W Compatible with Toshiba Satellite C75D C55-B5299 C55 C655 C855 L755 Radius 11 14 15 PA3714U-1ACA PA3822U-1ACA Power Supply Cord | ASIN: B00527J0OI] Heavy duty, long cord, and a does not overheat itself</x:v>
      </x:c>
      <x:c r="J736" s="101" t="n">
        <x:v>2</x:v>
      </x:c>
      <x:c r="K736" s="92" t="str">
        <x:v>Human_Reviewer_01</x:v>
      </x:c>
      <x:c r="L736" s="92" t="str">
        <x:v>High</x:v>
      </x:c>
      <x:c r="M736" s="93" t="str">
        <x:v>Laptop charger is heavy-duty and explicitly does not overheat.</x:v>
      </x:c>
      <x:c r="N736" s="94"/>
      <x:c r="O736" s="94"/>
      <x:c r="P736" s="94"/>
      <x:c r="Q736" s="95"/>
      <x:c r="R736" s="96"/>
      <x:c r="S736" s="96"/>
      <x:c r="T736" s="97"/>
      <x:c r="U736" s="98" t="str">
        <x:f>IF(OR(J736="",N736=""),"",IF(J736=N736,"No","Yes"))</x:f>
      </x:c>
      <x:c r="V736" s="98" t="n">
        <x:v>2</x:v>
      </x:c>
    </x:row>
    <x:row r="737" ht="54" hidden="0" customHeight="1">
      <x:c r="A737" s="38" t="str">
        <x:v>Q019::B010EZ2M9C_review_827734</x:v>
      </x:c>
      <x:c r="B737" s="38" t="str">
        <x:v>Q019</x:v>
      </x:c>
      <x:c r="C737" s="91" t="str">
        <x:v>Which laptop charger is durable and works reliably without overheating?</x:v>
      </x:c>
      <x:c r="D737" s="38" t="n">
        <x:v>25</x:v>
      </x:c>
      <x:c r="E737" s="38" t="str">
        <x:v>B010EZ2M9C</x:v>
      </x:c>
      <x:c r="F737" s="38" t="str">
        <x:v>review</x:v>
      </x:c>
      <x:c r="G737" s="38" t="str">
        <x:v>battery life</x:v>
      </x:c>
      <x:c r="H737" s="38" t="str">
        <x:v>Camera &amp; Photo</x:v>
      </x:c>
      <x:c r="I737" s="91" t="str">
        <x:v>[Product: XTAR VC2 Charger with LCD Screen Display for 18650 26650 Battery | ASIN: B010EZ2M9C] Charges well and reliably and I love the screen stats.</x:v>
      </x:c>
      <x:c r="J737" s="101" t="n">
        <x:v>0</x:v>
      </x:c>
      <x:c r="K737" s="92" t="str">
        <x:v>Human_Reviewer_01</x:v>
      </x:c>
      <x:c r="L737" s="92" t="str">
        <x:v>High</x:v>
      </x:c>
      <x:c r="M737" s="93" t="str">
        <x:v>This is a cylindrical-cell battery charger, not a laptop charger.</x:v>
      </x:c>
      <x:c r="N737" s="94"/>
      <x:c r="O737" s="94"/>
      <x:c r="P737" s="94"/>
      <x:c r="Q737" s="95"/>
      <x:c r="R737" s="96"/>
      <x:c r="S737" s="96"/>
      <x:c r="T737" s="97"/>
      <x:c r="U737" s="98" t="str">
        <x:f>IF(OR(J737="",N737=""),"",IF(J737=N737,"No","Yes"))</x:f>
      </x:c>
      <x:c r="V737" s="98" t="n">
        <x:v>0</x:v>
      </x:c>
    </x:row>
    <x:row r="738" ht="54" hidden="0" customHeight="1">
      <x:c r="A738" s="38" t="str">
        <x:v>Q019::B01LX8LLRD_review_1480078</x:v>
      </x:c>
      <x:c r="B738" s="38" t="str">
        <x:v>Q019</x:v>
      </x:c>
      <x:c r="C738" s="91" t="str">
        <x:v>Which laptop charger is durable and works reliably without overheating?</x:v>
      </x:c>
      <x:c r="D738" s="38" t="n">
        <x:v>26</x:v>
      </x:c>
      <x:c r="E738" s="38" t="str">
        <x:v>B01LX8LLRD</x:v>
      </x:c>
      <x:c r="F738" s="38" t="str">
        <x:v>review</x:v>
      </x:c>
      <x:c r="G738" s="38" t="str">
        <x:v>general</x:v>
      </x:c>
      <x:c r="H738" s="38" t="str">
        <x:v>Computers</x:v>
      </x:c>
      <x:c r="I738" s="91" t="str">
        <x:v>[Product: Inspiron Universal Laptop Charger, 65W 45W AC Adapter for Dell Inspiron 11 13 14 15 17 Series 3000 5000 7000 Power Supply Cord | ASIN: B01LX8LLRD] Does not appear to overheat.</x:v>
      </x:c>
      <x:c r="J738" s="101" t="n">
        <x:v>2</x:v>
      </x:c>
      <x:c r="K738" s="92" t="str">
        <x:v>Human_Reviewer_01</x:v>
      </x:c>
      <x:c r="L738" s="92" t="str">
        <x:v>Medium</x:v>
      </x:c>
      <x:c r="M738" s="93" t="str">
        <x:v>Laptop charger appears not to overheat; the observation is tentative.</x:v>
      </x:c>
      <x:c r="N738" s="94"/>
      <x:c r="O738" s="94"/>
      <x:c r="P738" s="94"/>
      <x:c r="Q738" s="95"/>
      <x:c r="R738" s="96"/>
      <x:c r="S738" s="96"/>
      <x:c r="T738" s="97"/>
      <x:c r="U738" s="98" t="str">
        <x:f>IF(OR(J738="",N738=""),"",IF(J738=N738,"No","Yes"))</x:f>
      </x:c>
      <x:c r="V738" s="98" t="n">
        <x:v>2</x:v>
      </x:c>
    </x:row>
    <x:row r="739" ht="54" hidden="0" customHeight="1">
      <x:c r="A739" s="38" t="str">
        <x:v>Q019::B009Z27U5W_review_1969205</x:v>
      </x:c>
      <x:c r="B739" s="38" t="str">
        <x:v>Q019</x:v>
      </x:c>
      <x:c r="C739" s="91" t="str">
        <x:v>Which laptop charger is durable and works reliably without overheating?</x:v>
      </x:c>
      <x:c r="D739" s="38" t="n">
        <x:v>27</x:v>
      </x:c>
      <x:c r="E739" s="38" t="str">
        <x:v>B009Z27U5W</x:v>
      </x:c>
      <x:c r="F739" s="38" t="str">
        <x:v>review</x:v>
      </x:c>
      <x:c r="G739" s="38" t="str">
        <x:v>battery life</x:v>
      </x:c>
      <x:c r="H739" s="38" t="str">
        <x:v>Computers</x:v>
      </x:c>
      <x:c r="I739" s="91" t="str">
        <x:v>[Product: PWR+ 180W 150W 120W AC Adapter Compatible with Asus ROG-Gaming Laptop Charger: UL Listed Long 12Ft Power Cord G501JK GL551 GL552VW GL503 GL752VW G55VW G75VW FX504 N580 Zenbook Q524UQ Q534UX UX501JW | ASIN: B009Z27U5W] Update - charger stopped working less than 6 months after it was purchased.&lt;br /&gt;&lt;br /&gt;Works perfectly, cord is nice and long so it reaches to the outlet. Does get hot when it is initially charging, but no hotter than the stock adapter.</x:v>
      </x:c>
      <x:c r="J739" s="101" t="n">
        <x:v>2</x:v>
      </x:c>
      <x:c r="K739" s="92" t="str">
        <x:v>Human_Reviewer_01</x:v>
      </x:c>
      <x:c r="L739" s="92" t="str">
        <x:v>High</x:v>
      </x:c>
      <x:c r="M739" s="93" t="str">
        <x:v>Laptop charger fails within six months and initially becomes hot.</x:v>
      </x:c>
      <x:c r="N739" s="94"/>
      <x:c r="O739" s="94"/>
      <x:c r="P739" s="94"/>
      <x:c r="Q739" s="95"/>
      <x:c r="R739" s="96"/>
      <x:c r="S739" s="96"/>
      <x:c r="T739" s="97"/>
      <x:c r="U739" s="98" t="str">
        <x:f>IF(OR(J739="",N739=""),"",IF(J739=N739,"No","Yes"))</x:f>
      </x:c>
      <x:c r="V739" s="98" t="n">
        <x:v>2</x:v>
      </x:c>
    </x:row>
    <x:row r="740" ht="54" hidden="0" customHeight="1">
      <x:c r="A740" s="38" t="str">
        <x:v>Q019::B06XQYW3Z8_review_2240223</x:v>
      </x:c>
      <x:c r="B740" s="38" t="str">
        <x:v>Q019</x:v>
      </x:c>
      <x:c r="C740" s="91" t="str">
        <x:v>Which laptop charger is durable and works reliably without overheating?</x:v>
      </x:c>
      <x:c r="D740" s="38" t="n">
        <x:v>28</x:v>
      </x:c>
      <x:c r="E740" s="38" t="str">
        <x:v>B06XQYW3Z8</x:v>
      </x:c>
      <x:c r="F740" s="38" t="str">
        <x:v>review</x:v>
      </x:c>
      <x:c r="G740" s="38" t="str">
        <x:v>battery life</x:v>
      </x:c>
      <x:c r="H740" s="38" t="str">
        <x:v>Computers</x:v>
      </x:c>
      <x:c r="I740" s="91" t="str">
        <x:v>[Product: AC Charger Fit for Dell Latitude 6440 E6440 14 inches Business Laptop Power Supply Adapter Cord | ASIN: B06XQYW3Z8] This charger works perfectly without ANY issues whatsoever. I have purchased others and my battery light would blink constantly, or I would get a message that the charger was not effectively charging my laptop. This charger works with NO issues, problems etc. It does what I wanted, it charges my laptop without any issues, messages, errors, etc.</x:v>
      </x:c>
      <x:c r="J740" s="101" t="n">
        <x:v>2</x:v>
      </x:c>
      <x:c r="K740" s="92" t="str">
        <x:v>Human_Reviewer_01</x:v>
      </x:c>
      <x:c r="L740" s="92" t="str">
        <x:v>High</x:v>
      </x:c>
      <x:c r="M740" s="93" t="str">
        <x:v>Laptop charger avoids charging errors observed with previous adapters and charges consistently without issues.</x:v>
      </x:c>
      <x:c r="N740" s="94"/>
      <x:c r="O740" s="94"/>
      <x:c r="P740" s="94"/>
      <x:c r="Q740" s="95"/>
      <x:c r="R740" s="96"/>
      <x:c r="S740" s="96"/>
      <x:c r="T740" s="97"/>
      <x:c r="U740" s="98" t="str">
        <x:f>IF(OR(J740="",N740=""),"",IF(J740=N740,"No","Yes"))</x:f>
      </x:c>
      <x:c r="V740" s="98" t="n">
        <x:v>2</x:v>
      </x:c>
    </x:row>
    <x:row r="741" ht="54" hidden="0" customHeight="1">
      <x:c r="A741" s="38" t="str">
        <x:v>Q019::B00RZ3ADFC_review_2195841</x:v>
      </x:c>
      <x:c r="B741" s="38" t="str">
        <x:v>Q019</x:v>
      </x:c>
      <x:c r="C741" s="91" t="str">
        <x:v>Which laptop charger is durable and works reliably without overheating?</x:v>
      </x:c>
      <x:c r="D741" s="38" t="n">
        <x:v>29</x:v>
      </x:c>
      <x:c r="E741" s="38" t="str">
        <x:v>B00RZ3ADFC</x:v>
      </x:c>
      <x:c r="F741" s="38" t="str">
        <x:v>review</x:v>
      </x:c>
      <x:c r="G741" s="38" t="str">
        <x:v>price/value</x:v>
      </x:c>
      <x:c r="H741" s="38" t="str">
        <x:v>Computers</x:v>
      </x:c>
      <x:c r="I741" s="91" t="str">
        <x:v>[Product: 3 Pack 3ft/6ft/10ft Durable Braided Flat Noodle Lightning USB SYNC Cable Charger Cord for iPhone 5 / 5C / 5S (Latest iOS Supported) iPad Mini iPod Touch 5th Air Gen (Black) | ASIN: B00RZ3ADFC] The price is fair, and the cables work reliably with my iPhone 6 and iPhone 5S. I am glad I have found them to be a highly reliable brand with very low pricing.</x:v>
      </x:c>
      <x:c r="J741" s="101" t="n">
        <x:v>0</x:v>
      </x:c>
      <x:c r="K741" s="92" t="str">
        <x:v>Human_Reviewer_01</x:v>
      </x:c>
      <x:c r="L741" s="92" t="str">
        <x:v>High</x:v>
      </x:c>
      <x:c r="M741" s="93" t="str">
        <x:v>These are phone charging cables, not laptop chargers.</x:v>
      </x:c>
      <x:c r="N741" s="94"/>
      <x:c r="O741" s="94"/>
      <x:c r="P741" s="94"/>
      <x:c r="Q741" s="95"/>
      <x:c r="R741" s="96"/>
      <x:c r="S741" s="96"/>
      <x:c r="T741" s="97"/>
      <x:c r="U741" s="98" t="str">
        <x:f>IF(OR(J741="",N741=""),"",IF(J741=N741,"No","Yes"))</x:f>
      </x:c>
      <x:c r="V741" s="98" t="n">
        <x:v>0</x:v>
      </x:c>
    </x:row>
    <x:row r="742" ht="54" hidden="0" customHeight="1">
      <x:c r="A742" s="38" t="str">
        <x:v>Q019::B001MQ89BS_review_1707776</x:v>
      </x:c>
      <x:c r="B742" s="38" t="str">
        <x:v>Q019</x:v>
      </x:c>
      <x:c r="C742" s="91" t="str">
        <x:v>Which laptop charger is durable and works reliably without overheating?</x:v>
      </x:c>
      <x:c r="D742" s="38" t="n">
        <x:v>30</x:v>
      </x:c>
      <x:c r="E742" s="38" t="str">
        <x:v>B001MQ89BS</x:v>
      </x:c>
      <x:c r="F742" s="38" t="str">
        <x:v>review</x:v>
      </x:c>
      <x:c r="G742" s="38" t="str">
        <x:v>connectivity</x:v>
      </x:c>
      <x:c r="H742" s="38" t="str">
        <x:v>Computers</x:v>
      </x:c>
      <x:c r="I742" s="91" t="str">
        <x:v>[Product: SIB Battery Charger for Acer Aspire 3600 3680 Laptop | ASIN: B001MQ89BS] Almost too hot to handle during extended periods of time connected to laptop.</x:v>
      </x:c>
      <x:c r="J742" s="101" t="n">
        <x:v>2</x:v>
      </x:c>
      <x:c r="K742" s="92" t="str">
        <x:v>Human_Reviewer_01</x:v>
      </x:c>
      <x:c r="L742" s="92" t="str">
        <x:v>High</x:v>
      </x:c>
      <x:c r="M742" s="93" t="str">
        <x:v>Laptop charger becomes nearly too hot to handle during prolonged use.</x:v>
      </x:c>
      <x:c r="N742" s="94"/>
      <x:c r="O742" s="94"/>
      <x:c r="P742" s="94"/>
      <x:c r="Q742" s="95"/>
      <x:c r="R742" s="96"/>
      <x:c r="S742" s="96"/>
      <x:c r="T742" s="97"/>
      <x:c r="U742" s="98" t="str">
        <x:f>IF(OR(J742="",N742=""),"",IF(J742=N742,"No","Yes"))</x:f>
      </x:c>
      <x:c r="V742" s="98" t="n">
        <x:v>2</x:v>
      </x:c>
    </x:row>
    <x:row r="743" ht="54" hidden="0" customHeight="1">
      <x:c r="A743" s="38" t="str">
        <x:v>Q019::B089F8YCPF_review_2475779</x:v>
      </x:c>
      <x:c r="B743" s="38" t="str">
        <x:v>Q019</x:v>
      </x:c>
      <x:c r="C743" s="91" t="str">
        <x:v>Which laptop charger is durable and works reliably without overheating?</x:v>
      </x:c>
      <x:c r="D743" s="38" t="n">
        <x:v>31</x:v>
      </x:c>
      <x:c r="E743" s="38" t="str">
        <x:v>B089F8YCPF</x:v>
      </x:c>
      <x:c r="F743" s="38" t="str">
        <x:v>review</x:v>
      </x:c>
      <x:c r="G743" s="38" t="str">
        <x:v>connectivity</x:v>
      </x:c>
      <x:c r="H743" s="38" t="str">
        <x:v>Computers</x:v>
      </x:c>
      <x:c r="I743" s="91" t="str">
        <x:v>[Product: Micro USB Cable 15ft with 3A Fast Charging, Extra Long and Extremely Durable Nylon Braided Charger Cord for Galaxy S7/S6/J8/J7 Note 5,Kindle,LG,PS4,Camera,Xbox One and More (Red) | ASIN: B089F8YCPF] the plastic cables are so stiff you cannot move your phone or tablet around without the connector wedging itself loose, which eventually ruins the hole.</x:v>
      </x:c>
      <x:c r="J743" s="101" t="n">
        <x:v>0</x:v>
      </x:c>
      <x:c r="K743" s="92" t="str">
        <x:v>Human_Reviewer_01</x:v>
      </x:c>
      <x:c r="L743" s="92" t="str">
        <x:v>High</x:v>
      </x:c>
      <x:c r="M743" s="93" t="str">
        <x:v>This is a phone or tablet micro-USB cable, not a laptop power adapter.</x:v>
      </x:c>
      <x:c r="N743" s="94"/>
      <x:c r="O743" s="94"/>
      <x:c r="P743" s="94"/>
      <x:c r="Q743" s="95"/>
      <x:c r="R743" s="96"/>
      <x:c r="S743" s="96"/>
      <x:c r="T743" s="97"/>
      <x:c r="U743" s="98" t="str">
        <x:f>IF(OR(J743="",N743=""),"",IF(J743=N743,"No","Yes"))</x:f>
      </x:c>
      <x:c r="V743" s="98" t="n">
        <x:v>0</x:v>
      </x:c>
    </x:row>
    <x:row r="744" ht="54" hidden="0" customHeight="1">
      <x:c r="A744" s="38" t="str">
        <x:v>Q019::B009VJBUEG_review_1211350</x:v>
      </x:c>
      <x:c r="B744" s="38" t="str">
        <x:v>Q019</x:v>
      </x:c>
      <x:c r="C744" s="91" t="str">
        <x:v>Which laptop charger is durable and works reliably without overheating?</x:v>
      </x:c>
      <x:c r="D744" s="38" t="n">
        <x:v>32</x:v>
      </x:c>
      <x:c r="E744" s="38" t="str">
        <x:v>B009VJBUEG</x:v>
      </x:c>
      <x:c r="F744" s="38" t="str">
        <x:v>review</x:v>
      </x:c>
      <x:c r="G744" s="38" t="str">
        <x:v>battery life</x:v>
      </x:c>
      <x:c r="H744" s="38" t="str">
        <x:v>Computers</x:v>
      </x:c>
      <x:c r="I744" s="91" t="str">
        <x:v>[Product: Pwr 65W Charger for Samsung Series 9 7 5 3 2 Chronos Laptop: UL Listed NP300U1A NP530E5M NP540U3C NP700z5c NP700z3a NP780z5e NP900X3A NP900X4C NP900X5L Chromebook AC Adapter Long Power Supply Cord | ASIN: B009VJBUEG] The power supply does not overheat.</x:v>
      </x:c>
      <x:c r="J744" s="101" t="n">
        <x:v>2</x:v>
      </x:c>
      <x:c r="K744" s="92" t="str">
        <x:v>Human_Reviewer_01</x:v>
      </x:c>
      <x:c r="L744" s="92" t="str">
        <x:v>High</x:v>
      </x:c>
      <x:c r="M744" s="93" t="str">
        <x:v>Laptop charger explicitly does not overheat.</x:v>
      </x:c>
      <x:c r="N744" s="94"/>
      <x:c r="O744" s="94"/>
      <x:c r="P744" s="94"/>
      <x:c r="Q744" s="95"/>
      <x:c r="R744" s="96"/>
      <x:c r="S744" s="96"/>
      <x:c r="T744" s="97"/>
      <x:c r="U744" s="98" t="str">
        <x:f>IF(OR(J744="",N744=""),"",IF(J744=N744,"No","Yes"))</x:f>
      </x:c>
      <x:c r="V744" s="98" t="n">
        <x:v>2</x:v>
      </x:c>
    </x:row>
    <x:row r="745" ht="54" hidden="0" customHeight="1">
      <x:c r="A745" s="38" t="str">
        <x:v>Q019::B00CU4LDLE_review_857839</x:v>
      </x:c>
      <x:c r="B745" s="38" t="str">
        <x:v>Q019</x:v>
      </x:c>
      <x:c r="C745" s="91" t="str">
        <x:v>Which laptop charger is durable and works reliably without overheating?</x:v>
      </x:c>
      <x:c r="D745" s="38" t="n">
        <x:v>33</x:v>
      </x:c>
      <x:c r="E745" s="38" t="str">
        <x:v>B00CU4LDLE</x:v>
      </x:c>
      <x:c r="F745" s="38" t="str">
        <x:v>review</x:v>
      </x:c>
      <x:c r="G745" s="38" t="str">
        <x:v>general</x:v>
      </x:c>
      <x:c r="H745" s="38" t="str">
        <x:v>Computers</x:v>
      </x:c>
      <x:c r="I745" s="91" t="str">
        <x:v>[Product: Toshiba Satellite C660D C670D C850D L55T L955 L70-B Laptop Notebook AC Adapter Charger | ASIN: B00CU4LDLE] It severely overheats. I was afraid of getting burned or it damaging my laptop.</x:v>
      </x:c>
      <x:c r="J745" s="101" t="n">
        <x:v>2</x:v>
      </x:c>
      <x:c r="K745" s="92" t="str">
        <x:v>Human_Reviewer_01</x:v>
      </x:c>
      <x:c r="L745" s="92" t="str">
        <x:v>High</x:v>
      </x:c>
      <x:c r="M745" s="93" t="str">
        <x:v>Laptop charger severely overheats and raises concerns about burns and damage.</x:v>
      </x:c>
      <x:c r="N745" s="94"/>
      <x:c r="O745" s="94"/>
      <x:c r="P745" s="94"/>
      <x:c r="Q745" s="95"/>
      <x:c r="R745" s="96"/>
      <x:c r="S745" s="96"/>
      <x:c r="T745" s="97"/>
      <x:c r="U745" s="98" t="str">
        <x:f>IF(OR(J745="",N745=""),"",IF(J745=N745,"No","Yes"))</x:f>
      </x:c>
      <x:c r="V745" s="98" t="n">
        <x:v>2</x:v>
      </x:c>
    </x:row>
    <x:row r="746" ht="54" hidden="0" customHeight="1">
      <x:c r="A746" s="38" t="str">
        <x:v>Q019::B00SCOF1QE_review_2654496</x:v>
      </x:c>
      <x:c r="B746" s="38" t="str">
        <x:v>Q019</x:v>
      </x:c>
      <x:c r="C746" s="91" t="str">
        <x:v>Which laptop charger is durable and works reliably without overheating?</x:v>
      </x:c>
      <x:c r="D746" s="38" t="n">
        <x:v>34</x:v>
      </x:c>
      <x:c r="E746" s="38" t="str">
        <x:v>B00SCOF1QE</x:v>
      </x:c>
      <x:c r="F746" s="38" t="str">
        <x:v>review</x:v>
      </x:c>
      <x:c r="G746" s="38" t="str">
        <x:v>battery life</x:v>
      </x:c>
      <x:c r="H746" s="38" t="str">
        <x:v>Computers</x:v>
      </x:c>
      <x:c r="I746" s="91" t="str">
        <x:v>[Product: AC Adapter for Verizon Jetpack 4G LTE Mobile Hotspot MiFi 4510L ; Verizon Jetpack 4G LTE Mobile Hotspot MiFi 4620LE 4620L 890L ; Jetpack 4G LTE Mobile Hotspot-890L Power Charger | ASIN: B00SCOF1QE] Works perfectly with my Verizon Jetpack, charges it reliably and quickly</x:v>
      </x:c>
      <x:c r="J746" s="101" t="n">
        <x:v>0</x:v>
      </x:c>
      <x:c r="K746" s="92" t="str">
        <x:v>Human_Reviewer_01</x:v>
      </x:c>
      <x:c r="L746" s="92" t="str">
        <x:v>High</x:v>
      </x:c>
      <x:c r="M746" s="93" t="str">
        <x:v>This is a mobile-hotspot charger, not a laptop charger.</x:v>
      </x:c>
      <x:c r="N746" s="94"/>
      <x:c r="O746" s="94"/>
      <x:c r="P746" s="94"/>
      <x:c r="Q746" s="95"/>
      <x:c r="R746" s="96"/>
      <x:c r="S746" s="96"/>
      <x:c r="T746" s="97"/>
      <x:c r="U746" s="98" t="str">
        <x:f>IF(OR(J746="",N746=""),"",IF(J746=N746,"No","Yes"))</x:f>
      </x:c>
      <x:c r="V746" s="98" t="n">
        <x:v>0</x:v>
      </x:c>
    </x:row>
    <x:row r="747" ht="54" hidden="0" customHeight="1">
      <x:c r="A747" s="38" t="str">
        <x:v>Q019::B009XN91BY_review_2340183</x:v>
      </x:c>
      <x:c r="B747" s="38" t="str">
        <x:v>Q019</x:v>
      </x:c>
      <x:c r="C747" s="91" t="str">
        <x:v>Which laptop charger is durable and works reliably without overheating?</x:v>
      </x:c>
      <x:c r="D747" s="38" t="n">
        <x:v>35</x:v>
      </x:c>
      <x:c r="E747" s="38" t="str">
        <x:v>B009XN91BY</x:v>
      </x:c>
      <x:c r="F747" s="38" t="str">
        <x:v>review</x:v>
      </x:c>
      <x:c r="G747" s="38" t="str">
        <x:v>specifications/performance</x:v>
      </x:c>
      <x:c r="H747" s="38" t="str">
        <x:v>Computers</x:v>
      </x:c>
      <x:c r="I747" s="91" t="str">
        <x:v>[Product: Microsoft Surface Touch Cover for Surface and Surface 2 tablets - Touch Keyboard without Keys (White) | ASIN: B009XN91BY] As opposed to the Type Cover, the Touch Cover's keyboard works reliably on any surface, and the touchpad actually feels much more responsive, especially with two-finger scrolling.</x:v>
      </x:c>
      <x:c r="J747" s="101" t="n">
        <x:v>0</x:v>
      </x:c>
      <x:c r="K747" s="92" t="str">
        <x:v>Human_Reviewer_01</x:v>
      </x:c>
      <x:c r="L747" s="92" t="str">
        <x:v>High</x:v>
      </x:c>
      <x:c r="M747" s="93" t="str">
        <x:v>This is a tablet keyboard cover, not a laptop charger.</x:v>
      </x:c>
      <x:c r="N747" s="94"/>
      <x:c r="O747" s="94"/>
      <x:c r="P747" s="94"/>
      <x:c r="Q747" s="95"/>
      <x:c r="R747" s="96"/>
      <x:c r="S747" s="96"/>
      <x:c r="T747" s="97"/>
      <x:c r="U747" s="98" t="str">
        <x:f>IF(OR(J747="",N747=""),"",IF(J747=N747,"No","Yes"))</x:f>
      </x:c>
      <x:c r="V747" s="98" t="n">
        <x:v>0</x:v>
      </x:c>
    </x:row>
    <x:row r="748" ht="54" hidden="0" customHeight="1">
      <x:c r="A748" s="38" t="str">
        <x:v>Q019::B08GY7QFBC_review_3153724</x:v>
      </x:c>
      <x:c r="B748" s="38" t="str">
        <x:v>Q019</x:v>
      </x:c>
      <x:c r="C748" s="91" t="str">
        <x:v>Which laptop charger is durable and works reliably without overheating?</x:v>
      </x:c>
      <x:c r="D748" s="38" t="n">
        <x:v>36</x:v>
      </x:c>
      <x:c r="E748" s="38" t="str">
        <x:v>B08GY7QFBC</x:v>
      </x:c>
      <x:c r="F748" s="38" t="str">
        <x:v>review</x:v>
      </x:c>
      <x:c r="G748" s="38" t="str">
        <x:v>build quality</x:v>
      </x:c>
      <x:c r="H748" s="38" t="str">
        <x:v>Computers</x:v>
      </x:c>
      <x:c r="I748" s="91" t="str">
        <x:v>[Product: Electronics Accessories Case, Durable Small Electronics Accessories Storage Bag Compatible Laptop Charger Various USB, Cables, Cords and Power Travel Gadget Carry Bag, Dark Gray(Small+Big) | ASIN: B08GY7QFBC] Its sturdy materials looks expensive and durable</x:v>
      </x:c>
      <x:c r="J748" s="101" t="n">
        <x:v>0</x:v>
      </x:c>
      <x:c r="K748" s="92" t="str">
        <x:v>Human_Reviewer_01</x:v>
      </x:c>
      <x:c r="L748" s="92" t="str">
        <x:v>High</x:v>
      </x:c>
      <x:c r="M748" s="93" t="str">
        <x:v>This is a charger storage bag, not a laptop charger.</x:v>
      </x:c>
      <x:c r="N748" s="94"/>
      <x:c r="O748" s="94"/>
      <x:c r="P748" s="94"/>
      <x:c r="Q748" s="95"/>
      <x:c r="R748" s="96"/>
      <x:c r="S748" s="96"/>
      <x:c r="T748" s="97"/>
      <x:c r="U748" s="98" t="str">
        <x:f>IF(OR(J748="",N748=""),"",IF(J748=N748,"No","Yes"))</x:f>
      </x:c>
      <x:c r="V748" s="98" t="n">
        <x:v>0</x:v>
      </x:c>
    </x:row>
    <x:row r="749" ht="54" hidden="0" customHeight="1">
      <x:c r="A749" s="38" t="str">
        <x:v>Q019::B0BC8KN2LN_review_390046</x:v>
      </x:c>
      <x:c r="B749" s="38" t="str">
        <x:v>Q019</x:v>
      </x:c>
      <x:c r="C749" s="91" t="str">
        <x:v>Which laptop charger is durable and works reliably without overheating?</x:v>
      </x:c>
      <x:c r="D749" s="38" t="n">
        <x:v>37</x:v>
      </x:c>
      <x:c r="E749" s="38" t="str">
        <x:v>B0BC8KN2LN</x:v>
      </x:c>
      <x:c r="F749" s="38" t="str">
        <x:v>review</x:v>
      </x:c>
      <x:c r="G749" s="38" t="str">
        <x:v>connectivity</x:v>
      </x:c>
      <x:c r="H749" s="38" t="str">
        <x:v>Computers</x:v>
      </x:c>
      <x:c r="I749" s="91" t="str">
        <x:v>[Product: Sony MRWG2 CFexpress Card Reader | ASIN: B0BC8KN2LN] It is metal, connects without issue, works consistently and reliably even to the point of being a permanently connected device, and is very fast.&lt;br /&gt;&lt;br /&gt;Does</x:v>
      </x:c>
      <x:c r="J749" s="101" t="n">
        <x:v>0</x:v>
      </x:c>
      <x:c r="K749" s="92" t="str">
        <x:v>Human_Reviewer_01</x:v>
      </x:c>
      <x:c r="L749" s="92" t="str">
        <x:v>High</x:v>
      </x:c>
      <x:c r="M749" s="93" t="str">
        <x:v>This is a memory-card reader, not a laptop charger.</x:v>
      </x:c>
      <x:c r="N749" s="94"/>
      <x:c r="O749" s="94"/>
      <x:c r="P749" s="94"/>
      <x:c r="Q749" s="95"/>
      <x:c r="R749" s="96"/>
      <x:c r="S749" s="96"/>
      <x:c r="T749" s="97"/>
      <x:c r="U749" s="98" t="str">
        <x:f>IF(OR(J749="",N749=""),"",IF(J749=N749,"No","Yes"))</x:f>
      </x:c>
      <x:c r="V749" s="98" t="n">
        <x:v>0</x:v>
      </x:c>
    </x:row>
    <x:row r="750" ht="54" hidden="0" customHeight="1">
      <x:c r="A750" s="38" t="str">
        <x:v>Q019::B08M9Y9XFC_review_3257463</x:v>
      </x:c>
      <x:c r="B750" s="38" t="str">
        <x:v>Q019</x:v>
      </x:c>
      <x:c r="C750" s="91" t="str">
        <x:v>Which laptop charger is durable and works reliably without overheating?</x:v>
      </x:c>
      <x:c r="D750" s="38" t="n">
        <x:v>38</x:v>
      </x:c>
      <x:c r="E750" s="38" t="str">
        <x:v>B08M9Y9XFC</x:v>
      </x:c>
      <x:c r="F750" s="38" t="str">
        <x:v>review</x:v>
      </x:c>
      <x:c r="G750" s="38" t="str">
        <x:v>specifications/performance</x:v>
      </x:c>
      <x:c r="H750" s="38" t="str">
        <x:v>Cell Phones &amp; Accessories</x:v>
      </x:c>
      <x:c r="I750" s="91" t="str">
        <x:v>[Product: Wishinkle Laptop Charger, 45W 19.5V 2.31A AC Computer Charger Power Cord with 10 Optional Connectors Compatible with Asus Toshiba Lenovo Acer Dell HP Samsung ThinkPad | ASIN: B08M9Y9XFC] but it gets overheated too fast</x:v>
      </x:c>
      <x:c r="J750" s="101" t="n">
        <x:v>2</x:v>
      </x:c>
      <x:c r="K750" s="92" t="str">
        <x:v>Human_Reviewer_01</x:v>
      </x:c>
      <x:c r="L750" s="92" t="str">
        <x:v>High</x:v>
      </x:c>
      <x:c r="M750" s="93" t="str">
        <x:v>Laptop charger explicitly overheats too quickly.</x:v>
      </x:c>
      <x:c r="N750" s="94"/>
      <x:c r="O750" s="94"/>
      <x:c r="P750" s="94"/>
      <x:c r="Q750" s="95"/>
      <x:c r="R750" s="96"/>
      <x:c r="S750" s="96"/>
      <x:c r="T750" s="97"/>
      <x:c r="U750" s="98" t="str">
        <x:f>IF(OR(J750="",N750=""),"",IF(J750=N750,"No","Yes"))</x:f>
      </x:c>
      <x:c r="V750" s="98" t="n">
        <x:v>2</x:v>
      </x:c>
    </x:row>
    <x:row r="751" ht="54" hidden="0" customHeight="1">
      <x:c r="A751" s="38" t="str">
        <x:v>Q019::B004P616IU_review_1905089</x:v>
      </x:c>
      <x:c r="B751" s="38" t="str">
        <x:v>Q019</x:v>
      </x:c>
      <x:c r="C751" s="91" t="str">
        <x:v>Which laptop charger is durable and works reliably without overheating?</x:v>
      </x:c>
      <x:c r="D751" s="38" t="n">
        <x:v>39</x:v>
      </x:c>
      <x:c r="E751" s="38" t="str">
        <x:v>B004P616IU</x:v>
      </x:c>
      <x:c r="F751" s="38" t="str">
        <x:v>review</x:v>
      </x:c>
      <x:c r="G751" s="38" t="str">
        <x:v>battery life</x:v>
      </x:c>
      <x:c r="H751" s="38" t="str">
        <x:v>Camera &amp; Photo</x:v>
      </x:c>
      <x:c r="I751" s="91" t="str">
        <x:v>[Product: Durable Digital Camera Neoprene Case by USA Gear - Works With Canon EOS M3 , PowerShot SX710 HS , G7 X and More Canon Cameras *Bonus Card Reader* | ASIN: B004P616IU] I can pull down one side and get to the charger socket on the side without having to take the camera out of the case.</x:v>
      </x:c>
      <x:c r="J751" s="101" t="n">
        <x:v>0</x:v>
      </x:c>
      <x:c r="K751" s="92" t="str">
        <x:v>Human_Reviewer_01</x:v>
      </x:c>
      <x:c r="L751" s="92" t="str">
        <x:v>High</x:v>
      </x:c>
      <x:c r="M751" s="93" t="str">
        <x:v>This is a camera case, not a laptop charger.</x:v>
      </x:c>
      <x:c r="N751" s="94"/>
      <x:c r="O751" s="94"/>
      <x:c r="P751" s="94"/>
      <x:c r="Q751" s="95"/>
      <x:c r="R751" s="96"/>
      <x:c r="S751" s="96"/>
      <x:c r="T751" s="97"/>
      <x:c r="U751" s="98" t="str">
        <x:f>IF(OR(J751="",N751=""),"",IF(J751=N751,"No","Yes"))</x:f>
      </x:c>
      <x:c r="V751" s="98" t="n">
        <x:v>0</x:v>
      </x:c>
    </x:row>
    <x:row r="752" ht="54" hidden="0" customHeight="1">
      <x:c r="A752" s="38" t="str">
        <x:v>Q019::B00G0URWNW_review_2886234</x:v>
      </x:c>
      <x:c r="B752" s="38" t="str">
        <x:v>Q019</x:v>
      </x:c>
      <x:c r="C752" s="91" t="str">
        <x:v>Which laptop charger is durable and works reliably without overheating?</x:v>
      </x:c>
      <x:c r="D752" s="38" t="n">
        <x:v>40</x:v>
      </x:c>
      <x:c r="E752" s="38" t="str">
        <x:v>B00G0URWNW</x:v>
      </x:c>
      <x:c r="F752" s="38" t="str">
        <x:v>review</x:v>
      </x:c>
      <x:c r="G752" s="38" t="str">
        <x:v>battery life</x:v>
      </x:c>
      <x:c r="H752" s="38" t="str">
        <x:v>Computers</x:v>
      </x:c>
      <x:c r="I752" s="91" t="str">
        <x:v>[Product: Laptop Charger for Lenovo Ideapad 300 300S 305 500 500S Flex 2 Flex 3 Flex 10 Flex 14 Yoga 11 11S PA-1650-72 Laptop Charger AC Adapter Power Supply Cord Cable Adapter Power Supply | ASIN: B00G0URWNW] I would prefer buying new shoes but my last charger broke and I would rather be without shoes than without my Lenovo laptop! The charger works great and I am very happy with it.</x:v>
      </x:c>
      <x:c r="J752" s="101" t="n">
        <x:v>1</x:v>
      </x:c>
      <x:c r="K752" s="92" t="str">
        <x:v>Human_Reviewer_01</x:v>
      </x:c>
      <x:c r="L752" s="92" t="str">
        <x:v>High</x:v>
      </x:c>
      <x:c r="M752" s="93" t="str">
        <x:v>Laptop charger works generally, but temperature and durability are not tested.</x:v>
      </x:c>
      <x:c r="N752" s="94"/>
      <x:c r="O752" s="94"/>
      <x:c r="P752" s="94"/>
      <x:c r="Q752" s="95"/>
      <x:c r="R752" s="96"/>
      <x:c r="S752" s="96"/>
      <x:c r="T752" s="97"/>
      <x:c r="U752" s="98" t="str">
        <x:f>IF(OR(J752="",N752=""),"",IF(J752=N752,"No","Yes"))</x:f>
      </x:c>
      <x:c r="V752" s="98" t="n">
        <x:v>1</x:v>
      </x:c>
    </x:row>
    <x:row r="753" ht="54" hidden="0" customHeight="1">
      <x:c r="A753" s="38" t="str">
        <x:v>Q020::B00MTITJ94_review_2659474</x:v>
      </x:c>
      <x:c r="B753" s="38" t="str">
        <x:v>Q020</x:v>
      </x:c>
      <x:c r="C753" s="91" t="str">
        <x:v>Find electronics products with responsive warranty support and straightforward replacements.</x:v>
      </x:c>
      <x:c r="D753" s="38" t="n">
        <x:v>1</x:v>
      </x:c>
      <x:c r="E753" s="38" t="str">
        <x:v>B00MTITJ94</x:v>
      </x:c>
      <x:c r="F753" s="38" t="str">
        <x:v>review</x:v>
      </x:c>
      <x:c r="G753" s="38" t="str">
        <x:v>specifications/performance</x:v>
      </x:c>
      <x:c r="H753" s="38" t="str">
        <x:v>Computers</x:v>
      </x:c>
      <x:c r="I753" s="91" t="str">
        <x:v>[Product: LG Electronics E10 LGV700 10.1-Inch Tablet | ASIN: B00MTITJ94] It is responsive to the touch and fast to process.</x:v>
      </x:c>
      <x:c r="J753" s="101" t="n">
        <x:v>0</x:v>
      </x:c>
      <x:c r="K753" s="92" t="str">
        <x:v>Human_Reviewer_01</x:v>
      </x:c>
      <x:c r="L753" s="92" t="str">
        <x:v>High</x:v>
      </x:c>
      <x:c r="M753" s="93" t="str">
        <x:v>Responsiveness describes touchscreen processing, not warranty support.</x:v>
      </x:c>
      <x:c r="N753" s="94"/>
      <x:c r="O753" s="94"/>
      <x:c r="P753" s="94"/>
      <x:c r="Q753" s="95"/>
      <x:c r="R753" s="96"/>
      <x:c r="S753" s="96"/>
      <x:c r="T753" s="97"/>
      <x:c r="U753" s="98" t="str">
        <x:f>IF(OR(J753="",N753=""),"",IF(J753=N753,"No","Yes"))</x:f>
      </x:c>
      <x:c r="V753" s="98" t="n">
        <x:v>0</x:v>
      </x:c>
    </x:row>
    <x:row r="754" ht="54" hidden="0" customHeight="1">
      <x:c r="A754" s="38" t="str">
        <x:v>Q020::B0000C8WP9_review_1129047</x:v>
      </x:c>
      <x:c r="B754" s="38" t="str">
        <x:v>Q020</x:v>
      </x:c>
      <x:c r="C754" s="91" t="str">
        <x:v>Find electronics products with responsive warranty support and straightforward replacements.</x:v>
      </x:c>
      <x:c r="D754" s="38" t="n">
        <x:v>2</x:v>
      </x:c>
      <x:c r="E754" s="38" t="str">
        <x:v>B0000C8WP9</x:v>
      </x:c>
      <x:c r="F754" s="38" t="str">
        <x:v>review</x:v>
      </x:c>
      <x:c r="G754" s="38" t="str">
        <x:v>customer service</x:v>
      </x:c>
      <x:c r="H754" s="38" t="str">
        <x:v>Camera &amp; Photo</x:v>
      </x:c>
      <x:c r="I754" s="91" t="str">
        <x:v>[Product: Ceiva Advanced Digital Photo Receiver | ASIN: B0000C8WP9] I was able to find the information I needed online and customer support was responsive to my email. I have not tried to reach customer support by phone</x:v>
      </x:c>
      <x:c r="J754" s="101" t="n">
        <x:v>1</x:v>
      </x:c>
      <x:c r="K754" s="92" t="str">
        <x:v>Human_Reviewer_01</x:v>
      </x:c>
      <x:c r="L754" s="92" t="str">
        <x:v>High</x:v>
      </x:c>
      <x:c r="M754" s="93" t="str">
        <x:v>Photo-device support responds to email, but warranty assistance and replacement handling are not described.</x:v>
      </x:c>
      <x:c r="N754" s="94"/>
      <x:c r="O754" s="94"/>
      <x:c r="P754" s="94"/>
      <x:c r="Q754" s="95"/>
      <x:c r="R754" s="96"/>
      <x:c r="S754" s="96"/>
      <x:c r="T754" s="97"/>
      <x:c r="U754" s="98" t="str">
        <x:f>IF(OR(J754="",N754=""),"",IF(J754=N754,"No","Yes"))</x:f>
      </x:c>
      <x:c r="V754" s="98" t="n">
        <x:v>1</x:v>
      </x:c>
    </x:row>
    <x:row r="755" ht="54" hidden="0" customHeight="1">
      <x:c r="A755" s="38" t="str">
        <x:v>Q020::B00EJGW5R2_review_1006325</x:v>
      </x:c>
      <x:c r="B755" s="38" t="str">
        <x:v>Q020</x:v>
      </x:c>
      <x:c r="C755" s="91" t="str">
        <x:v>Find electronics products with responsive warranty support and straightforward replacements.</x:v>
      </x:c>
      <x:c r="D755" s="38" t="n">
        <x:v>3</x:v>
      </x:c>
      <x:c r="E755" s="38" t="str">
        <x:v>B00EJGW5R2</x:v>
      </x:c>
      <x:c r="F755" s="38" t="str">
        <x:v>review</x:v>
      </x:c>
      <x:c r="G755" s="38" t="str">
        <x:v>customer service</x:v>
      </x:c>
      <x:c r="H755" s="38" t="str">
        <x:v>Computers</x:v>
      </x:c>
      <x:c r="I755" s="91" t="str">
        <x:v>[Product: WD 1 TB 3.5-Inch Network NAS WDBMMA0010HNC-NRSN | ASIN: B00EJGW5R2] I used to do desk side support back in the day and we always used WD hard drives for upgrades and replacements.</x:v>
      </x:c>
      <x:c r="J755" s="101" t="n">
        <x:v>0</x:v>
      </x:c>
      <x:c r="K755" s="92" t="str">
        <x:v>Human_Reviewer_01</x:v>
      </x:c>
      <x:c r="L755" s="92" t="str">
        <x:v>High</x:v>
      </x:c>
      <x:c r="M755" s="93" t="str">
        <x:v>Replacements describe historical drive upgrades, not manufacturer warranty service.</x:v>
      </x:c>
      <x:c r="N755" s="94"/>
      <x:c r="O755" s="94"/>
      <x:c r="P755" s="94"/>
      <x:c r="Q755" s="95"/>
      <x:c r="R755" s="96"/>
      <x:c r="S755" s="96"/>
      <x:c r="T755" s="97"/>
      <x:c r="U755" s="98" t="str">
        <x:f>IF(OR(J755="",N755=""),"",IF(J755=N755,"No","Yes"))</x:f>
      </x:c>
      <x:c r="V755" s="98" t="n">
        <x:v>0</x:v>
      </x:c>
    </x:row>
    <x:row r="756" ht="54" hidden="0" customHeight="1">
      <x:c r="A756" s="38" t="str">
        <x:v>Q020::B00BXUYDMM_review_1821979</x:v>
      </x:c>
      <x:c r="B756" s="38" t="str">
        <x:v>Q020</x:v>
      </x:c>
      <x:c r="C756" s="91" t="str">
        <x:v>Find electronics products with responsive warranty support and straightforward replacements.</x:v>
      </x:c>
      <x:c r="D756" s="38" t="n">
        <x:v>4</x:v>
      </x:c>
      <x:c r="E756" s="38" t="str">
        <x:v>B00BXUYDMM</x:v>
      </x:c>
      <x:c r="F756" s="38" t="str">
        <x:v>review</x:v>
      </x:c>
      <x:c r="G756" s="38" t="str">
        <x:v>customer service</x:v>
      </x:c>
      <x:c r="H756" s="38" t="str">
        <x:v>Computers</x:v>
      </x:c>
      <x:c r="I756" s="91" t="str">
        <x:v>[Product: DHT Electronics RF coaxial Connector Adapter SMA Male coaxial Termination Loads 1W DC- 3.0GHz 50 ohm Pack of 2 | ASIN: B00BXUYDMM] It read 51 ohms.&lt;br /&gt;&lt;br /&gt;I returned the first four and requested replacements. In all I returned all eight and am awaiting a refund.</x:v>
      </x:c>
      <x:c r="J756" s="101" t="n">
        <x:v>1</x:v>
      </x:c>
      <x:c r="K756" s="92" t="str">
        <x:v>Human_Reviewer_01</x:v>
      </x:c>
      <x:c r="L756" s="92" t="str">
        <x:v>High</x:v>
      </x:c>
      <x:c r="M756" s="93" t="str">
        <x:v>Returns and replacement requests are described, but warranty response and process ease are unclear.</x:v>
      </x:c>
      <x:c r="N756" s="94"/>
      <x:c r="O756" s="94"/>
      <x:c r="P756" s="94"/>
      <x:c r="Q756" s="95"/>
      <x:c r="R756" s="96"/>
      <x:c r="S756" s="96"/>
      <x:c r="T756" s="97"/>
      <x:c r="U756" s="98" t="str">
        <x:f>IF(OR(J756="",N756=""),"",IF(J756=N756,"No","Yes"))</x:f>
      </x:c>
      <x:c r="V756" s="98" t="n">
        <x:v>1</x:v>
      </x:c>
    </x:row>
    <x:row r="757" ht="54" hidden="0" customHeight="1">
      <x:c r="A757" s="38" t="str">
        <x:v>Q020::B007PBPYVC_review_1795261</x:v>
      </x:c>
      <x:c r="B757" s="38" t="str">
        <x:v>Q020</x:v>
      </x:c>
      <x:c r="C757" s="91" t="str">
        <x:v>Find electronics products with responsive warranty support and straightforward replacements.</x:v>
      </x:c>
      <x:c r="D757" s="38" t="n">
        <x:v>5</x:v>
      </x:c>
      <x:c r="E757" s="38" t="str">
        <x:v>B007PBPYVC</x:v>
      </x:c>
      <x:c r="F757" s="38" t="str">
        <x:v>review</x:v>
      </x:c>
      <x:c r="G757" s="38" t="str">
        <x:v>general</x:v>
      </x:c>
      <x:c r="H757" s="38" t="str">
        <x:v>Computers</x:v>
      </x:c>
      <x:c r="I757" s="91" t="str">
        <x:v>[Product: Exxact Parts Solution Replacement for Acer AS10D31 AS10D81 AS10D51 AS10D41 AS10D61 AS10D73 AS10D75 5750 AS10D71 5742 AS10D56 E1-531 5250 E1-571 5733 7741 5733 5755 | ASIN: B007PBPYVC] Works well. I purchased for an old laptop of mine because I do not want to buy another.</x:v>
      </x:c>
      <x:c r="J757" s="101" t="n">
        <x:v>0</x:v>
      </x:c>
      <x:c r="K757" s="92" t="str">
        <x:v>Human_Reviewer_01</x:v>
      </x:c>
      <x:c r="L757" s="92" t="str">
        <x:v>High</x:v>
      </x:c>
      <x:c r="M757" s="93" t="str">
        <x:v>Replacement battery operation is described, not warranty support.</x:v>
      </x:c>
      <x:c r="N757" s="94"/>
      <x:c r="O757" s="94"/>
      <x:c r="P757" s="94"/>
      <x:c r="Q757" s="95"/>
      <x:c r="R757" s="96"/>
      <x:c r="S757" s="96"/>
      <x:c r="T757" s="97"/>
      <x:c r="U757" s="98" t="str">
        <x:f>IF(OR(J757="",N757=""),"",IF(J757=N757,"No","Yes"))</x:f>
      </x:c>
      <x:c r="V757" s="98" t="n">
        <x:v>0</x:v>
      </x:c>
    </x:row>
    <x:row r="758" ht="54" hidden="0" customHeight="1">
      <x:c r="A758" s="38" t="str">
        <x:v>Q020::B002OHDFOA_review_3597106</x:v>
      </x:c>
      <x:c r="B758" s="38" t="str">
        <x:v>Q020</x:v>
      </x:c>
      <x:c r="C758" s="91" t="str">
        <x:v>Find electronics products with responsive warranty support and straightforward replacements.</x:v>
      </x:c>
      <x:c r="D758" s="38" t="n">
        <x:v>6</x:v>
      </x:c>
      <x:c r="E758" s="38" t="str">
        <x:v>B002OHDFOA</x:v>
      </x:c>
      <x:c r="F758" s="38" t="str">
        <x:v>review</x:v>
      </x:c>
      <x:c r="G758" s="38" t="str">
        <x:v>customer service</x:v>
      </x:c>
      <x:c r="H758" s="38" t="str">
        <x:v>Camera &amp; Photo</x:v>
      </x:c>
      <x:c r="I758" s="91" t="str">
        <x:v>[Product: Linksys Wireless-N Internet Home Monitoring Camera | ASIN: B002OHDFOA] nope.&lt;br /&gt;&lt;br /&gt;I contact Cisco customer support and am told that both cameras are defective. So I start the RMA process and make sure that I can be guaranteed working replacements. Unfortunately, not a single person is able to guarantee me working replacements.</x:v>
      </x:c>
      <x:c r="J758" s="101" t="n">
        <x:v>2</x:v>
      </x:c>
      <x:c r="K758" s="92" t="str">
        <x:v>Human_Reviewer_01</x:v>
      </x:c>
      <x:c r="L758" s="92" t="str">
        <x:v>High</x:v>
      </x:c>
      <x:c r="M758" s="93" t="str">
        <x:v>Camera RMA support cannot guarantee working replacements; direct negative warranty evidence.</x:v>
      </x:c>
      <x:c r="N758" s="94"/>
      <x:c r="O758" s="94"/>
      <x:c r="P758" s="94"/>
      <x:c r="Q758" s="95"/>
      <x:c r="R758" s="96"/>
      <x:c r="S758" s="96"/>
      <x:c r="T758" s="97"/>
      <x:c r="U758" s="98" t="str">
        <x:f>IF(OR(J758="",N758=""),"",IF(J758=N758,"No","Yes"))</x:f>
      </x:c>
      <x:c r="V758" s="98" t="n">
        <x:v>2</x:v>
      </x:c>
    </x:row>
    <x:row r="759" ht="54" hidden="0" customHeight="1">
      <x:c r="A759" s="38" t="str">
        <x:v>Q020::B008COCW48_review_248950</x:v>
      </x:c>
      <x:c r="B759" s="38" t="str">
        <x:v>Q020</x:v>
      </x:c>
      <x:c r="C759" s="91" t="str">
        <x:v>Find electronics products with responsive warranty support and straightforward replacements.</x:v>
      </x:c>
      <x:c r="D759" s="38" t="n">
        <x:v>7</x:v>
      </x:c>
      <x:c r="E759" s="38" t="str">
        <x:v>B008COCW48</x:v>
      </x:c>
      <x:c r="F759" s="38" t="str">
        <x:v>review</x:v>
      </x:c>
      <x:c r="G759" s="38" t="str">
        <x:v>price/value</x:v>
      </x:c>
      <x:c r="H759" s="38" t="str">
        <x:v>Portable Audio &amp; Accessories</x:v>
      </x:c>
      <x:c r="I759" s="91" t="str">
        <x:v>[Product: Replacement LCD and Digitizer Screen For iPod Nano 6th Gen Generation -Tools Included | ASIN: B008COCW48] Very inexpensive repair.</x:v>
      </x:c>
      <x:c r="J759" s="101" t="n">
        <x:v>0</x:v>
      </x:c>
      <x:c r="K759" s="92" t="str">
        <x:v>Human_Reviewer_01</x:v>
      </x:c>
      <x:c r="L759" s="92" t="str">
        <x:v>High</x:v>
      </x:c>
      <x:c r="M759" s="93" t="str">
        <x:v>DIY replacement-screen repair price does not describe warranty service.</x:v>
      </x:c>
      <x:c r="N759" s="94"/>
      <x:c r="O759" s="94"/>
      <x:c r="P759" s="94"/>
      <x:c r="Q759" s="95"/>
      <x:c r="R759" s="96"/>
      <x:c r="S759" s="96"/>
      <x:c r="T759" s="97"/>
      <x:c r="U759" s="98" t="str">
        <x:f>IF(OR(J759="",N759=""),"",IF(J759=N759,"No","Yes"))</x:f>
      </x:c>
      <x:c r="V759" s="98" t="n">
        <x:v>0</x:v>
      </x:c>
    </x:row>
    <x:row r="760" ht="54" hidden="0" customHeight="1">
      <x:c r="A760" s="38" t="str">
        <x:v>Q020::B008I65K7Q_review_2504813</x:v>
      </x:c>
      <x:c r="B760" s="38" t="str">
        <x:v>Q020</x:v>
      </x:c>
      <x:c r="C760" s="91" t="str">
        <x:v>Find electronics products with responsive warranty support and straightforward replacements.</x:v>
      </x:c>
      <x:c r="D760" s="38" t="n">
        <x:v>8</x:v>
      </x:c>
      <x:c r="E760" s="38" t="str">
        <x:v>B008I65K7Q</x:v>
      </x:c>
      <x:c r="F760" s="38" t="str">
        <x:v>review</x:v>
      </x:c>
      <x:c r="G760" s="38" t="str">
        <x:v>customer service</x:v>
      </x:c>
      <x:c r="H760" s="38" t="str">
        <x:v>Cell Phones &amp; Accessories</x:v>
      </x:c>
      <x:c r="I760" s="91" t="str">
        <x:v>[Product: Allstate 3-Year Portable Electronics Accidental Protection Plan ($0-49.99) | ASIN: B008I65K7Q] No longer am I worried about products breaking just outside of short warranty periods like 30 and 90 days.</x:v>
      </x:c>
      <x:c r="J760" s="101" t="n">
        <x:v>1</x:v>
      </x:c>
      <x:c r="K760" s="92" t="str">
        <x:v>Human_Reviewer_01</x:v>
      </x:c>
      <x:c r="L760" s="92" t="str">
        <x:v>High</x:v>
      </x:c>
      <x:c r="M760" s="93" t="str">
        <x:v>Protection plan extends coverage, but no actual claim or support experience is reported.</x:v>
      </x:c>
      <x:c r="N760" s="94"/>
      <x:c r="O760" s="94"/>
      <x:c r="P760" s="94"/>
      <x:c r="Q760" s="95"/>
      <x:c r="R760" s="96"/>
      <x:c r="S760" s="96"/>
      <x:c r="T760" s="97"/>
      <x:c r="U760" s="98" t="str">
        <x:f>IF(OR(J760="",N760=""),"",IF(J760=N760,"No","Yes"))</x:f>
      </x:c>
      <x:c r="V760" s="98" t="n">
        <x:v>1</x:v>
      </x:c>
    </x:row>
    <x:row r="761" ht="54" hidden="0" customHeight="1">
      <x:c r="A761" s="38" t="str">
        <x:v>Q020::B00S8U0VT4_review_2387766</x:v>
      </x:c>
      <x:c r="B761" s="38" t="str">
        <x:v>Q020</x:v>
      </x:c>
      <x:c r="C761" s="91" t="str">
        <x:v>Find electronics products with responsive warranty support and straightforward replacements.</x:v>
      </x:c>
      <x:c r="D761" s="38" t="n">
        <x:v>9</x:v>
      </x:c>
      <x:c r="E761" s="38" t="str">
        <x:v>B00S8U0VT4</x:v>
      </x:c>
      <x:c r="F761" s="38" t="str">
        <x:v>review</x:v>
      </x:c>
      <x:c r="G761" s="38" t="str">
        <x:v>general</x:v>
      </x:c>
      <x:c r="H761" s="38" t="str">
        <x:v>Cell Phones &amp; Accessories</x:v>
      </x:c>
      <x:c r="I761" s="91" t="str">
        <x:v>[Product: Touch Screen/Panel Digitizer Glass Replacement Parts for DigiLand DL1010Q 10.1inch Tablet PC | ASIN: B00S8U0VT4] Works great.</x:v>
      </x:c>
      <x:c r="J761" s="101" t="n">
        <x:v>0</x:v>
      </x:c>
      <x:c r="K761" s="92" t="str">
        <x:v>Human_Reviewer_01</x:v>
      </x:c>
      <x:c r="L761" s="92" t="str">
        <x:v>High</x:v>
      </x:c>
      <x:c r="M761" s="93" t="str">
        <x:v>Replacement-screen operation does not describe warranty support.</x:v>
      </x:c>
      <x:c r="N761" s="94"/>
      <x:c r="O761" s="94"/>
      <x:c r="P761" s="94"/>
      <x:c r="Q761" s="95"/>
      <x:c r="R761" s="96"/>
      <x:c r="S761" s="96"/>
      <x:c r="T761" s="97"/>
      <x:c r="U761" s="98" t="str">
        <x:f>IF(OR(J761="",N761=""),"",IF(J761=N761,"No","Yes"))</x:f>
      </x:c>
      <x:c r="V761" s="98" t="n">
        <x:v>0</x:v>
      </x:c>
    </x:row>
    <x:row r="762" ht="54" hidden="0" customHeight="1">
      <x:c r="A762" s="38" t="str">
        <x:v>Q020::B00NIMJXVY_review_1317154</x:v>
      </x:c>
      <x:c r="B762" s="38" t="str">
        <x:v>Q020</x:v>
      </x:c>
      <x:c r="C762" s="91" t="str">
        <x:v>Find electronics products with responsive warranty support and straightforward replacements.</x:v>
      </x:c>
      <x:c r="D762" s="38" t="n">
        <x:v>10</x:v>
      </x:c>
      <x:c r="E762" s="38" t="str">
        <x:v>B00NIMJXVY</x:v>
      </x:c>
      <x:c r="F762" s="38" t="str">
        <x:v>review</x:v>
      </x:c>
      <x:c r="G762" s="38" t="str">
        <x:v>customer service</x:v>
      </x:c>
      <x:c r="H762" s="38" t="str">
        <x:v>Computers</x:v>
      </x:c>
      <x:c r="I762" s="91" t="str">
        <x:v>[Product: ZAGG InvisibleShield HDX Screen Protector - HD Clarity + Extreme Shatter Protection for Apple iPad Pro 9.7 / iPad Air 2 / iPad Air | ASIN: B00NIMJXVY] I cover all my device screens and have never had trouble getting warranty replacements. Best customer service and timely replacements.</x:v>
      </x:c>
      <x:c r="J762" s="101" t="n">
        <x:v>2</x:v>
      </x:c>
      <x:c r="K762" s="92" t="str">
        <x:v>Human_Reviewer_01</x:v>
      </x:c>
      <x:c r="L762" s="92" t="str">
        <x:v>High</x:v>
      </x:c>
      <x:c r="M762" s="93" t="str">
        <x:v>Electronics screen protector has easy warranty replacements and timely customer service.</x:v>
      </x:c>
      <x:c r="N762" s="94"/>
      <x:c r="O762" s="94"/>
      <x:c r="P762" s="94"/>
      <x:c r="Q762" s="95"/>
      <x:c r="R762" s="96"/>
      <x:c r="S762" s="96"/>
      <x:c r="T762" s="97"/>
      <x:c r="U762" s="98" t="str">
        <x:f>IF(OR(J762="",N762=""),"",IF(J762=N762,"No","Yes"))</x:f>
      </x:c>
      <x:c r="V762" s="98" t="n">
        <x:v>2</x:v>
      </x:c>
    </x:row>
    <x:row r="763" ht="54" hidden="0" customHeight="1">
      <x:c r="A763" s="38" t="str">
        <x:v>Q020::B0088IAXJY_review_1748390</x:v>
      </x:c>
      <x:c r="B763" s="38" t="str">
        <x:v>Q020</x:v>
      </x:c>
      <x:c r="C763" s="91" t="str">
        <x:v>Find electronics products with responsive warranty support and straightforward replacements.</x:v>
      </x:c>
      <x:c r="D763" s="38" t="n">
        <x:v>11</x:v>
      </x:c>
      <x:c r="E763" s="38" t="str">
        <x:v>B0088IAXJY</x:v>
      </x:c>
      <x:c r="F763" s="38" t="str">
        <x:v>review</x:v>
      </x:c>
      <x:c r="G763" s="38" t="str">
        <x:v>general</x:v>
      </x:c>
      <x:c r="H763" s="38" t="str">
        <x:v>Computers</x:v>
      </x:c>
      <x:c r="I763" s="91" t="str">
        <x:v>[Product: Repair Kit, Compatible with HP W2207, LCD Monitor, Capacitors, Not The Entire Board | ASIN: B0088IAXJY] This company is very prompt at answering questions and reliable. I provided them with a list capacitors needed and a picture of the board. Obtaining reliable information for electronic devices is very difficult. The monitor had been working for 6 1/2 years when the backlight failed and now ben working for at least 1/2 year after repair. I suggest contacting them with the necessary model/serial number info and a picture and parts list.</x:v>
      </x:c>
      <x:c r="J763" s="101" t="n">
        <x:v>1</x:v>
      </x:c>
      <x:c r="K763" s="92" t="str">
        <x:v>Human_Reviewer_01</x:v>
      </x:c>
      <x:c r="L763" s="92" t="str">
        <x:v>High</x:v>
      </x:c>
      <x:c r="M763" s="93" t="str">
        <x:v>Repair-parts supplier answers technical questions promptly, but warranty fulfillment and replacement handling are not described.</x:v>
      </x:c>
      <x:c r="N763" s="94"/>
      <x:c r="O763" s="94"/>
      <x:c r="P763" s="94"/>
      <x:c r="Q763" s="95"/>
      <x:c r="R763" s="96"/>
      <x:c r="S763" s="96"/>
      <x:c r="T763" s="97"/>
      <x:c r="U763" s="98" t="str">
        <x:f>IF(OR(J763="",N763=""),"",IF(J763=N763,"No","Yes"))</x:f>
      </x:c>
      <x:c r="V763" s="98" t="n">
        <x:v>1</x:v>
      </x:c>
    </x:row>
    <x:row r="764" ht="54" hidden="0" customHeight="1">
      <x:c r="A764" s="38" t="str">
        <x:v>Q020::B008COCW48_review_248956</x:v>
      </x:c>
      <x:c r="B764" s="38" t="str">
        <x:v>Q020</x:v>
      </x:c>
      <x:c r="C764" s="91" t="str">
        <x:v>Find electronics products with responsive warranty support and straightforward replacements.</x:v>
      </x:c>
      <x:c r="D764" s="38" t="n">
        <x:v>12</x:v>
      </x:c>
      <x:c r="E764" s="38" t="str">
        <x:v>B008COCW48</x:v>
      </x:c>
      <x:c r="F764" s="38" t="str">
        <x:v>review</x:v>
      </x:c>
      <x:c r="G764" s="38" t="str">
        <x:v>price/value</x:v>
      </x:c>
      <x:c r="H764" s="38" t="str">
        <x:v>Portable Audio &amp; Accessories</x:v>
      </x:c>
      <x:c r="I764" s="91" t="str">
        <x:v>[Product: Replacement LCD and Digitizer Screen For iPod Nano 6th Gen Generation -Tools Included | ASIN: B008COCW48] easy Very content Very inexpensive repair.</x:v>
      </x:c>
      <x:c r="J764" s="101" t="n">
        <x:v>0</x:v>
      </x:c>
      <x:c r="K764" s="92" t="str">
        <x:v>Human_Reviewer_01</x:v>
      </x:c>
      <x:c r="L764" s="92" t="str">
        <x:v>High</x:v>
      </x:c>
      <x:c r="M764" s="93" t="str">
        <x:v>DIY replacement-screen repair ease and price do not describe warranty support.</x:v>
      </x:c>
      <x:c r="N764" s="94"/>
      <x:c r="O764" s="94"/>
      <x:c r="P764" s="94"/>
      <x:c r="Q764" s="95"/>
      <x:c r="R764" s="96"/>
      <x:c r="S764" s="96"/>
      <x:c r="T764" s="97"/>
      <x:c r="U764" s="98" t="str">
        <x:f>IF(OR(J764="",N764=""),"",IF(J764=N764,"No","Yes"))</x:f>
      </x:c>
      <x:c r="V764" s="98" t="n">
        <x:v>0</x:v>
      </x:c>
    </x:row>
    <x:row r="765" ht="54" hidden="0" customHeight="1">
      <x:c r="A765" s="38" t="str">
        <x:v>Q020::B00004U47N_review_3575947</x:v>
      </x:c>
      <x:c r="B765" s="38" t="str">
        <x:v>Q020</x:v>
      </x:c>
      <x:c r="C765" s="91" t="str">
        <x:v>Find electronics products with responsive warranty support and straightforward replacements.</x:v>
      </x:c>
      <x:c r="D765" s="38" t="n">
        <x:v>13</x:v>
      </x:c>
      <x:c r="E765" s="38" t="str">
        <x:v>B00004U47N</x:v>
      </x:c>
      <x:c r="F765" s="38" t="str">
        <x:v>review</x:v>
      </x:c>
      <x:c r="G765" s="38" t="str">
        <x:v>customer service</x:v>
      </x:c>
      <x:c r="H765" s="38" t="str">
        <x:v>Cell Phones &amp; Accessories</x:v>
      </x:c>
      <x:c r="I765" s="91" t="str">
        <x:v>[Product: Sony Srf-h2 | ASIN: B00004U47N] Bought warranty need info on how to return</x:v>
      </x:c>
      <x:c r="J765" s="101" t="n">
        <x:v>1</x:v>
      </x:c>
      <x:c r="K765" s="92" t="str">
        <x:v>Human_Reviewer_01</x:v>
      </x:c>
      <x:c r="L765" s="92" t="str">
        <x:v>Medium</x:v>
      </x:c>
      <x:c r="M765" s="93" t="str">
        <x:v>Warranty return information is needed, but no response or completed replacement is described.</x:v>
      </x:c>
      <x:c r="N765" s="94"/>
      <x:c r="O765" s="94"/>
      <x:c r="P765" s="94"/>
      <x:c r="Q765" s="95"/>
      <x:c r="R765" s="96"/>
      <x:c r="S765" s="96"/>
      <x:c r="T765" s="97"/>
      <x:c r="U765" s="98" t="str">
        <x:f>IF(OR(J765="",N765=""),"",IF(J765=N765,"No","Yes"))</x:f>
      </x:c>
      <x:c r="V765" s="98" t="n">
        <x:v>1</x:v>
      </x:c>
    </x:row>
    <x:row r="766" ht="54" hidden="0" customHeight="1">
      <x:c r="A766" s="38" t="str">
        <x:v>Q020::B00DFL0VX2_review_3777516</x:v>
      </x:c>
      <x:c r="B766" s="38" t="str">
        <x:v>Q020</x:v>
      </x:c>
      <x:c r="C766" s="91" t="str">
        <x:v>Find electronics products with responsive warranty support and straightforward replacements.</x:v>
      </x:c>
      <x:c r="D766" s="38" t="n">
        <x:v>14</x:v>
      </x:c>
      <x:c r="E766" s="38" t="str">
        <x:v>B00DFL0VX2</x:v>
      </x:c>
      <x:c r="F766" s="38" t="str">
        <x:v>review</x:v>
      </x:c>
      <x:c r="G766" s="38" t="str">
        <x:v>price/value</x:v>
      </x:c>
      <x:c r="H766" s="38" t="str">
        <x:v>Computers</x:v>
      </x:c>
      <x:c r="I766" s="91" t="str">
        <x:v>[Product: Laptop Screen Replacement Tool Kit | ASIN: B00DFL0VX2] The price is worth it.</x:v>
      </x:c>
      <x:c r="J766" s="101" t="n">
        <x:v>0</x:v>
      </x:c>
      <x:c r="K766" s="92" t="str">
        <x:v>Human_Reviewer_01</x:v>
      </x:c>
      <x:c r="L766" s="92" t="str">
        <x:v>High</x:v>
      </x:c>
      <x:c r="M766" s="93" t="str">
        <x:v>Repair-tool price does not describe warranty support.</x:v>
      </x:c>
      <x:c r="N766" s="94"/>
      <x:c r="O766" s="94"/>
      <x:c r="P766" s="94"/>
      <x:c r="Q766" s="95"/>
      <x:c r="R766" s="96"/>
      <x:c r="S766" s="96"/>
      <x:c r="T766" s="97"/>
      <x:c r="U766" s="98" t="str">
        <x:f>IF(OR(J766="",N766=""),"",IF(J766=N766,"No","Yes"))</x:f>
      </x:c>
      <x:c r="V766" s="98" t="n">
        <x:v>0</x:v>
      </x:c>
    </x:row>
    <x:row r="767" ht="54" hidden="0" customHeight="1">
      <x:c r="A767" s="38" t="str">
        <x:v>Q020::B00FWP0MII_review_925663</x:v>
      </x:c>
      <x:c r="B767" s="38" t="str">
        <x:v>Q020</x:v>
      </x:c>
      <x:c r="C767" s="91" t="str">
        <x:v>Find electronics products with responsive warranty support and straightforward replacements.</x:v>
      </x:c>
      <x:c r="D767" s="38" t="n">
        <x:v>15</x:v>
      </x:c>
      <x:c r="E767" s="38" t="str">
        <x:v>B00FWP0MII</x:v>
      </x:c>
      <x:c r="F767" s="38" t="str">
        <x:v>review</x:v>
      </x:c>
      <x:c r="G767" s="38" t="str">
        <x:v>customer service</x:v>
      </x:c>
      <x:c r="H767" s="38" t="str">
        <x:v>Computers</x:v>
      </x:c>
      <x:c r="I767" s="91" t="str">
        <x:v>[Product: Generic LCD Display Screen Parts Replacement for Ipad 3rd | ASIN: B00FWP0MII] Had to take the ipad3 apart again, and ship it back for a refund.</x:v>
      </x:c>
      <x:c r="J767" s="101" t="n">
        <x:v>1</x:v>
      </x:c>
      <x:c r="K767" s="92" t="str">
        <x:v>Human_Reviewer_01</x:v>
      </x:c>
      <x:c r="L767" s="92" t="str">
        <x:v>High</x:v>
      </x:c>
      <x:c r="M767" s="93" t="str">
        <x:v>Replacement screen must be removed and returned for refund, but warranty responsiveness is absent.</x:v>
      </x:c>
      <x:c r="N767" s="94"/>
      <x:c r="O767" s="94"/>
      <x:c r="P767" s="94"/>
      <x:c r="Q767" s="95"/>
      <x:c r="R767" s="96"/>
      <x:c r="S767" s="96"/>
      <x:c r="T767" s="97"/>
      <x:c r="U767" s="98" t="str">
        <x:f>IF(OR(J767="",N767=""),"",IF(J767=N767,"No","Yes"))</x:f>
      </x:c>
      <x:c r="V767" s="98" t="n">
        <x:v>1</x:v>
      </x:c>
    </x:row>
    <x:row r="768" ht="54" hidden="0" customHeight="1">
      <x:c r="A768" s="38" t="str">
        <x:v>Q020::B010HA3NK6_review_4031023</x:v>
      </x:c>
      <x:c r="B768" s="38" t="str">
        <x:v>Q020</x:v>
      </x:c>
      <x:c r="C768" s="91" t="str">
        <x:v>Find electronics products with responsive warranty support and straightforward replacements.</x:v>
      </x:c>
      <x:c r="D768" s="38" t="n">
        <x:v>16</x:v>
      </x:c>
      <x:c r="E768" s="38" t="str">
        <x:v>B010HA3NK6</x:v>
      </x:c>
      <x:c r="F768" s="38" t="str">
        <x:v>review</x:v>
      </x:c>
      <x:c r="G768" s="38" t="str">
        <x:v>customer service</x:v>
      </x:c>
      <x:c r="H768" s="38" t="str">
        <x:v>Computers</x:v>
      </x:c>
      <x:c r="I768" s="91" t="str">
        <x:v>[Product: Loctek Dual Arms Desk Monitor Mounts Fits Most 10''-27'' Monitor (D7D) | ASIN: B010HA3NK6] Your customer service and support is literally non existent. I think the public and your would-be customers need to be warned about this.&lt;br /&gt;&lt;br /&gt;I will be posting this email thread on Amazon and elsewhere, and will be filing a complaint on Amazon. Come on guys, I am just asking for warranty replacements. /&gt;Can you please send replacements for:&lt;br /&gt;1.</x:v>
      </x:c>
      <x:c r="J768" s="101" t="n">
        <x:v>2</x:v>
      </x:c>
      <x:c r="K768" s="92" t="str">
        <x:v>Human_Reviewer_01</x:v>
      </x:c>
      <x:c r="L768" s="92" t="str">
        <x:v>High</x:v>
      </x:c>
      <x:c r="M768" s="93" t="str">
        <x:v>Monitor-accessory supplier provides no customer support for requested warranty replacements.</x:v>
      </x:c>
      <x:c r="N768" s="94"/>
      <x:c r="O768" s="94"/>
      <x:c r="P768" s="94"/>
      <x:c r="Q768" s="95"/>
      <x:c r="R768" s="96"/>
      <x:c r="S768" s="96"/>
      <x:c r="T768" s="97"/>
      <x:c r="U768" s="98" t="str">
        <x:f>IF(OR(J768="",N768=""),"",IF(J768=N768,"No","Yes"))</x:f>
      </x:c>
      <x:c r="V768" s="98" t="n">
        <x:v>2</x:v>
      </x:c>
    </x:row>
    <x:row r="769" ht="54" hidden="0" customHeight="1">
      <x:c r="A769" s="38" t="str">
        <x:v>Q020::B001T8UDH2_review_3062774</x:v>
      </x:c>
      <x:c r="B769" s="38" t="str">
        <x:v>Q020</x:v>
      </x:c>
      <x:c r="C769" s="91" t="str">
        <x:v>Find electronics products with responsive warranty support and straightforward replacements.</x:v>
      </x:c>
      <x:c r="D769" s="38" t="n">
        <x:v>17</x:v>
      </x:c>
      <x:c r="E769" s="38" t="str">
        <x:v>B001T8UDH2</x:v>
      </x:c>
      <x:c r="F769" s="38" t="str">
        <x:v>review</x:v>
      </x:c>
      <x:c r="G769" s="38" t="str">
        <x:v>customer service</x:v>
      </x:c>
      <x:c r="H769" s="38" t="str">
        <x:v>Computers</x:v>
      </x:c>
      <x:c r="I769" s="91" t="str">
        <x:v>[Product: Seagate ST31000528AS 1TB Hard Drive | ASIN: B001T8UDH2] Barracuda drives use to have a five year warranty - activated on the date of sale. Through the years, the warranty has gone down to three and then to two years - beginning on the date of manufacture. If my math is correct, the typical warranty is really 1.5 years at best. If Seagate is so confident of its products and their reliability, why has it reduced hard drive warranty by 333%?&lt;br /&gt;.&lt;br Because of premature deaths, two were sent back factory for replacements.</x:v>
      </x:c>
      <x:c r="J769" s="101" t="n">
        <x:v>1</x:v>
      </x:c>
      <x:c r="K769" s="92" t="str">
        <x:v>Human_Reviewer_01</x:v>
      </x:c>
      <x:c r="L769" s="92" t="str">
        <x:v>High</x:v>
      </x:c>
      <x:c r="M769" s="93" t="str">
        <x:v>Drive warranty duration and factory returns are described, but response speed and replacement ease are absent.</x:v>
      </x:c>
      <x:c r="N769" s="94"/>
      <x:c r="O769" s="94"/>
      <x:c r="P769" s="94"/>
      <x:c r="Q769" s="95"/>
      <x:c r="R769" s="96"/>
      <x:c r="S769" s="96"/>
      <x:c r="T769" s="97"/>
      <x:c r="U769" s="98" t="str">
        <x:f>IF(OR(J769="",N769=""),"",IF(J769=N769,"No","Yes"))</x:f>
      </x:c>
      <x:c r="V769" s="98" t="n">
        <x:v>1</x:v>
      </x:c>
    </x:row>
    <x:row r="770" ht="54" hidden="0" customHeight="1">
      <x:c r="A770" s="38" t="str">
        <x:v>Q020::B07G8MJJWS_review_2137101</x:v>
      </x:c>
      <x:c r="B770" s="38" t="str">
        <x:v>Q020</x:v>
      </x:c>
      <x:c r="C770" s="91" t="str">
        <x:v>Find electronics products with responsive warranty support and straightforward replacements.</x:v>
      </x:c>
      <x:c r="D770" s="38" t="n">
        <x:v>18</x:v>
      </x:c>
      <x:c r="E770" s="38" t="str">
        <x:v>B07G8MJJWS</x:v>
      </x:c>
      <x:c r="F770" s="38" t="str">
        <x:v>review</x:v>
      </x:c>
      <x:c r="G770" s="38" t="str">
        <x:v>customer service</x:v>
      </x:c>
      <x:c r="H770" s="38" t="str">
        <x:v>Computers</x:v>
      </x:c>
      <x:c r="I770" s="91" t="str">
        <x:v>[Product: ZAGG Slimbook Go - Ultrathin Case, Hinged with Detachable Bluetooth Keyboard - Made for 2019 Apple iPad Pro 12.9" - Black | ASIN: B07G8MJJWS] Unfortunately we have had to return both of them for warranty replacements and now on our second round of warranty replacements. In all four of the units we have had (purchased and warranty replacements) Warranty replacement with Zagg is pretty easy, just register the keyboard and then request a warranty replacement - you are only charged for shipping.</x:v>
      </x:c>
      <x:c r="J770" s="101" t="n">
        <x:v>2</x:v>
      </x:c>
      <x:c r="K770" s="92" t="str">
        <x:v>Human_Reviewer_01</x:v>
      </x:c>
      <x:c r="L770" s="92" t="str">
        <x:v>High</x:v>
      </x:c>
      <x:c r="M770" s="93" t="str">
        <x:v>Keyboard warranty replacement is easy after registration and requires only shipping payment.</x:v>
      </x:c>
      <x:c r="N770" s="94"/>
      <x:c r="O770" s="94"/>
      <x:c r="P770" s="94"/>
      <x:c r="Q770" s="95"/>
      <x:c r="R770" s="96"/>
      <x:c r="S770" s="96"/>
      <x:c r="T770" s="97"/>
      <x:c r="U770" s="98" t="str">
        <x:f>IF(OR(J770="",N770=""),"",IF(J770=N770,"No","Yes"))</x:f>
      </x:c>
      <x:c r="V770" s="98" t="n">
        <x:v>2</x:v>
      </x:c>
    </x:row>
    <x:row r="771" ht="54" hidden="0" customHeight="1">
      <x:c r="A771" s="38" t="str">
        <x:v>Q020::B00ZYKTQA6_review_1871939</x:v>
      </x:c>
      <x:c r="B771" s="38" t="str">
        <x:v>Q020</x:v>
      </x:c>
      <x:c r="C771" s="91" t="str">
        <x:v>Find electronics products with responsive warranty support and straightforward replacements.</x:v>
      </x:c>
      <x:c r="D771" s="38" t="n">
        <x:v>19</x:v>
      </x:c>
      <x:c r="E771" s="38" t="str">
        <x:v>B00ZYKTQA6</x:v>
      </x:c>
      <x:c r="F771" s="38" t="str">
        <x:v>review</x:v>
      </x:c>
      <x:c r="G771" s="38" t="str">
        <x:v>specifications/performance</x:v>
      </x:c>
      <x:c r="H771" s="38" t="str">
        <x:v>Computers</x:v>
      </x:c>
      <x:c r="I771" s="91" t="str">
        <x:v>[Product: Acer Chromebox CXI2-2GKM Desktop with Keyboard and Mouse | ASIN: B00ZYKTQA6] It booted up really fast and is very responsive and zippy. Would recommend to anyone needing a fast straightforward desktop PC.</x:v>
      </x:c>
      <x:c r="J771" s="101" t="n">
        <x:v>0</x:v>
      </x:c>
      <x:c r="K771" s="92" t="str">
        <x:v>Human_Reviewer_01</x:v>
      </x:c>
      <x:c r="L771" s="92" t="str">
        <x:v>High</x:v>
      </x:c>
      <x:c r="M771" s="93" t="str">
        <x:v>Responsiveness describes computer speed, not warranty support.</x:v>
      </x:c>
      <x:c r="N771" s="94"/>
      <x:c r="O771" s="94"/>
      <x:c r="P771" s="94"/>
      <x:c r="Q771" s="95"/>
      <x:c r="R771" s="96"/>
      <x:c r="S771" s="96"/>
      <x:c r="T771" s="97"/>
      <x:c r="U771" s="98" t="str">
        <x:f>IF(OR(J771="",N771=""),"",IF(J771=N771,"No","Yes"))</x:f>
      </x:c>
      <x:c r="V771" s="98" t="n">
        <x:v>0</x:v>
      </x:c>
    </x:row>
    <x:row r="772" ht="54" hidden="0" customHeight="1">
      <x:c r="A772" s="38" t="str">
        <x:v>Q020::B00E3W1ALE_review_1531455</x:v>
      </x:c>
      <x:c r="B772" s="38" t="str">
        <x:v>Q020</x:v>
      </x:c>
      <x:c r="C772" s="91" t="str">
        <x:v>Find electronics products with responsive warranty support and straightforward replacements.</x:v>
      </x:c>
      <x:c r="D772" s="38" t="n">
        <x:v>20</x:v>
      </x:c>
      <x:c r="E772" s="38" t="str">
        <x:v>B00E3W1ALE</x:v>
      </x:c>
      <x:c r="F772" s="38" t="str">
        <x:v>review</x:v>
      </x:c>
      <x:c r="G772" s="38" t="str">
        <x:v>customer service</x:v>
      </x:c>
      <x:c r="H772" s="38" t="str">
        <x:v>Computers</x:v>
      </x:c>
      <x:c r="I772" s="91" t="str">
        <x:v>[Product: Samsung Electronics 840 EVO-Series 750GB 2.5-Inch SATA III Single Unit Version Internal Solid State Drive MZ-7TE750BW | ASIN: B00E3W1ALE] They have awesome technical support, great warranty fufillment, and their products are always top of the line.</x:v>
      </x:c>
      <x:c r="J772" s="101" t="n">
        <x:v>2</x:v>
      </x:c>
      <x:c r="K772" s="92" t="str">
        <x:v>Human_Reviewer_01</x:v>
      </x:c>
      <x:c r="L772" s="92" t="str">
        <x:v>High</x:v>
      </x:c>
      <x:c r="M772" s="93" t="str">
        <x:v>Drive manufacturer has explicitly good technical support and warranty fulfillment.</x:v>
      </x:c>
      <x:c r="N772" s="94"/>
      <x:c r="O772" s="94"/>
      <x:c r="P772" s="94"/>
      <x:c r="Q772" s="95"/>
      <x:c r="R772" s="96"/>
      <x:c r="S772" s="96"/>
      <x:c r="T772" s="97"/>
      <x:c r="U772" s="98" t="str">
        <x:f>IF(OR(J772="",N772=""),"",IF(J772=N772,"No","Yes"))</x:f>
      </x:c>
      <x:c r="V772" s="98" t="n">
        <x:v>2</x:v>
      </x:c>
    </x:row>
    <x:row r="773" ht="54" hidden="0" customHeight="1">
      <x:c r="A773" s="38" t="str">
        <x:v>Q020::B005M0LWXW_review_3681563</x:v>
      </x:c>
      <x:c r="B773" s="38" t="str">
        <x:v>Q020</x:v>
      </x:c>
      <x:c r="C773" s="91" t="str">
        <x:v>Find electronics products with responsive warranty support and straightforward replacements.</x:v>
      </x:c>
      <x:c r="D773" s="38" t="n">
        <x:v>21</x:v>
      </x:c>
      <x:c r="E773" s="38" t="str">
        <x:v>B005M0LWXW</x:v>
      </x:c>
      <x:c r="F773" s="38" t="str">
        <x:v>review</x:v>
      </x:c>
      <x:c r="G773" s="38" t="str">
        <x:v>customer service</x:v>
      </x:c>
      <x:c r="H773" s="38" t="str">
        <x:v>Computers</x:v>
      </x:c>
      <x:c r="I773" s="91" t="str">
        <x:v>[Product: Amazon Basics 175-Watt Pocket Power Inverter with 2.1 Amp USB Port to Charge iPad, Kindle, and Other Electronics | ASIN: B005M0LWXW] Amazon's backing, including a 1 year warranty and Amazon's return policies and support are the best in the known Universe.&lt;br /&gt;&lt;br /&gt;-</x:v>
      </x:c>
      <x:c r="J773" s="101" t="n">
        <x:v>2</x:v>
      </x:c>
      <x:c r="K773" s="92" t="str">
        <x:v>Human_Reviewer_01</x:v>
      </x:c>
      <x:c r="L773" s="92" t="str">
        <x:v>Medium</x:v>
      </x:c>
      <x:c r="M773" s="93" t="str">
        <x:v>Power-inverter warranty and return support are explicitly praised, without a specific claim example.</x:v>
      </x:c>
      <x:c r="N773" s="94"/>
      <x:c r="O773" s="94"/>
      <x:c r="P773" s="94"/>
      <x:c r="Q773" s="95"/>
      <x:c r="R773" s="96"/>
      <x:c r="S773" s="96"/>
      <x:c r="T773" s="97"/>
      <x:c r="U773" s="98" t="str">
        <x:f>IF(OR(J773="",N773=""),"",IF(J773=N773,"No","Yes"))</x:f>
      </x:c>
      <x:c r="V773" s="98" t="n">
        <x:v>2</x:v>
      </x:c>
    </x:row>
    <x:row r="774" ht="54" hidden="0" customHeight="1">
      <x:c r="A774" s="38" t="str">
        <x:v>Q020::B006FMLQU0_review_1141707</x:v>
      </x:c>
      <x:c r="B774" s="38" t="str">
        <x:v>Q020</x:v>
      </x:c>
      <x:c r="C774" s="91" t="str">
        <x:v>Find electronics products with responsive warranty support and straightforward replacements.</x:v>
      </x:c>
      <x:c r="D774" s="38" t="n">
        <x:v>22</x:v>
      </x:c>
      <x:c r="E774" s="38" t="str">
        <x:v>B006FMLQU0</x:v>
      </x:c>
      <x:c r="F774" s="38" t="str">
        <x:v>review</x:v>
      </x:c>
      <x:c r="G774" s="38" t="str">
        <x:v>connectivity</x:v>
      </x:c>
      <x:c r="H774" s="38" t="str">
        <x:v>Computers</x:v>
      </x:c>
      <x:c r="I774" s="91" t="str">
        <x:v>[Product: Craig Touch Screen Android Tablet 7" Model CMP738a | ASIN: B006FMLQU0] the Craig support has also been really responsive and helpful to find sources for apps.</x:v>
      </x:c>
      <x:c r="J774" s="101" t="n">
        <x:v>1</x:v>
      </x:c>
      <x:c r="K774" s="92" t="str">
        <x:v>Human_Reviewer_01</x:v>
      </x:c>
      <x:c r="L774" s="92" t="str">
        <x:v>High</x:v>
      </x:c>
      <x:c r="M774" s="93" t="str">
        <x:v>Tablet support helps with app sources promptly, but the chunk does not describe warranty assistance or replacements.</x:v>
      </x:c>
      <x:c r="N774" s="94"/>
      <x:c r="O774" s="94"/>
      <x:c r="P774" s="94"/>
      <x:c r="Q774" s="95"/>
      <x:c r="R774" s="96"/>
      <x:c r="S774" s="96"/>
      <x:c r="T774" s="97"/>
      <x:c r="U774" s="98" t="str">
        <x:f>IF(OR(J774="",N774=""),"",IF(J774=N774,"No","Yes"))</x:f>
      </x:c>
      <x:c r="V774" s="98" t="n">
        <x:v>1</x:v>
      </x:c>
    </x:row>
    <x:row r="775" ht="54" hidden="0" customHeight="1">
      <x:c r="A775" s="38" t="str">
        <x:v>Q020::B00C7LIHKA_review_2289478</x:v>
      </x:c>
      <x:c r="B775" s="38" t="str">
        <x:v>Q020</x:v>
      </x:c>
      <x:c r="C775" s="91" t="str">
        <x:v>Find electronics products with responsive warranty support and straightforward replacements.</x:v>
      </x:c>
      <x:c r="D775" s="38" t="n">
        <x:v>23</x:v>
      </x:c>
      <x:c r="E775" s="38" t="str">
        <x:v>B00C7LIHKA</x:v>
      </x:c>
      <x:c r="F775" s="38" t="str">
        <x:v>review</x:v>
      </x:c>
      <x:c r="G775" s="38" t="str">
        <x:v>customer service</x:v>
      </x:c>
      <x:c r="H775" s="38" t="str">
        <x:v>Computers</x:v>
      </x:c>
      <x:c r="I775" s="91" t="str">
        <x:v>[Product: Actiontec Electronics PWR511K01 Powerline 500Mbps Adapter Kit | ASIN: B00C7LIHKA] Sent in and replaced by Actiontec. A few months later the replacement goes bad as well but Actiontec will not replace it because it is outside of the original warranty period. Sure, the originals are but not the replacements.</x:v>
      </x:c>
      <x:c r="J775" s="101" t="n">
        <x:v>2</x:v>
      </x:c>
      <x:c r="K775" s="92" t="str">
        <x:v>Human_Reviewer_01</x:v>
      </x:c>
      <x:c r="L775" s="92" t="str">
        <x:v>High</x:v>
      </x:c>
      <x:c r="M775" s="93" t="str">
        <x:v>Network adapter is replaced once, then a replacement claim is rejected under the original warranty period.</x:v>
      </x:c>
      <x:c r="N775" s="94"/>
      <x:c r="O775" s="94"/>
      <x:c r="P775" s="94"/>
      <x:c r="Q775" s="95"/>
      <x:c r="R775" s="96"/>
      <x:c r="S775" s="96"/>
      <x:c r="T775" s="97"/>
      <x:c r="U775" s="98" t="str">
        <x:f>IF(OR(J775="",N775=""),"",IF(J775=N775,"No","Yes"))</x:f>
      </x:c>
      <x:c r="V775" s="98" t="n">
        <x:v>2</x:v>
      </x:c>
    </x:row>
    <x:row r="776" ht="54" hidden="0" customHeight="1">
      <x:c r="A776" s="38" t="str">
        <x:v>Q020::B07HPGDLGY_review_296347</x:v>
      </x:c>
      <x:c r="B776" s="38" t="str">
        <x:v>Q020</x:v>
      </x:c>
      <x:c r="C776" s="91" t="str">
        <x:v>Find electronics products with responsive warranty support and straightforward replacements.</x:v>
      </x:c>
      <x:c r="D776" s="38" t="n">
        <x:v>24</x:v>
      </x:c>
      <x:c r="E776" s="38" t="str">
        <x:v>B07HPGDLGY</x:v>
      </x:c>
      <x:c r="F776" s="38" t="str">
        <x:v>review</x:v>
      </x:c>
      <x:c r="G776" s="38" t="str">
        <x:v>ease of use</x:v>
      </x:c>
      <x:c r="H776" s="38" t="str">
        <x:v>Cell Phones &amp; Accessories</x:v>
      </x:c>
      <x:c r="I776" s="91" t="str">
        <x:v>[Product: NewPower99 Battery Replacement Kit with Battery, Video Instructions and Tools for Garmin RV 760LMT | ASIN: B07HPGDLGY] Other than that a straightforward and fairly easy job if you are handy with electronics</x:v>
      </x:c>
      <x:c r="J776" s="101" t="n">
        <x:v>0</x:v>
      </x:c>
      <x:c r="K776" s="92" t="str">
        <x:v>Human_Reviewer_01</x:v>
      </x:c>
      <x:c r="L776" s="92" t="str">
        <x:v>High</x:v>
      </x:c>
      <x:c r="M776" s="93" t="str">
        <x:v>DIY battery installation is straightforward; warranty replacement service is not described.</x:v>
      </x:c>
      <x:c r="N776" s="94"/>
      <x:c r="O776" s="94"/>
      <x:c r="P776" s="94"/>
      <x:c r="Q776" s="95"/>
      <x:c r="R776" s="96"/>
      <x:c r="S776" s="96"/>
      <x:c r="T776" s="97"/>
      <x:c r="U776" s="98" t="str">
        <x:f>IF(OR(J776="",N776=""),"",IF(J776=N776,"No","Yes"))</x:f>
      </x:c>
      <x:c r="V776" s="98" t="n">
        <x:v>0</x:v>
      </x:c>
    </x:row>
    <x:row r="777" ht="54" hidden="0" customHeight="1">
      <x:c r="A777" s="38" t="str">
        <x:v>Q020::B00FWP0MII_review_925673</x:v>
      </x:c>
      <x:c r="B777" s="38" t="str">
        <x:v>Q020</x:v>
      </x:c>
      <x:c r="C777" s="91" t="str">
        <x:v>Find electronics products with responsive warranty support and straightforward replacements.</x:v>
      </x:c>
      <x:c r="D777" s="38" t="n">
        <x:v>25</x:v>
      </x:c>
      <x:c r="E777" s="38" t="str">
        <x:v>B00FWP0MII</x:v>
      </x:c>
      <x:c r="F777" s="38" t="str">
        <x:v>review</x:v>
      </x:c>
      <x:c r="G777" s="38" t="str">
        <x:v>general</x:v>
      </x:c>
      <x:c r="H777" s="38" t="str">
        <x:v>Computers</x:v>
      </x:c>
      <x:c r="I777" s="91" t="str">
        <x:v>[Product: Generic LCD Display Screen Parts Replacement for Ipad 3rd | ASIN: B00FWP0MII] Great product!</x:v>
      </x:c>
      <x:c r="J777" s="101" t="n">
        <x:v>0</x:v>
      </x:c>
      <x:c r="K777" s="92" t="str">
        <x:v>Human_Reviewer_01</x:v>
      </x:c>
      <x:c r="L777" s="92" t="str">
        <x:v>High</x:v>
      </x:c>
      <x:c r="M777" s="93" t="str">
        <x:v>Generic replacement-screen praise does not describe warranty support.</x:v>
      </x:c>
      <x:c r="N777" s="94"/>
      <x:c r="O777" s="94"/>
      <x:c r="P777" s="94"/>
      <x:c r="Q777" s="95"/>
      <x:c r="R777" s="96"/>
      <x:c r="S777" s="96"/>
      <x:c r="T777" s="97"/>
      <x:c r="U777" s="98" t="str">
        <x:f>IF(OR(J777="",N777=""),"",IF(J777=N777,"No","Yes"))</x:f>
      </x:c>
      <x:c r="V777" s="98" t="n">
        <x:v>0</x:v>
      </x:c>
    </x:row>
    <x:row r="778" ht="54" hidden="0" customHeight="1">
      <x:c r="A778" s="38" t="str">
        <x:v>Q020::B00FWP0MII_review_925664</x:v>
      </x:c>
      <x:c r="B778" s="38" t="str">
        <x:v>Q020</x:v>
      </x:c>
      <x:c r="C778" s="91" t="str">
        <x:v>Find electronics products with responsive warranty support and straightforward replacements.</x:v>
      </x:c>
      <x:c r="D778" s="38" t="n">
        <x:v>26</x:v>
      </x:c>
      <x:c r="E778" s="38" t="str">
        <x:v>B00FWP0MII</x:v>
      </x:c>
      <x:c r="F778" s="38" t="str">
        <x:v>review</x:v>
      </x:c>
      <x:c r="G778" s="38" t="str">
        <x:v>design/appearance</x:v>
      </x:c>
      <x:c r="H778" s="38" t="str">
        <x:v>Computers</x:v>
      </x:c>
      <x:c r="I778" s="91" t="str">
        <x:v>[Product: Generic LCD Display Screen Parts Replacement for Ipad 3rd | ASIN: B00FWP0MII] Excatly Was i Was looking For !</x:v>
      </x:c>
      <x:c r="J778" s="101" t="n">
        <x:v>0</x:v>
      </x:c>
      <x:c r="K778" s="92" t="str">
        <x:v>Human_Reviewer_01</x:v>
      </x:c>
      <x:c r="L778" s="92" t="str">
        <x:v>High</x:v>
      </x:c>
      <x:c r="M778" s="93" t="str">
        <x:v>Replacement-screen purchase satisfaction does not describe warranty support.</x:v>
      </x:c>
      <x:c r="N778" s="94"/>
      <x:c r="O778" s="94"/>
      <x:c r="P778" s="94"/>
      <x:c r="Q778" s="95"/>
      <x:c r="R778" s="96"/>
      <x:c r="S778" s="96"/>
      <x:c r="T778" s="97"/>
      <x:c r="U778" s="98" t="str">
        <x:f>IF(OR(J778="",N778=""),"",IF(J778=N778,"No","Yes"))</x:f>
      </x:c>
      <x:c r="V778" s="98" t="n">
        <x:v>0</x:v>
      </x:c>
    </x:row>
    <x:row r="779" ht="54" hidden="0" customHeight="1">
      <x:c r="A779" s="38" t="str">
        <x:v>Q020::B01K9H1AXO_review_3365927</x:v>
      </x:c>
      <x:c r="B779" s="38" t="str">
        <x:v>Q020</x:v>
      </x:c>
      <x:c r="C779" s="91" t="str">
        <x:v>Find electronics products with responsive warranty support and straightforward replacements.</x:v>
      </x:c>
      <x:c r="D779" s="38" t="n">
        <x:v>27</x:v>
      </x:c>
      <x:c r="E779" s="38" t="str">
        <x:v>B01K9H1AXO</x:v>
      </x:c>
      <x:c r="F779" s="38" t="str">
        <x:v>review</x:v>
      </x:c>
      <x:c r="G779" s="38" t="str">
        <x:v>customer service</x:v>
      </x:c>
      <x:c r="H779" s="38" t="str">
        <x:v>Computers</x:v>
      </x:c>
      <x:c r="I779" s="91" t="str">
        <x:v>[Product: QUIET 46 Piece Precision Screw Driver Set Magnetic Tool Repair Kit, Professional Repiar Phone,Tablet PC, Laptop Pad ,Watch &amp; DIY Etc Electronics Repair Tool Kit With Anti-Static Wrist Strap | ASIN: B01K9H1AXO] Item Returned.</x:v>
      </x:c>
      <x:c r="J779" s="101" t="n">
        <x:v>0</x:v>
      </x:c>
      <x:c r="K779" s="92" t="str">
        <x:v>Human_Reviewer_01</x:v>
      </x:c>
      <x:c r="L779" s="92" t="str">
        <x:v>High</x:v>
      </x:c>
      <x:c r="M779" s="93" t="str">
        <x:v>Repair-tool return fragment does not establish an electronics warranty-support experience.</x:v>
      </x:c>
      <x:c r="N779" s="94"/>
      <x:c r="O779" s="94"/>
      <x:c r="P779" s="94"/>
      <x:c r="Q779" s="95"/>
      <x:c r="R779" s="96"/>
      <x:c r="S779" s="96"/>
      <x:c r="T779" s="97"/>
      <x:c r="U779" s="98" t="str">
        <x:f>IF(OR(J779="",N779=""),"",IF(J779=N779,"No","Yes"))</x:f>
      </x:c>
      <x:c r="V779" s="98" t="n">
        <x:v>0</x:v>
      </x:c>
    </x:row>
    <x:row r="780" ht="54" hidden="0" customHeight="1">
      <x:c r="A780" s="38" t="str">
        <x:v>Q020::B00S8U0VT4_review_2387776</x:v>
      </x:c>
      <x:c r="B780" s="38" t="str">
        <x:v>Q020</x:v>
      </x:c>
      <x:c r="C780" s="91" t="str">
        <x:v>Find electronics products with responsive warranty support and straightforward replacements.</x:v>
      </x:c>
      <x:c r="D780" s="38" t="n">
        <x:v>28</x:v>
      </x:c>
      <x:c r="E780" s="38" t="str">
        <x:v>B00S8U0VT4</x:v>
      </x:c>
      <x:c r="F780" s="38" t="str">
        <x:v>review</x:v>
      </x:c>
      <x:c r="G780" s="38" t="str">
        <x:v>customer service</x:v>
      </x:c>
      <x:c r="H780" s="38" t="str">
        <x:v>Cell Phones &amp; Accessories</x:v>
      </x:c>
      <x:c r="I780" s="91" t="str">
        <x:v>[Product: Touch Screen/Panel Digitizer Glass Replacement Parts for DigiLand DL1010Q 10.1inch Tablet PC | ASIN: B00S8U0VT4] Maybe I will buy a case, but now I am looking at replacement</x:v>
      </x:c>
      <x:c r="J780" s="101" t="n">
        <x:v>0</x:v>
      </x:c>
      <x:c r="K780" s="92" t="str">
        <x:v>Human_Reviewer_01</x:v>
      </x:c>
      <x:c r="L780" s="92" t="str">
        <x:v>High</x:v>
      </x:c>
      <x:c r="M780" s="93" t="str">
        <x:v>Replacement-part purchase intent does not describe warranty service.</x:v>
      </x:c>
      <x:c r="N780" s="94"/>
      <x:c r="O780" s="94"/>
      <x:c r="P780" s="94"/>
      <x:c r="Q780" s="95"/>
      <x:c r="R780" s="96"/>
      <x:c r="S780" s="96"/>
      <x:c r="T780" s="97"/>
      <x:c r="U780" s="98" t="str">
        <x:f>IF(OR(J780="",N780=""),"",IF(J780=N780,"No","Yes"))</x:f>
      </x:c>
      <x:c r="V780" s="98" t="n">
        <x:v>0</x:v>
      </x:c>
    </x:row>
    <x:row r="781" ht="54" hidden="0" customHeight="1">
      <x:c r="A781" s="38" t="str">
        <x:v>Q020::B0027IGKV6_review_1169352</x:v>
      </x:c>
      <x:c r="B781" s="38" t="str">
        <x:v>Q020</x:v>
      </x:c>
      <x:c r="C781" s="91" t="str">
        <x:v>Find electronics products with responsive warranty support and straightforward replacements.</x:v>
      </x:c>
      <x:c r="D781" s="38" t="n">
        <x:v>29</x:v>
      </x:c>
      <x:c r="E781" s="38" t="str">
        <x:v>B0027IGKV6</x:v>
      </x:c>
      <x:c r="F781" s="38" t="str">
        <x:v>review</x:v>
      </x:c>
      <x:c r="G781" s="38" t="str">
        <x:v>customer service</x:v>
      </x:c>
      <x:c r="H781" s="38" t="str">
        <x:v>Computers</x:v>
      </x:c>
      <x:c r="I781" s="91" t="str">
        <x:v>[Product: Seagate ST31000340NS Barracuda ES.2 1TB Internal SATA 3.0-Gb/s Hard Drive | ASIN: B0027IGKV6] Barracuda drives use to have a five year warranty - activated on the date of sale. Through the years, the warranty has gone down to three and then to two years - beginning on the date of manufacture. If my math is correct, the typical warranty is really 1.5 years at best. If Seagate is so confident of its products and their reliability, why has it reduced hard drive warranty by 333%?&lt;br /&gt;.&lt;br Because of premature deaths, two were sent back factory for replacements.</x:v>
      </x:c>
      <x:c r="J781" s="101" t="n">
        <x:v>1</x:v>
      </x:c>
      <x:c r="K781" s="92" t="str">
        <x:v>Human_Reviewer_01</x:v>
      </x:c>
      <x:c r="L781" s="92" t="str">
        <x:v>High</x:v>
      </x:c>
      <x:c r="M781" s="93" t="str">
        <x:v>Drive warranty duration and factory returns are described, but response speed and replacement ease are absent.</x:v>
      </x:c>
      <x:c r="N781" s="94"/>
      <x:c r="O781" s="94"/>
      <x:c r="P781" s="94"/>
      <x:c r="Q781" s="95"/>
      <x:c r="R781" s="96"/>
      <x:c r="S781" s="96"/>
      <x:c r="T781" s="97"/>
      <x:c r="U781" s="98" t="str">
        <x:f>IF(OR(J781="",N781=""),"",IF(J781=N781,"No","Yes"))</x:f>
      </x:c>
      <x:c r="V781" s="98" t="n">
        <x:v>1</x:v>
      </x:c>
    </x:row>
    <x:row r="782" ht="54" hidden="0" customHeight="1">
      <x:c r="A782" s="38" t="str">
        <x:v>Q020::B001B822GA_review_1428972</x:v>
      </x:c>
      <x:c r="B782" s="38" t="str">
        <x:v>Q020</x:v>
      </x:c>
      <x:c r="C782" s="91" t="str">
        <x:v>Find electronics products with responsive warranty support and straightforward replacements.</x:v>
      </x:c>
      <x:c r="D782" s="38" t="n">
        <x:v>30</x:v>
      </x:c>
      <x:c r="E782" s="38" t="str">
        <x:v>B001B822GA</x:v>
      </x:c>
      <x:c r="F782" s="38" t="str">
        <x:v>review</x:v>
      </x:c>
      <x:c r="G782" s="38" t="str">
        <x:v>general</x:v>
      </x:c>
      <x:c r="H782" s="38" t="str">
        <x:v>Computers</x:v>
      </x:c>
      <x:c r="I782" s="91" t="str">
        <x:v>[Product: Warrantech 5-Year DOP Warranty For LCD Flat Panel And CRT TVs | ASIN: B001B822GA] Product delivered as advertised.</x:v>
      </x:c>
      <x:c r="J782" s="101" t="n">
        <x:v>0</x:v>
      </x:c>
      <x:c r="K782" s="92" t="str">
        <x:v>Human_Reviewer_01</x:v>
      </x:c>
      <x:c r="L782" s="92" t="str">
        <x:v>High</x:v>
      </x:c>
      <x:c r="M782" s="93" t="str">
        <x:v>Warranty-plan delivery does not provide evidence about claims or support.</x:v>
      </x:c>
      <x:c r="N782" s="94"/>
      <x:c r="O782" s="94"/>
      <x:c r="P782" s="94"/>
      <x:c r="Q782" s="95"/>
      <x:c r="R782" s="96"/>
      <x:c r="S782" s="96"/>
      <x:c r="T782" s="97"/>
      <x:c r="U782" s="98" t="str">
        <x:f>IF(OR(J782="",N782=""),"",IF(J782=N782,"No","Yes"))</x:f>
      </x:c>
      <x:c r="V782" s="98" t="n">
        <x:v>0</x:v>
      </x:c>
    </x:row>
    <x:row r="783" ht="54" hidden="0" customHeight="1">
      <x:c r="A783" s="38" t="str">
        <x:v>Q020::B001B822GA_review_1428973</x:v>
      </x:c>
      <x:c r="B783" s="38" t="str">
        <x:v>Q020</x:v>
      </x:c>
      <x:c r="C783" s="91" t="str">
        <x:v>Find electronics products with responsive warranty support and straightforward replacements.</x:v>
      </x:c>
      <x:c r="D783" s="38" t="n">
        <x:v>31</x:v>
      </x:c>
      <x:c r="E783" s="38" t="str">
        <x:v>B001B822GA</x:v>
      </x:c>
      <x:c r="F783" s="38" t="str">
        <x:v>review</x:v>
      </x:c>
      <x:c r="G783" s="38" t="str">
        <x:v>specifications/performance</x:v>
      </x:c>
      <x:c r="H783" s="38" t="str">
        <x:v>Computers</x:v>
      </x:c>
      <x:c r="I783" s="91" t="str">
        <x:v>[Product: Warrantech 5-Year DOP Warranty For LCD Flat Panel And CRT TVs | ASIN: B001B822GA] Was shipped fairly fast.</x:v>
      </x:c>
      <x:c r="J783" s="101" t="n">
        <x:v>0</x:v>
      </x:c>
      <x:c r="K783" s="92" t="str">
        <x:v>Human_Reviewer_01</x:v>
      </x:c>
      <x:c r="L783" s="92" t="str">
        <x:v>High</x:v>
      </x:c>
      <x:c r="M783" s="93" t="str">
        <x:v>Warranty-plan shipping speed does not establish warranty-response speed.</x:v>
      </x:c>
      <x:c r="N783" s="94"/>
      <x:c r="O783" s="94"/>
      <x:c r="P783" s="94"/>
      <x:c r="Q783" s="95"/>
      <x:c r="R783" s="96"/>
      <x:c r="S783" s="96"/>
      <x:c r="T783" s="97"/>
      <x:c r="U783" s="98" t="str">
        <x:f>IF(OR(J783="",N783=""),"",IF(J783=N783,"No","Yes"))</x:f>
      </x:c>
      <x:c r="V783" s="98" t="n">
        <x:v>0</x:v>
      </x:c>
    </x:row>
    <x:row r="784" ht="54" hidden="0" customHeight="1">
      <x:c r="A784" s="38" t="str">
        <x:v>Q020::B007L5TXMI_review_139307</x:v>
      </x:c>
      <x:c r="B784" s="38" t="str">
        <x:v>Q020</x:v>
      </x:c>
      <x:c r="C784" s="91" t="str">
        <x:v>Find electronics products with responsive warranty support and straightforward replacements.</x:v>
      </x:c>
      <x:c r="D784" s="38" t="n">
        <x:v>32</x:v>
      </x:c>
      <x:c r="E784" s="38" t="str">
        <x:v>B007L5TXMI</x:v>
      </x:c>
      <x:c r="F784" s="38" t="str">
        <x:v>review</x:v>
      </x:c>
      <x:c r="G784" s="38" t="str">
        <x:v>price/value</x:v>
      </x:c>
      <x:c r="H784" s="38" t="str">
        <x:v>Computers</x:v>
      </x:c>
      <x:c r="I784" s="91" t="str">
        <x:v>[Product: Kaser Net'sGo YF730-8G 9-Inch Tablet | ASIN: B007L5TXMI] My suggestion is when you are buying electronics just go ahead and spend the money or find the expensive products on sale somewhere.</x:v>
      </x:c>
      <x:c r="J784" s="101" t="n">
        <x:v>0</x:v>
      </x:c>
      <x:c r="K784" s="92" t="str">
        <x:v>Human_Reviewer_01</x:v>
      </x:c>
      <x:c r="L784" s="92" t="str">
        <x:v>High</x:v>
      </x:c>
      <x:c r="M784" s="93" t="str">
        <x:v>General purchasing advice does not describe warranty support.</x:v>
      </x:c>
      <x:c r="N784" s="94"/>
      <x:c r="O784" s="94"/>
      <x:c r="P784" s="94"/>
      <x:c r="Q784" s="95"/>
      <x:c r="R784" s="96"/>
      <x:c r="S784" s="96"/>
      <x:c r="T784" s="97"/>
      <x:c r="U784" s="98" t="str">
        <x:f>IF(OR(J784="",N784=""),"",IF(J784=N784,"No","Yes"))</x:f>
      </x:c>
      <x:c r="V784" s="98" t="n">
        <x:v>0</x:v>
      </x:c>
    </x:row>
    <x:row r="785" ht="54" hidden="0" customHeight="1">
      <x:c r="A785" s="38" t="str">
        <x:v>Q020::B00WGLO53E_review_1771543</x:v>
      </x:c>
      <x:c r="B785" s="38" t="str">
        <x:v>Q020</x:v>
      </x:c>
      <x:c r="C785" s="91" t="str">
        <x:v>Find electronics products with responsive warranty support and straightforward replacements.</x:v>
      </x:c>
      <x:c r="D785" s="38" t="n">
        <x:v>33</x:v>
      </x:c>
      <x:c r="E785" s="38" t="str">
        <x:v>B00WGLO53E</x:v>
      </x:c>
      <x:c r="F785" s="38" t="str">
        <x:v>review</x:v>
      </x:c>
      <x:c r="G785" s="38" t="str">
        <x:v>customer service</x:v>
      </x:c>
      <x:c r="H785" s="38" t="str">
        <x:v>Cell Phones &amp; Accessories</x:v>
      </x:c>
      <x:c r="I785" s="91" t="str">
        <x:v>[Product: BlueAnt - Pump Mini Black BT4.1 Sweatproof/Wireless Sports/Fitness Bluetooth Earbuds w/mic iPhone6+,6,Apple Watch,Android (Black) | ASIN: B00WGLO53E] UPDATE 2 - 11/30/16 - Received replacement a couple weeks ago for the original pair that were defective. I received satisfactory customer support and once they verified that my headset was still under warranty (via serial number), I was given a replacement unit without any hassle. I submitted a warranty claim and am waiting for my replacements.</x:v>
      </x:c>
      <x:c r="J785" s="101" t="n">
        <x:v>2</x:v>
      </x:c>
      <x:c r="K785" s="92" t="str">
        <x:v>Human_Reviewer_01</x:v>
      </x:c>
      <x:c r="L785" s="92" t="str">
        <x:v>High</x:v>
      </x:c>
      <x:c r="M785" s="93" t="str">
        <x:v>Earbuds receive satisfactory support and a hassle-free replacement after serial-number warranty verification.</x:v>
      </x:c>
      <x:c r="N785" s="94"/>
      <x:c r="O785" s="94"/>
      <x:c r="P785" s="94"/>
      <x:c r="Q785" s="95"/>
      <x:c r="R785" s="96"/>
      <x:c r="S785" s="96"/>
      <x:c r="T785" s="97"/>
      <x:c r="U785" s="98" t="str">
        <x:f>IF(OR(J785="",N785=""),"",IF(J785=N785,"No","Yes"))</x:f>
      </x:c>
      <x:c r="V785" s="98" t="n">
        <x:v>2</x:v>
      </x:c>
    </x:row>
    <x:row r="786" ht="54" hidden="0" customHeight="1">
      <x:c r="A786" s="38" t="str">
        <x:v>Q020::B007PBPYVC_review_1795267</x:v>
      </x:c>
      <x:c r="B786" s="38" t="str">
        <x:v>Q020</x:v>
      </x:c>
      <x:c r="C786" s="91" t="str">
        <x:v>Find electronics products with responsive warranty support and straightforward replacements.</x:v>
      </x:c>
      <x:c r="D786" s="38" t="n">
        <x:v>34</x:v>
      </x:c>
      <x:c r="E786" s="38" t="str">
        <x:v>B007PBPYVC</x:v>
      </x:c>
      <x:c r="F786" s="38" t="str">
        <x:v>review</x:v>
      </x:c>
      <x:c r="G786" s="38" t="str">
        <x:v>general</x:v>
      </x:c>
      <x:c r="H786" s="38" t="str">
        <x:v>Computers</x:v>
      </x:c>
      <x:c r="I786" s="91" t="str">
        <x:v>[Product: Exxact Parts Solution Replacement for Acer AS10D31 AS10D81 AS10D51 AS10D41 AS10D61 AS10D73 AS10D75 5750 AS10D71 5742 AS10D56 E1-531 5250 E1-571 5733 7741 5733 5755 | ASIN: B007PBPYVC] Great product. Working well. Thanks.</x:v>
      </x:c>
      <x:c r="J786" s="101" t="n">
        <x:v>0</x:v>
      </x:c>
      <x:c r="K786" s="92" t="str">
        <x:v>Human_Reviewer_01</x:v>
      </x:c>
      <x:c r="L786" s="92" t="str">
        <x:v>High</x:v>
      </x:c>
      <x:c r="M786" s="93" t="str">
        <x:v>Replacement battery operation is described, not warranty service.</x:v>
      </x:c>
      <x:c r="N786" s="94"/>
      <x:c r="O786" s="94"/>
      <x:c r="P786" s="94"/>
      <x:c r="Q786" s="95"/>
      <x:c r="R786" s="96"/>
      <x:c r="S786" s="96"/>
      <x:c r="T786" s="97"/>
      <x:c r="U786" s="98" t="str">
        <x:f>IF(OR(J786="",N786=""),"",IF(J786=N786,"No","Yes"))</x:f>
      </x:c>
      <x:c r="V786" s="98" t="n">
        <x:v>0</x:v>
      </x:c>
    </x:row>
    <x:row r="787" ht="54" hidden="0" customHeight="1">
      <x:c r="A787" s="38" t="str">
        <x:v>Q020::B00DFL0VX2_review_3777519</x:v>
      </x:c>
      <x:c r="B787" s="38" t="str">
        <x:v>Q020</x:v>
      </x:c>
      <x:c r="C787" s="91" t="str">
        <x:v>Find electronics products with responsive warranty support and straightforward replacements.</x:v>
      </x:c>
      <x:c r="D787" s="38" t="n">
        <x:v>35</x:v>
      </x:c>
      <x:c r="E787" s="38" t="str">
        <x:v>B00DFL0VX2</x:v>
      </x:c>
      <x:c r="F787" s="38" t="str">
        <x:v>review</x:v>
      </x:c>
      <x:c r="G787" s="38" t="str">
        <x:v>general</x:v>
      </x:c>
      <x:c r="H787" s="38" t="str">
        <x:v>Computers</x:v>
      </x:c>
      <x:c r="I787" s="91" t="str">
        <x:v>[Product: Laptop Screen Replacement Tool Kit | ASIN: B00DFL0VX2] A nice set of tools I can use on other tech repair as well.</x:v>
      </x:c>
      <x:c r="J787" s="101" t="n">
        <x:v>0</x:v>
      </x:c>
      <x:c r="K787" s="92" t="str">
        <x:v>Human_Reviewer_01</x:v>
      </x:c>
      <x:c r="L787" s="92" t="str">
        <x:v>High</x:v>
      </x:c>
      <x:c r="M787" s="93" t="str">
        <x:v>Repair-tool versatility does not describe warranty support.</x:v>
      </x:c>
      <x:c r="N787" s="94"/>
      <x:c r="O787" s="94"/>
      <x:c r="P787" s="94"/>
      <x:c r="Q787" s="95"/>
      <x:c r="R787" s="96"/>
      <x:c r="S787" s="96"/>
      <x:c r="T787" s="97"/>
      <x:c r="U787" s="98" t="str">
        <x:f>IF(OR(J787="",N787=""),"",IF(J787=N787,"No","Yes"))</x:f>
      </x:c>
      <x:c r="V787" s="98" t="n">
        <x:v>0</x:v>
      </x:c>
    </x:row>
    <x:row r="788" ht="54" hidden="0" customHeight="1">
      <x:c r="A788" s="38" t="str">
        <x:v>Q020::B00S8U0VT4_review_2387761</x:v>
      </x:c>
      <x:c r="B788" s="38" t="str">
        <x:v>Q020</x:v>
      </x:c>
      <x:c r="C788" s="91" t="str">
        <x:v>Find electronics products with responsive warranty support and straightforward replacements.</x:v>
      </x:c>
      <x:c r="D788" s="38" t="n">
        <x:v>36</x:v>
      </x:c>
      <x:c r="E788" s="38" t="str">
        <x:v>B00S8U0VT4</x:v>
      </x:c>
      <x:c r="F788" s="38" t="str">
        <x:v>review</x:v>
      </x:c>
      <x:c r="G788" s="38" t="str">
        <x:v>price/value</x:v>
      </x:c>
      <x:c r="H788" s="38" t="str">
        <x:v>Cell Phones &amp; Accessories</x:v>
      </x:c>
      <x:c r="I788" s="91" t="str">
        <x:v>[Product: Touch Screen/Panel Digitizer Glass Replacement Parts for DigiLand DL1010Q 10.1inch Tablet PC | ASIN: B00S8U0VT4] Fairly priced.</x:v>
      </x:c>
      <x:c r="J788" s="101" t="n">
        <x:v>0</x:v>
      </x:c>
      <x:c r="K788" s="92" t="str">
        <x:v>Human_Reviewer_01</x:v>
      </x:c>
      <x:c r="L788" s="92" t="str">
        <x:v>High</x:v>
      </x:c>
      <x:c r="M788" s="93" t="str">
        <x:v>Replacement-part price does not describe warranty support.</x:v>
      </x:c>
      <x:c r="N788" s="94"/>
      <x:c r="O788" s="94"/>
      <x:c r="P788" s="94"/>
      <x:c r="Q788" s="95"/>
      <x:c r="R788" s="96"/>
      <x:c r="S788" s="96"/>
      <x:c r="T788" s="97"/>
      <x:c r="U788" s="98" t="str">
        <x:f>IF(OR(J788="",N788=""),"",IF(J788=N788,"No","Yes"))</x:f>
      </x:c>
      <x:c r="V788" s="98" t="n">
        <x:v>0</x:v>
      </x:c>
    </x:row>
    <x:row r="789" ht="54" hidden="0" customHeight="1">
      <x:c r="A789" s="38" t="str">
        <x:v>Q020::B007PBPYVC_review_1795265</x:v>
      </x:c>
      <x:c r="B789" s="38" t="str">
        <x:v>Q020</x:v>
      </x:c>
      <x:c r="C789" s="91" t="str">
        <x:v>Find electronics products with responsive warranty support and straightforward replacements.</x:v>
      </x:c>
      <x:c r="D789" s="38" t="n">
        <x:v>37</x:v>
      </x:c>
      <x:c r="E789" s="38" t="str">
        <x:v>B007PBPYVC</x:v>
      </x:c>
      <x:c r="F789" s="38" t="str">
        <x:v>review</x:v>
      </x:c>
      <x:c r="G789" s="38" t="str">
        <x:v>battery life</x:v>
      </x:c>
      <x:c r="H789" s="38" t="str">
        <x:v>Computers</x:v>
      </x:c>
      <x:c r="I789" s="91" t="str">
        <x:v>[Product: Exxact Parts Solution Replacement for Acer AS10D31 AS10D81 AS10D51 AS10D41 AS10D61 AS10D73 AS10D75 5750 AS10D71 5742 AS10D56 E1-531 5250 E1-571 5733 7741 5733 5755 | ASIN: B007PBPYVC] Very good - but seems to need recharging a a bit sooner than original.</x:v>
      </x:c>
      <x:c r="J789" s="101" t="n">
        <x:v>0</x:v>
      </x:c>
      <x:c r="K789" s="92" t="str">
        <x:v>Human_Reviewer_01</x:v>
      </x:c>
      <x:c r="L789" s="92" t="str">
        <x:v>High</x:v>
      </x:c>
      <x:c r="M789" s="93" t="str">
        <x:v>Replacement battery runtime does not describe warranty support.</x:v>
      </x:c>
      <x:c r="N789" s="94"/>
      <x:c r="O789" s="94"/>
      <x:c r="P789" s="94"/>
      <x:c r="Q789" s="95"/>
      <x:c r="R789" s="96"/>
      <x:c r="S789" s="96"/>
      <x:c r="T789" s="97"/>
      <x:c r="U789" s="98" t="str">
        <x:f>IF(OR(J789="",N789=""),"",IF(J789=N789,"No","Yes"))</x:f>
      </x:c>
      <x:c r="V789" s="98" t="n">
        <x:v>0</x:v>
      </x:c>
    </x:row>
    <x:row r="790" ht="54" hidden="0" customHeight="1">
      <x:c r="A790" s="38" t="str">
        <x:v>Q020::B007PBPYVC_review_1795272</x:v>
      </x:c>
      <x:c r="B790" s="38" t="str">
        <x:v>Q020</x:v>
      </x:c>
      <x:c r="C790" s="91" t="str">
        <x:v>Find electronics products with responsive warranty support and straightforward replacements.</x:v>
      </x:c>
      <x:c r="D790" s="38" t="n">
        <x:v>38</x:v>
      </x:c>
      <x:c r="E790" s="38" t="str">
        <x:v>B007PBPYVC</x:v>
      </x:c>
      <x:c r="F790" s="38" t="str">
        <x:v>review</x:v>
      </x:c>
      <x:c r="G790" s="38" t="str">
        <x:v>battery life</x:v>
      </x:c>
      <x:c r="H790" s="38" t="str">
        <x:v>Computers</x:v>
      </x:c>
      <x:c r="I790" s="91" t="str">
        <x:v>[Product: Exxact Parts Solution Replacement for Acer AS10D31 AS10D81 AS10D51 AS10D41 AS10D61 AS10D73 AS10D75 5750 AS10D71 5742 AS10D56 E1-531 5250 E1-571 5733 7741 5733 5755 | ASIN: B007PBPYVC] Holds charge pretty well.</x:v>
      </x:c>
      <x:c r="J790" s="101" t="n">
        <x:v>0</x:v>
      </x:c>
      <x:c r="K790" s="92" t="str">
        <x:v>Human_Reviewer_01</x:v>
      </x:c>
      <x:c r="L790" s="92" t="str">
        <x:v>High</x:v>
      </x:c>
      <x:c r="M790" s="93" t="str">
        <x:v>Replacement battery charge retention does not describe warranty support.</x:v>
      </x:c>
      <x:c r="N790" s="94"/>
      <x:c r="O790" s="94"/>
      <x:c r="P790" s="94"/>
      <x:c r="Q790" s="95"/>
      <x:c r="R790" s="96"/>
      <x:c r="S790" s="96"/>
      <x:c r="T790" s="97"/>
      <x:c r="U790" s="98" t="str">
        <x:f>IF(OR(J790="",N790=""),"",IF(J790=N790,"No","Yes"))</x:f>
      </x:c>
      <x:c r="V790" s="98" t="n">
        <x:v>0</x:v>
      </x:c>
    </x:row>
    <x:row r="791" ht="54" hidden="0" customHeight="1">
      <x:c r="A791" s="38" t="str">
        <x:v>Q020::B007PBPYVC_review_1795264</x:v>
      </x:c>
      <x:c r="B791" s="38" t="str">
        <x:v>Q020</x:v>
      </x:c>
      <x:c r="C791" s="91" t="str">
        <x:v>Find electronics products with responsive warranty support and straightforward replacements.</x:v>
      </x:c>
      <x:c r="D791" s="38" t="n">
        <x:v>39</x:v>
      </x:c>
      <x:c r="E791" s="38" t="str">
        <x:v>B007PBPYVC</x:v>
      </x:c>
      <x:c r="F791" s="38" t="str">
        <x:v>review</x:v>
      </x:c>
      <x:c r="G791" s="38" t="str">
        <x:v>price/value</x:v>
      </x:c>
      <x:c r="H791" s="38" t="str">
        <x:v>Computers</x:v>
      </x:c>
      <x:c r="I791" s="91" t="str">
        <x:v>[Product: Exxact Parts Solution Replacement for Acer AS10D31 AS10D81 AS10D51 AS10D41 AS10D61 AS10D73 AS10D75 5750 AS10D71 5742 AS10D56 E1-531 5250 E1-571 5733 7741 5733 5755 | ASIN: B007PBPYVC] Cannot beat the price either.</x:v>
      </x:c>
      <x:c r="J791" s="101" t="n">
        <x:v>0</x:v>
      </x:c>
      <x:c r="K791" s="92" t="str">
        <x:v>Human_Reviewer_01</x:v>
      </x:c>
      <x:c r="L791" s="92" t="str">
        <x:v>High</x:v>
      </x:c>
      <x:c r="M791" s="93" t="str">
        <x:v>Replacement battery price does not describe warranty support.</x:v>
      </x:c>
      <x:c r="N791" s="94"/>
      <x:c r="O791" s="94"/>
      <x:c r="P791" s="94"/>
      <x:c r="Q791" s="95"/>
      <x:c r="R791" s="96"/>
      <x:c r="S791" s="96"/>
      <x:c r="T791" s="97"/>
      <x:c r="U791" s="98" t="str">
        <x:f>IF(OR(J791="",N791=""),"",IF(J791=N791,"No","Yes"))</x:f>
      </x:c>
      <x:c r="V791" s="98" t="n">
        <x:v>0</x:v>
      </x:c>
    </x:row>
    <x:row r="792" ht="54" hidden="0" customHeight="1">
      <x:c r="A792" s="38" t="str">
        <x:v>Q020::B0798X559S_review_1816363</x:v>
      </x:c>
      <x:c r="B792" s="38" t="str">
        <x:v>Q020</x:v>
      </x:c>
      <x:c r="C792" s="91" t="str">
        <x:v>Find electronics products with responsive warranty support and straightforward replacements.</x:v>
      </x:c>
      <x:c r="D792" s="38" t="n">
        <x:v>40</x:v>
      </x:c>
      <x:c r="E792" s="38" t="str">
        <x:v>B0798X559S</x:v>
      </x:c>
      <x:c r="F792" s="38" t="str">
        <x:v>review</x:v>
      </x:c>
      <x:c r="G792" s="38" t="str">
        <x:v>customer service</x:v>
      </x:c>
      <x:c r="H792" s="38" t="str">
        <x:v>Camera &amp; Photo</x:v>
      </x:c>
      <x:c r="I792" s="91" t="str">
        <x:v>[Product: Zmodo Wireless Security Camera System (2 Pack) Smart HD Outdoor WiFi IP Cameras with Night Vision (Renewed) | ASIN: B0798X559S] They sent replacements. Installed the replacements. The replacements died too. You are covered under warranty for three years, but they just stop working, and you have to replace them again. I have had to replace every camera</x:v>
      </x:c>
      <x:c r="J792" s="101" t="n">
        <x:v>2</x:v>
      </x:c>
      <x:c r="K792" s="92" t="str">
        <x:v>Human_Reviewer_01</x:v>
      </x:c>
      <x:c r="L792" s="92" t="str">
        <x:v>High</x:v>
      </x:c>
      <x:c r="M792" s="93" t="str">
        <x:v>Camera system receives repeated replacements under a three-year warranty, but replacements also fail.</x:v>
      </x:c>
      <x:c r="N792" s="94"/>
      <x:c r="O792" s="94"/>
      <x:c r="P792" s="94"/>
      <x:c r="Q792" s="95"/>
      <x:c r="R792" s="96"/>
      <x:c r="S792" s="96"/>
      <x:c r="T792" s="97"/>
      <x:c r="U792" s="98" t="str">
        <x:f>IF(OR(J792="",N792=""),"",IF(J792=N792,"No","Yes"))</x:f>
      </x:c>
      <x:c r="V792" s="98" t="n">
        <x:v>2</x:v>
      </x:c>
    </x:row>
  </x:sheetData>
  <x:conditionalFormatting sqref="J2:J792">
    <x:cfRule type="cellIs" dxfId="2" priority="1" operator="equal">
      <x:formula>2</x:formula>
    </x:cfRule>
    <x:cfRule type="cellIs" dxfId="3" priority="2" operator="equal">
      <x:formula>1</x:formula>
    </x:cfRule>
    <x:cfRule type="cellIs" dxfId="4" priority="3" operator="equal">
      <x:formula>0</x:formula>
    </x:cfRule>
  </x:conditionalFormatting>
  <x:conditionalFormatting sqref="N2:N792">
    <x:cfRule type="cellIs" dxfId="5" priority="4" operator="equal">
      <x:formula>2</x:formula>
    </x:cfRule>
    <x:cfRule type="cellIs" dxfId="6" priority="5" operator="equal">
      <x:formula>1</x:formula>
    </x:cfRule>
    <x:cfRule type="cellIs" dxfId="7" priority="6" operator="equal">
      <x:formula>0</x:formula>
    </x:cfRule>
  </x:conditionalFormatting>
  <x:conditionalFormatting sqref="R2:R792">
    <x:cfRule type="cellIs" dxfId="8" priority="7" operator="equal">
      <x:formula>2</x:formula>
    </x:cfRule>
    <x:cfRule type="cellIs" dxfId="9" priority="8" operator="equal">
      <x:formula>1</x:formula>
    </x:cfRule>
    <x:cfRule type="cellIs" dxfId="10" priority="9" operator="equal">
      <x:formula>0</x:formula>
    </x:cfRule>
  </x:conditionalFormatting>
  <x:conditionalFormatting sqref="U2:U792">
    <x:cfRule type="containsText" dxfId="11" priority="10" operator="containsText" text="Yes"/>
  </x:conditionalFormatting>
  <x:dataValidations count="5">
    <x:dataValidation type="list" sqref="J2:J792">
      <x:formula1>"0,1,2"</x:formula1>
    </x:dataValidation>
    <x:dataValidation type="list" sqref="N2:N792">
      <x:formula1>"0,1,2"</x:formula1>
    </x:dataValidation>
    <x:dataValidation type="list" sqref="R2:R792">
      <x:formula1>"0,1,2"</x:formula1>
    </x:dataValidation>
    <x:dataValidation type="list" sqref="L2:L792">
      <x:formula1>"High,Medium,Low"</x:formula1>
    </x:dataValidation>
    <x:dataValidation type="list" sqref="P2:P792">
      <x:formula1>"High,Medium,Low"</x:formula1>
    </x:dataValidation>
  </x:dataValidations>
  <x:pageMargins left="0.7" right="0.7" top="0.75" bottom="0.75" header="0.3" footer="0.3"/>
  <x:tableParts count="1">
    <x:tablePart xmlns:r="http://schemas.openxmlformats.org/officeDocument/2006/relationships" r:id="Rbf6e09ef4693409f"/>
  </x:tableParts>
</x:worksheet>
</file>

<file path=xl/worksheets/sheet3.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2" hidden="0" customWidth="1"/>
    <x:col min="2" max="2" width="70" hidden="0" customWidth="1"/>
    <x:col min="3" max="3" width="24" hidden="0" customWidth="1"/>
    <x:col min="4" max="4" width="46" hidden="0" customWidth="1"/>
    <x:col min="5" max="5" width="34" hidden="0" customWidth="1"/>
    <x:col min="6" max="6" width="12" hidden="0" customWidth="1"/>
    <x:col min="7" max="7" width="16" hidden="0" customWidth="1"/>
    <x:col min="8" max="8" width="20" hidden="0" customWidth="1"/>
  </x:cols>
  <x:sheetData>
    <x:row r="1" ht="34" customHeight="1">
      <x:c r="A1" s="12" t="str">
        <x:v>query_id</x:v>
      </x:c>
      <x:c r="B1" s="28" t="str">
        <x:v>query</x:v>
      </x:c>
      <x:c r="C1" s="28" t="str">
        <x:v>intent</x:v>
      </x:c>
      <x:c r="D1" s="28" t="str">
        <x:v>target_aspects</x:v>
      </x:c>
      <x:c r="E1" s="28" t="str">
        <x:v>target_category</x:v>
      </x:c>
      <x:c r="F1" s="28" t="str">
        <x:v>difficulty</x:v>
      </x:c>
      <x:c r="G1" s="28" t="str">
        <x:v>candidate_count</x:v>
      </x:c>
      <x:c r="H1" s="13" t="str">
        <x:v>bm25_dense_overlap</x:v>
      </x:c>
    </x:row>
    <x:row r="2" ht="42" customHeight="1">
      <x:c r="A2" s="38" t="str">
        <x:v>Q001</x:v>
      </x:c>
      <x:c r="B2" s="91" t="str">
        <x:v>Which wireless earbuds have long battery life and stay comfortable during long flights?</x:v>
      </x:c>
      <x:c r="C2" s="91" t="str">
        <x:v>product_recommendation</x:v>
      </x:c>
      <x:c r="D2" s="91" t="str">
        <x:v>battery life; comfort</x:v>
      </x:c>
      <x:c r="E2" s="38" t="str">
        <x:v>Portable Audio &amp; Accessories</x:v>
      </x:c>
      <x:c r="F2" s="38" t="str">
        <x:v>medium</x:v>
      </x:c>
      <x:c r="G2" s="38" t="n">
        <x:v>40</x:v>
      </x:c>
      <x:c r="H2" s="38" t="n">
        <x:v>0</x:v>
      </x:c>
    </x:row>
    <x:row r="3" ht="42" customHeight="1">
      <x:c r="A3" s="38" t="str">
        <x:v>Q002</x:v>
      </x:c>
      <x:c r="B3" s="91" t="str">
        <x:v>I need Bluetooth headphones with clear microphone quality and a stable connection for work calls.</x:v>
      </x:c>
      <x:c r="C3" s="91" t="str">
        <x:v>product_recommendation</x:v>
      </x:c>
      <x:c r="D3" s="91" t="str">
        <x:v>sound quality; connectivity</x:v>
      </x:c>
      <x:c r="E3" s="38" t="str">
        <x:v>Portable Audio &amp; Accessories</x:v>
      </x:c>
      <x:c r="F3" s="38" t="str">
        <x:v>medium</x:v>
      </x:c>
      <x:c r="G3" s="38" t="n">
        <x:v>40</x:v>
      </x:c>
      <x:c r="H3" s="38" t="n">
        <x:v>0</x:v>
      </x:c>
    </x:row>
    <x:row r="4" ht="42" customHeight="1">
      <x:c r="A4" s="38" t="str">
        <x:v>Q003</x:v>
      </x:c>
      <x:c r="B4" s="91" t="str">
        <x:v>Which portable speaker has strong bass without distortion at high volume?</x:v>
      </x:c>
      <x:c r="C4" s="91" t="str">
        <x:v>product_recommendation</x:v>
      </x:c>
      <x:c r="D4" s="91" t="str">
        <x:v>sound quality; specifications/performance</x:v>
      </x:c>
      <x:c r="E4" s="38" t="str">
        <x:v>Portable Audio &amp; Accessories</x:v>
      </x:c>
      <x:c r="F4" s="38" t="str">
        <x:v>medium</x:v>
      </x:c>
      <x:c r="G4" s="38" t="n">
        <x:v>37</x:v>
      </x:c>
      <x:c r="H4" s="38" t="n">
        <x:v>3</x:v>
      </x:c>
    </x:row>
    <x:row r="5" ht="42" customHeight="1">
      <x:c r="A5" s="38" t="str">
        <x:v>Q004</x:v>
      </x:c>
      <x:c r="B5" s="91" t="str">
        <x:v>Find a monitor with accurate colors and a sharp display for photo editing.</x:v>
      </x:c>
      <x:c r="C5" s="91" t="str">
        <x:v>product_recommendation</x:v>
      </x:c>
      <x:c r="D5" s="91" t="str">
        <x:v>screen/display; specifications/performance</x:v>
      </x:c>
      <x:c r="E5" s="38" t="str">
        <x:v>Computers</x:v>
      </x:c>
      <x:c r="F5" s="38" t="str">
        <x:v>medium</x:v>
      </x:c>
      <x:c r="G5" s="38" t="n">
        <x:v>39</x:v>
      </x:c>
      <x:c r="H5" s="38" t="n">
        <x:v>1</x:v>
      </x:c>
    </x:row>
    <x:row r="6" ht="42" customHeight="1">
      <x:c r="A6" s="38" t="str">
        <x:v>Q005</x:v>
      </x:c>
      <x:c r="B6" s="91" t="str">
        <x:v>I need a monitor that is easy to set up and has reliable connectivity with a laptop.</x:v>
      </x:c>
      <x:c r="C6" s="91" t="str">
        <x:v>product_recommendation</x:v>
      </x:c>
      <x:c r="D6" s="91" t="str">
        <x:v>ease of use; connectivity</x:v>
      </x:c>
      <x:c r="E6" s="38" t="str">
        <x:v>Computers</x:v>
      </x:c>
      <x:c r="F6" s="38" t="str">
        <x:v>medium</x:v>
      </x:c>
      <x:c r="G6" s="38" t="n">
        <x:v>40</x:v>
      </x:c>
      <x:c r="H6" s="38" t="n">
        <x:v>0</x:v>
      </x:c>
    </x:row>
    <x:row r="7" ht="42" customHeight="1">
      <x:c r="A7" s="38" t="str">
        <x:v>Q006</x:v>
      </x:c>
      <x:c r="B7" s="91" t="str">
        <x:v>Which lightweight laptop offers good battery life for travel and everyday office work?</x:v>
      </x:c>
      <x:c r="C7" s="91" t="str">
        <x:v>product_recommendation</x:v>
      </x:c>
      <x:c r="D7" s="91" t="str">
        <x:v>battery life; design/appearance; specifications/performance</x:v>
      </x:c>
      <x:c r="E7" s="38" t="str">
        <x:v>Computers</x:v>
      </x:c>
      <x:c r="F7" s="38" t="str">
        <x:v>hard</x:v>
      </x:c>
      <x:c r="G7" s="38" t="n">
        <x:v>39</x:v>
      </x:c>
      <x:c r="H7" s="38" t="n">
        <x:v>1</x:v>
      </x:c>
    </x:row>
    <x:row r="8" ht="42" customHeight="1">
      <x:c r="A8" s="38" t="str">
        <x:v>Q007</x:v>
      </x:c>
      <x:c r="B8" s="91" t="str">
        <x:v>Find a laptop with strong performance for video editing and multitasking.</x:v>
      </x:c>
      <x:c r="C8" s="91" t="str">
        <x:v>product_recommendation</x:v>
      </x:c>
      <x:c r="D8" s="91" t="str">
        <x:v>specifications/performance</x:v>
      </x:c>
      <x:c r="E8" s="38" t="str">
        <x:v>Computers</x:v>
      </x:c>
      <x:c r="F8" s="38" t="str">
        <x:v>medium</x:v>
      </x:c>
      <x:c r="G8" s="38" t="n">
        <x:v>39</x:v>
      </x:c>
      <x:c r="H8" s="38" t="n">
        <x:v>1</x:v>
      </x:c>
    </x:row>
    <x:row r="9" ht="42" customHeight="1">
      <x:c r="A9" s="38" t="str">
        <x:v>Q008</x:v>
      </x:c>
      <x:c r="B9" s="91" t="str">
        <x:v>I need a quiet and reliable cooling fan for a desktop computer.</x:v>
      </x:c>
      <x:c r="C9" s="91" t="str">
        <x:v>product_recommendation</x:v>
      </x:c>
      <x:c r="D9" s="91" t="str">
        <x:v>noise; build quality; specifications/performance</x:v>
      </x:c>
      <x:c r="E9" s="38" t="str">
        <x:v>Computers</x:v>
      </x:c>
      <x:c r="F9" s="38" t="str">
        <x:v>hard</x:v>
      </x:c>
      <x:c r="G9" s="38" t="n">
        <x:v>40</x:v>
      </x:c>
      <x:c r="H9" s="38" t="n">
        <x:v>0</x:v>
      </x:c>
    </x:row>
    <x:row r="10" ht="42" customHeight="1">
      <x:c r="A10" s="38" t="str">
        <x:v>Q009</x:v>
      </x:c>
      <x:c r="B10" s="91" t="str">
        <x:v>Which tablet is easy to use for reading, video calls, and web browsing?</x:v>
      </x:c>
      <x:c r="C10" s="91" t="str">
        <x:v>product_recommendation</x:v>
      </x:c>
      <x:c r="D10" s="91" t="str">
        <x:v>ease of use; screen/display; specifications/performance</x:v>
      </x:c>
      <x:c r="E10" s="38" t="str">
        <x:v>Computers</x:v>
      </x:c>
      <x:c r="F10" s="38" t="str">
        <x:v>hard</x:v>
      </x:c>
      <x:c r="G10" s="38" t="n">
        <x:v>39</x:v>
      </x:c>
      <x:c r="H10" s="38" t="n">
        <x:v>1</x:v>
      </x:c>
    </x:row>
    <x:row r="11" ht="42" customHeight="1">
      <x:c r="A11" s="38" t="str">
        <x:v>Q010</x:v>
      </x:c>
      <x:c r="B11" s="91" t="str">
        <x:v>Find a protective tablet case that is durable but not bulky.</x:v>
      </x:c>
      <x:c r="C11" s="91" t="str">
        <x:v>product_recommendation</x:v>
      </x:c>
      <x:c r="D11" s="91" t="str">
        <x:v>build quality; design/appearance</x:v>
      </x:c>
      <x:c r="E11" s="38" t="str">
        <x:v>Computers</x:v>
      </x:c>
      <x:c r="F11" s="38" t="str">
        <x:v>medium</x:v>
      </x:c>
      <x:c r="G11" s="38" t="n">
        <x:v>40</x:v>
      </x:c>
      <x:c r="H11" s="38" t="n">
        <x:v>0</x:v>
      </x:c>
    </x:row>
    <x:row r="12" ht="42" customHeight="1">
      <x:c r="A12" s="38" t="str">
        <x:v>Q011</x:v>
      </x:c>
      <x:c r="B12" s="91" t="str">
        <x:v>Which security camera provides clear night images and reliable wireless connectivity?</x:v>
      </x:c>
      <x:c r="C12" s="91" t="str">
        <x:v>product_recommendation</x:v>
      </x:c>
      <x:c r="D12" s="91" t="str">
        <x:v>image quality; connectivity</x:v>
      </x:c>
      <x:c r="E12" s="38" t="str">
        <x:v>Camera &amp; Photo</x:v>
      </x:c>
      <x:c r="F12" s="38" t="str">
        <x:v>hard</x:v>
      </x:c>
      <x:c r="G12" s="38" t="n">
        <x:v>40</x:v>
      </x:c>
      <x:c r="H12" s="38" t="n">
        <x:v>0</x:v>
      </x:c>
    </x:row>
    <x:row r="13" ht="42" customHeight="1">
      <x:c r="A13" s="38" t="str">
        <x:v>Q012</x:v>
      </x:c>
      <x:c r="B13" s="91" t="str">
        <x:v>I need a security camera system that is easy to install and manage from a phone.</x:v>
      </x:c>
      <x:c r="C13" s="91" t="str">
        <x:v>product_recommendation</x:v>
      </x:c>
      <x:c r="D13" s="91" t="str">
        <x:v>ease of use; connectivity</x:v>
      </x:c>
      <x:c r="E13" s="38" t="str">
        <x:v>Camera &amp; Photo</x:v>
      </x:c>
      <x:c r="F13" s="38" t="str">
        <x:v>medium</x:v>
      </x:c>
      <x:c r="G13" s="38" t="n">
        <x:v>39</x:v>
      </x:c>
      <x:c r="H13" s="38" t="n">
        <x:v>1</x:v>
      </x:c>
    </x:row>
    <x:row r="14" ht="42" customHeight="1">
      <x:c r="A14" s="38" t="str">
        <x:v>Q013</x:v>
      </x:c>
      <x:c r="B14" s="91" t="str">
        <x:v>Which digital camera performs well in low light and focuses quickly?</x:v>
      </x:c>
      <x:c r="C14" s="91" t="str">
        <x:v>product_recommendation</x:v>
      </x:c>
      <x:c r="D14" s="91" t="str">
        <x:v>image quality; specifications/performance</x:v>
      </x:c>
      <x:c r="E14" s="38" t="str">
        <x:v>Camera &amp; Photo</x:v>
      </x:c>
      <x:c r="F14" s="38" t="str">
        <x:v>hard</x:v>
      </x:c>
      <x:c r="G14" s="38" t="n">
        <x:v>40</x:v>
      </x:c>
      <x:c r="H14" s="38" t="n">
        <x:v>0</x:v>
      </x:c>
    </x:row>
    <x:row r="15" ht="42" customHeight="1">
      <x:c r="A15" s="38" t="str">
        <x:v>Q014</x:v>
      </x:c>
      <x:c r="B15" s="91" t="str">
        <x:v>Find a camera battery with long runtime and dependable build quality.</x:v>
      </x:c>
      <x:c r="C15" s="91" t="str">
        <x:v>product_recommendation</x:v>
      </x:c>
      <x:c r="D15" s="91" t="str">
        <x:v>battery life; build quality</x:v>
      </x:c>
      <x:c r="E15" s="38" t="str">
        <x:v>Camera &amp; Photo</x:v>
      </x:c>
      <x:c r="F15" s="38" t="str">
        <x:v>medium</x:v>
      </x:c>
      <x:c r="G15" s="38" t="n">
        <x:v>40</x:v>
      </x:c>
      <x:c r="H15" s="38" t="n">
        <x:v>0</x:v>
      </x:c>
    </x:row>
    <x:row r="16" ht="42" customHeight="1">
      <x:c r="A16" s="38" t="str">
        <x:v>Q015</x:v>
      </x:c>
      <x:c r="B16" s="91" t="str">
        <x:v>I need a camera bag that protects equipment and is comfortable to carry.</x:v>
      </x:c>
      <x:c r="C16" s="91" t="str">
        <x:v>product_recommendation</x:v>
      </x:c>
      <x:c r="D16" s="91" t="str">
        <x:v>build quality; comfort</x:v>
      </x:c>
      <x:c r="E16" s="38" t="str">
        <x:v>Camera &amp; Photo</x:v>
      </x:c>
      <x:c r="F16" s="38" t="str">
        <x:v>medium</x:v>
      </x:c>
      <x:c r="G16" s="38" t="n">
        <x:v>40</x:v>
      </x:c>
      <x:c r="H16" s="38" t="n">
        <x:v>0</x:v>
      </x:c>
    </x:row>
    <x:row r="17" ht="42" customHeight="1">
      <x:c r="A17" s="38" t="str">
        <x:v>Q016</x:v>
      </x:c>
      <x:c r="B17" s="91" t="str">
        <x:v>Which phone case offers strong drop protection without making the phone too bulky?</x:v>
      </x:c>
      <x:c r="C17" s="91" t="str">
        <x:v>product_recommendation</x:v>
      </x:c>
      <x:c r="D17" s="91" t="str">
        <x:v>build quality; design/appearance</x:v>
      </x:c>
      <x:c r="E17" s="38" t="str">
        <x:v>Cell Phones &amp; Accessories</x:v>
      </x:c>
      <x:c r="F17" s="38" t="str">
        <x:v>medium</x:v>
      </x:c>
      <x:c r="G17" s="38" t="n">
        <x:v>40</x:v>
      </x:c>
      <x:c r="H17" s="38" t="n">
        <x:v>0</x:v>
      </x:c>
    </x:row>
    <x:row r="18" ht="42" customHeight="1">
      <x:c r="A18" s="38" t="str">
        <x:v>Q017</x:v>
      </x:c>
      <x:c r="B18" s="91" t="str">
        <x:v>Find a smartwatch with dependable battery life and water resistance for exercise.</x:v>
      </x:c>
      <x:c r="C18" s="91" t="str">
        <x:v>product_recommendation</x:v>
      </x:c>
      <x:c r="D18" s="91" t="str">
        <x:v>battery life; build quality; specifications/performance</x:v>
      </x:c>
      <x:c r="E18" s="38" t="str">
        <x:v>Cell Phones &amp; Accessories</x:v>
      </x:c>
      <x:c r="F18" s="38" t="str">
        <x:v>hard</x:v>
      </x:c>
      <x:c r="G18" s="38" t="n">
        <x:v>40</x:v>
      </x:c>
      <x:c r="H18" s="38" t="n">
        <x:v>0</x:v>
      </x:c>
    </x:row>
    <x:row r="19" ht="42" customHeight="1">
      <x:c r="A19" s="38" t="str">
        <x:v>Q018</x:v>
      </x:c>
      <x:c r="B19" s="91" t="str">
        <x:v>I need a Bluetooth adapter that keeps a stable connection without frequent dropouts.</x:v>
      </x:c>
      <x:c r="C19" s="91" t="str">
        <x:v>product_recommendation</x:v>
      </x:c>
      <x:c r="D19" s="91" t="str">
        <x:v>connectivity; specifications/performance</x:v>
      </x:c>
      <x:c r="E19" s="38" t="str">
        <x:v>Computers</x:v>
      </x:c>
      <x:c r="F19" s="38" t="str">
        <x:v>medium</x:v>
      </x:c>
      <x:c r="G19" s="38" t="n">
        <x:v>39</x:v>
      </x:c>
      <x:c r="H19" s="38" t="n">
        <x:v>1</x:v>
      </x:c>
    </x:row>
    <x:row r="20" ht="42" customHeight="1">
      <x:c r="A20" s="38" t="str">
        <x:v>Q019</x:v>
      </x:c>
      <x:c r="B20" s="91" t="str">
        <x:v>Which laptop charger is durable and works reliably without overheating?</x:v>
      </x:c>
      <x:c r="C20" s="91" t="str">
        <x:v>product_recommendation</x:v>
      </x:c>
      <x:c r="D20" s="91" t="str">
        <x:v>build quality; specifications/performance</x:v>
      </x:c>
      <x:c r="E20" s="38" t="str">
        <x:v>Computers</x:v>
      </x:c>
      <x:c r="F20" s="38" t="str">
        <x:v>medium</x:v>
      </x:c>
      <x:c r="G20" s="38" t="n">
        <x:v>40</x:v>
      </x:c>
      <x:c r="H20" s="38" t="n">
        <x:v>0</x:v>
      </x:c>
    </x:row>
    <x:row r="21" ht="42" customHeight="1">
      <x:c r="A21" s="38" t="str">
        <x:v>Q020</x:v>
      </x:c>
      <x:c r="B21" s="91" t="str">
        <x:v>Find electronics products with responsive warranty support and straightforward replacements.</x:v>
      </x:c>
      <x:c r="C21" s="91" t="str">
        <x:v>support_quality</x:v>
      </x:c>
      <x:c r="D21" s="91" t="str">
        <x:v>customer service</x:v>
      </x:c>
      <x:c r="E21" s="38" t="str">
        <x:v>Any Electronics</x:v>
      </x:c>
      <x:c r="F21" s="38" t="str">
        <x:v>hard</x:v>
      </x:c>
      <x:c r="G21" s="38" t="n">
        <x:v>40</x:v>
      </x:c>
      <x:c r="H21" s="38" t="n">
        <x:v>0</x:v>
      </x:c>
    </x:row>
  </x:sheetData>
  <x:pageMargins left="0.7" right="0.7" top="0.75" bottom="0.75" header="0.3" footer="0.3"/>
  <x:tableParts count="1">
    <x:tablePart xmlns:r="http://schemas.openxmlformats.org/officeDocument/2006/relationships" r:id="Rb57b732dcf23485b"/>
  </x:tableParts>
</x:worksheet>
</file>

<file path=xl/worksheets/sheet4.xml><?xml version="1.0" encoding="utf-8"?>
<x:worksheet xmlns:x="http://schemas.openxmlformats.org/spreadsheetml/2006/main">
  <x:sheetPr>
    <x:tabColor rgb="FFA5A5A5"/>
  </x:sheetPr>
  <x:sheetViews>
    <x:sheetView showGridLines="0" workbookViewId="0">
      <x:pane xSplit="2" ySplit="1" topLeftCell="C2" activePane="bottomRight" state="frozen"/>
    </x:sheetView>
  </x:sheetViews>
  <x:sheetFormatPr defaultRowHeight="15"/>
  <x:cols>
    <x:col min="1" max="1" width="30" hidden="0" customWidth="1"/>
    <x:col min="2" max="2" width="11" hidden="0" customWidth="1"/>
    <x:col min="3" max="3" width="38" hidden="0" customWidth="1"/>
    <x:col min="4" max="4" width="15" hidden="0" customWidth="1"/>
    <x:col min="5" max="5" width="42" hidden="0" customWidth="1"/>
    <x:col min="6" max="6" width="12" hidden="0" customWidth="1"/>
    <x:col min="7" max="7" width="18" hidden="0" customWidth="1"/>
    <x:col min="8" max="8" width="12" hidden="0" customWidth="1"/>
    <x:col min="9" max="9" width="18" hidden="0" customWidth="1"/>
    <x:col min="10" max="10" width="13" hidden="0" customWidth="1"/>
    <x:col min="11" max="11" width="19" hidden="0" customWidth="1"/>
    <x:col min="12" max="12" width="20" hidden="0" customWidth="1"/>
    <x:col min="13" max="13" width="22" hidden="0" customWidth="1"/>
  </x:cols>
  <x:sheetData>
    <x:row r="1" ht="34" customHeight="1">
      <x:c r="A1" s="12" t="str">
        <x:v>annotation_id</x:v>
      </x:c>
      <x:c r="B1" s="28" t="str">
        <x:v>query_id</x:v>
      </x:c>
      <x:c r="C1" s="28" t="str">
        <x:v>chunk_id</x:v>
      </x:c>
      <x:c r="D1" s="28" t="str">
        <x:v>parent_asin</x:v>
      </x:c>
      <x:c r="E1" s="28" t="str">
        <x:v>candidate_systems</x:v>
      </x:c>
      <x:c r="F1" s="28" t="str">
        <x:v>bm25_rank</x:v>
      </x:c>
      <x:c r="G1" s="28" t="str">
        <x:v>bm25_score</x:v>
      </x:c>
      <x:c r="H1" s="28" t="str">
        <x:v>dense_rank</x:v>
      </x:c>
      <x:c r="I1" s="28" t="str">
        <x:v>dense_score</x:v>
      </x:c>
      <x:c r="J1" s="28" t="str">
        <x:v>hybrid_rank</x:v>
      </x:c>
      <x:c r="K1" s="28" t="str">
        <x:v>hybrid_rrf_score</x:v>
      </x:c>
      <x:c r="L1" s="28" t="str">
        <x:v>cross_encoder_rank</x:v>
      </x:c>
      <x:c r="M1" s="13" t="str">
        <x:v>cross_encoder_score</x:v>
      </x:c>
    </x:row>
    <x:row r="2">
      <x:c r="A2" s="38" t="str">
        <x:v>Q001::B071HLZ9S3_review_1569251</x:v>
      </x:c>
      <x:c r="B2" s="38" t="str">
        <x:v>Q001</x:v>
      </x:c>
      <x:c r="C2" s="38" t="str">
        <x:v>B071HLZ9S3_review_1569251</x:v>
      </x:c>
      <x:c r="D2" s="38" t="str">
        <x:v>B071HLZ9S3</x:v>
      </x:c>
      <x:c r="E2" s="38" t="str">
        <x:v>dense; hybrid_rrf; cross_encoder</x:v>
      </x:c>
      <x:c r="F2" s="99"/>
      <x:c r="G2" s="100"/>
      <x:c r="H2" s="99" t="n">
        <x:v>3</x:v>
      </x:c>
      <x:c r="I2" s="100" t="n">
        <x:v>0.7672604918479919</x:v>
      </x:c>
      <x:c r="J2" s="99" t="n">
        <x:v>5</x:v>
      </x:c>
      <x:c r="K2" s="100" t="n">
        <x:v>0.015873015873015872</x:v>
      </x:c>
      <x:c r="L2" s="99" t="n">
        <x:v>14</x:v>
      </x:c>
      <x:c r="M2" s="100" t="n">
        <x:v>2.952939510345459</x:v>
      </x:c>
    </x:row>
    <x:row r="3">
      <x:c r="A3" s="38" t="str">
        <x:v>Q001::B08FF5YM1T_review_1686570</x:v>
      </x:c>
      <x:c r="B3" s="38" t="str">
        <x:v>Q001</x:v>
      </x:c>
      <x:c r="C3" s="38" t="str">
        <x:v>B08FF5YM1T_review_1686570</x:v>
      </x:c>
      <x:c r="D3" s="38" t="str">
        <x:v>B08FF5YM1T</x:v>
      </x:c>
      <x:c r="E3" s="38" t="str">
        <x:v>dense</x:v>
      </x:c>
      <x:c r="F3" s="99"/>
      <x:c r="G3" s="100"/>
      <x:c r="H3" s="99" t="n">
        <x:v>12</x:v>
      </x:c>
      <x:c r="I3" s="100" t="n">
        <x:v>0.744697093963623</x:v>
      </x:c>
      <x:c r="J3" s="99"/>
      <x:c r="K3" s="100"/>
      <x:c r="L3" s="99"/>
      <x:c r="M3" s="100"/>
    </x:row>
    <x:row r="4">
      <x:c r="A4" s="38" t="str">
        <x:v>Q001::B08FF6SFZ3_review_2438390</x:v>
      </x:c>
      <x:c r="B4" s="38" t="str">
        <x:v>Q001</x:v>
      </x:c>
      <x:c r="C4" s="38" t="str">
        <x:v>B08FF6SFZ3_review_2438390</x:v>
      </x:c>
      <x:c r="D4" s="38" t="str">
        <x:v>B08FF6SFZ3</x:v>
      </x:c>
      <x:c r="E4" s="38" t="str">
        <x:v>bm25; hybrid_rrf; cross_encoder</x:v>
      </x:c>
      <x:c r="F4" s="99" t="n">
        <x:v>3</x:v>
      </x:c>
      <x:c r="G4" s="100" t="n">
        <x:v>36.70528574500506</x:v>
      </x:c>
      <x:c r="H4" s="99"/>
      <x:c r="I4" s="100"/>
      <x:c r="J4" s="99" t="n">
        <x:v>6</x:v>
      </x:c>
      <x:c r="K4" s="100" t="n">
        <x:v>0.015873015873015872</x:v>
      </x:c>
      <x:c r="L4" s="99" t="n">
        <x:v>7</x:v>
      </x:c>
      <x:c r="M4" s="100" t="n">
        <x:v>4.138904571533203</x:v>
      </x:c>
    </x:row>
    <x:row r="5">
      <x:c r="A5" s="38" t="str">
        <x:v>Q001::B07CB24GSV_review_419353</x:v>
      </x:c>
      <x:c r="B5" s="38" t="str">
        <x:v>Q001</x:v>
      </x:c>
      <x:c r="C5" s="38" t="str">
        <x:v>B07CB24GSV_review_419353</x:v>
      </x:c>
      <x:c r="D5" s="38" t="str">
        <x:v>B07CB24GSV</x:v>
      </x:c>
      <x:c r="E5" s="38" t="str">
        <x:v>dense</x:v>
      </x:c>
      <x:c r="F5" s="99"/>
      <x:c r="G5" s="100"/>
      <x:c r="H5" s="99" t="n">
        <x:v>18</x:v>
      </x:c>
      <x:c r="I5" s="100" t="n">
        <x:v>0.7387735843658447</x:v>
      </x:c>
      <x:c r="J5" s="99"/>
      <x:c r="K5" s="100"/>
      <x:c r="L5" s="99"/>
      <x:c r="M5" s="100"/>
    </x:row>
    <x:row r="6">
      <x:c r="A6" s="38" t="str">
        <x:v>Q001::B00Y34D7E0_review_2504281</x:v>
      </x:c>
      <x:c r="B6" s="38" t="str">
        <x:v>Q001</x:v>
      </x:c>
      <x:c r="C6" s="38" t="str">
        <x:v>B00Y34D7E0_review_2504281</x:v>
      </x:c>
      <x:c r="D6" s="38" t="str">
        <x:v>B00Y34D7E0</x:v>
      </x:c>
      <x:c r="E6" s="38" t="str">
        <x:v>bm25; hybrid_rrf; cross_encoder</x:v>
      </x:c>
      <x:c r="F6" s="99" t="n">
        <x:v>4</x:v>
      </x:c>
      <x:c r="G6" s="100" t="n">
        <x:v>35.697713939412964</x:v>
      </x:c>
      <x:c r="H6" s="99"/>
      <x:c r="I6" s="100"/>
      <x:c r="J6" s="99" t="n">
        <x:v>7</x:v>
      </x:c>
      <x:c r="K6" s="100" t="n">
        <x:v>0.015625</x:v>
      </x:c>
      <x:c r="L6" s="99" t="n">
        <x:v>18</x:v>
      </x:c>
      <x:c r="M6" s="100" t="n">
        <x:v>1.8725754022598267</x:v>
      </x:c>
    </x:row>
    <x:row r="7">
      <x:c r="A7" s="38" t="str">
        <x:v>Q001::B017KE8N0M_review_4209392</x:v>
      </x:c>
      <x:c r="B7" s="38" t="str">
        <x:v>Q001</x:v>
      </x:c>
      <x:c r="C7" s="38" t="str">
        <x:v>B017KE8N0M_review_4209392</x:v>
      </x:c>
      <x:c r="D7" s="38" t="str">
        <x:v>B017KE8N0M</x:v>
      </x:c>
      <x:c r="E7" s="38" t="str">
        <x:v>dense</x:v>
      </x:c>
      <x:c r="F7" s="99"/>
      <x:c r="G7" s="100"/>
      <x:c r="H7" s="99" t="n">
        <x:v>17</x:v>
      </x:c>
      <x:c r="I7" s="100" t="n">
        <x:v>0.7393949031829834</x:v>
      </x:c>
      <x:c r="J7" s="99"/>
      <x:c r="K7" s="100"/>
      <x:c r="L7" s="99"/>
      <x:c r="M7" s="100"/>
    </x:row>
    <x:row r="8">
      <x:c r="A8" s="38" t="str">
        <x:v>Q001::B09DSXD2SL_review_3033097</x:v>
      </x:c>
      <x:c r="B8" s="38" t="str">
        <x:v>Q001</x:v>
      </x:c>
      <x:c r="C8" s="38" t="str">
        <x:v>B09DSXD2SL_review_3033097</x:v>
      </x:c>
      <x:c r="D8" s="38" t="str">
        <x:v>B09DSXD2SL</x:v>
      </x:c>
      <x:c r="E8" s="38" t="str">
        <x:v>dense</x:v>
      </x:c>
      <x:c r="F8" s="99"/>
      <x:c r="G8" s="100"/>
      <x:c r="H8" s="99" t="n">
        <x:v>11</x:v>
      </x:c>
      <x:c r="I8" s="100" t="n">
        <x:v>0.7462799549102783</x:v>
      </x:c>
      <x:c r="J8" s="99"/>
      <x:c r="K8" s="100"/>
      <x:c r="L8" s="99"/>
      <x:c r="M8" s="100"/>
    </x:row>
    <x:row r="9">
      <x:c r="A9" s="38" t="str">
        <x:v>Q001::B089B6SHZK_review_2454274</x:v>
      </x:c>
      <x:c r="B9" s="38" t="str">
        <x:v>Q001</x:v>
      </x:c>
      <x:c r="C9" s="38" t="str">
        <x:v>B089B6SHZK_review_2454274</x:v>
      </x:c>
      <x:c r="D9" s="38" t="str">
        <x:v>B089B6SHZK</x:v>
      </x:c>
      <x:c r="E9" s="38" t="str">
        <x:v>bm25; hybrid_rrf; cross_encoder</x:v>
      </x:c>
      <x:c r="F9" s="99" t="n">
        <x:v>6</x:v>
      </x:c>
      <x:c r="G9" s="100" t="n">
        <x:v>35.08827170363134</x:v>
      </x:c>
      <x:c r="H9" s="99"/>
      <x:c r="I9" s="100"/>
      <x:c r="J9" s="99" t="n">
        <x:v>12</x:v>
      </x:c>
      <x:c r="K9" s="100" t="n">
        <x:v>0.015151515151515152</x:v>
      </x:c>
      <x:c r="L9" s="99" t="n">
        <x:v>2</x:v>
      </x:c>
      <x:c r="M9" s="100" t="n">
        <x:v>5.432973861694336</x:v>
      </x:c>
    </x:row>
    <x:row r="10">
      <x:c r="A10" s="38" t="str">
        <x:v>Q001::B01E524URC_review_1566490</x:v>
      </x:c>
      <x:c r="B10" s="38" t="str">
        <x:v>Q001</x:v>
      </x:c>
      <x:c r="C10" s="38" t="str">
        <x:v>B01E524URC_review_1566490</x:v>
      </x:c>
      <x:c r="D10" s="38" t="str">
        <x:v>B01E524URC</x:v>
      </x:c>
      <x:c r="E10" s="38" t="str">
        <x:v>bm25; hybrid_rrf; cross_encoder</x:v>
      </x:c>
      <x:c r="F10" s="99" t="n">
        <x:v>7</x:v>
      </x:c>
      <x:c r="G10" s="100" t="n">
        <x:v>34.26827670375193</x:v>
      </x:c>
      <x:c r="H10" s="99"/>
      <x:c r="I10" s="100"/>
      <x:c r="J10" s="99" t="n">
        <x:v>13</x:v>
      </x:c>
      <x:c r="K10" s="100" t="n">
        <x:v>0.014925373134328358</x:v>
      </x:c>
      <x:c r="L10" s="99" t="n">
        <x:v>3</x:v>
      </x:c>
      <x:c r="M10" s="100" t="n">
        <x:v>5.275766849517822</x:v>
      </x:c>
    </x:row>
    <x:row r="11">
      <x:c r="A11" s="38" t="str">
        <x:v>Q001::B079MHVV13_review_2251906</x:v>
      </x:c>
      <x:c r="B11" s="38" t="str">
        <x:v>Q001</x:v>
      </x:c>
      <x:c r="C11" s="38" t="str">
        <x:v>B079MHVV13_review_2251906</x:v>
      </x:c>
      <x:c r="D11" s="38" t="str">
        <x:v>B079MHVV13</x:v>
      </x:c>
      <x:c r="E11" s="38" t="str">
        <x:v>bm25</x:v>
      </x:c>
      <x:c r="F11" s="99" t="n">
        <x:v>15</x:v>
      </x:c>
      <x:c r="G11" s="100" t="n">
        <x:v>32.47604422861972</x:v>
      </x:c>
      <x:c r="H11" s="99"/>
      <x:c r="I11" s="100"/>
      <x:c r="J11" s="99"/>
      <x:c r="K11" s="100"/>
      <x:c r="L11" s="99"/>
      <x:c r="M11" s="100"/>
    </x:row>
    <x:row r="12">
      <x:c r="A12" s="38" t="str">
        <x:v>Q001::B0796Q4RYB_review_211749</x:v>
      </x:c>
      <x:c r="B12" s="38" t="str">
        <x:v>Q001</x:v>
      </x:c>
      <x:c r="C12" s="38" t="str">
        <x:v>B0796Q4RYB_review_211749</x:v>
      </x:c>
      <x:c r="D12" s="38" t="str">
        <x:v>B0796Q4RYB</x:v>
      </x:c>
      <x:c r="E12" s="38" t="str">
        <x:v>bm25</x:v>
      </x:c>
      <x:c r="F12" s="99" t="n">
        <x:v>12</x:v>
      </x:c>
      <x:c r="G12" s="100" t="n">
        <x:v>32.841544281389204</x:v>
      </x:c>
      <x:c r="H12" s="99"/>
      <x:c r="I12" s="100"/>
      <x:c r="J12" s="99"/>
      <x:c r="K12" s="100"/>
      <x:c r="L12" s="99"/>
      <x:c r="M12" s="100"/>
    </x:row>
    <x:row r="13">
      <x:c r="A13" s="38" t="str">
        <x:v>Q001::B09QZP8183_review_769368</x:v>
      </x:c>
      <x:c r="B13" s="38" t="str">
        <x:v>Q001</x:v>
      </x:c>
      <x:c r="C13" s="38" t="str">
        <x:v>B09QZP8183_review_769368</x:v>
      </x:c>
      <x:c r="D13" s="38" t="str">
        <x:v>B09QZP8183</x:v>
      </x:c>
      <x:c r="E13" s="38" t="str">
        <x:v>bm25</x:v>
      </x:c>
      <x:c r="F13" s="99" t="n">
        <x:v>16</x:v>
      </x:c>
      <x:c r="G13" s="100" t="n">
        <x:v>32.44809748840366</x:v>
      </x:c>
      <x:c r="H13" s="99"/>
      <x:c r="I13" s="100"/>
      <x:c r="J13" s="99"/>
      <x:c r="K13" s="100"/>
      <x:c r="L13" s="99"/>
      <x:c r="M13" s="100"/>
    </x:row>
    <x:row r="14">
      <x:c r="A14" s="38" t="str">
        <x:v>Q001::B072HKMXWL_review_4110971</x:v>
      </x:c>
      <x:c r="B14" s="38" t="str">
        <x:v>Q001</x:v>
      </x:c>
      <x:c r="C14" s="38" t="str">
        <x:v>B072HKMXWL_review_4110971</x:v>
      </x:c>
      <x:c r="D14" s="38" t="str">
        <x:v>B072HKMXWL</x:v>
      </x:c>
      <x:c r="E14" s="38" t="str">
        <x:v>dense; hybrid_rrf; cross_encoder</x:v>
      </x:c>
      <x:c r="F14" s="99"/>
      <x:c r="G14" s="100"/>
      <x:c r="H14" s="99" t="n">
        <x:v>2</x:v>
      </x:c>
      <x:c r="I14" s="100" t="n">
        <x:v>0.768528938293457</x:v>
      </x:c>
      <x:c r="J14" s="99" t="n">
        <x:v>3</x:v>
      </x:c>
      <x:c r="K14" s="100" t="n">
        <x:v>0.016129032258064516</x:v>
      </x:c>
      <x:c r="L14" s="99" t="n">
        <x:v>5</x:v>
      </x:c>
      <x:c r="M14" s="100" t="n">
        <x:v>4.548564910888672</x:v>
      </x:c>
    </x:row>
    <x:row r="15">
      <x:c r="A15" s="38" t="str">
        <x:v>Q001::B072HKMXWL_review_4110974</x:v>
      </x:c>
      <x:c r="B15" s="38" t="str">
        <x:v>Q001</x:v>
      </x:c>
      <x:c r="C15" s="38" t="str">
        <x:v>B072HKMXWL_review_4110974</x:v>
      </x:c>
      <x:c r="D15" s="38" t="str">
        <x:v>B072HKMXWL</x:v>
      </x:c>
      <x:c r="E15" s="38" t="str">
        <x:v>dense</x:v>
      </x:c>
      <x:c r="F15" s="99"/>
      <x:c r="G15" s="100"/>
      <x:c r="H15" s="99" t="n">
        <x:v>16</x:v>
      </x:c>
      <x:c r="I15" s="100" t="n">
        <x:v>0.7402346134185791</x:v>
      </x:c>
      <x:c r="J15" s="99"/>
      <x:c r="K15" s="100"/>
      <x:c r="L15" s="99"/>
      <x:c r="M15" s="100"/>
    </x:row>
    <x:row r="16">
      <x:c r="A16" s="38" t="str">
        <x:v>Q001::B07FDWF5FQ_review_910806</x:v>
      </x:c>
      <x:c r="B16" s="38" t="str">
        <x:v>Q001</x:v>
      </x:c>
      <x:c r="C16" s="38" t="str">
        <x:v>B07FDWF5FQ_review_910806</x:v>
      </x:c>
      <x:c r="D16" s="38" t="str">
        <x:v>B07FDWF5FQ</x:v>
      </x:c>
      <x:c r="E16" s="38" t="str">
        <x:v>dense; hybrid_rrf; cross_encoder</x:v>
      </x:c>
      <x:c r="F16" s="99"/>
      <x:c r="G16" s="100"/>
      <x:c r="H16" s="99" t="n">
        <x:v>5</x:v>
      </x:c>
      <x:c r="I16" s="100" t="n">
        <x:v>0.7564762234687805</x:v>
      </x:c>
      <x:c r="J16" s="99" t="n">
        <x:v>10</x:v>
      </x:c>
      <x:c r="K16" s="100" t="n">
        <x:v>0.015384615384615385</x:v>
      </x:c>
      <x:c r="L16" s="99" t="n">
        <x:v>20</x:v>
      </x:c>
      <x:c r="M16" s="100" t="n">
        <x:v>-2.2785520553588867</x:v>
      </x:c>
    </x:row>
    <x:row r="17">
      <x:c r="A17" s="38" t="str">
        <x:v>Q001::B074P3CP33_review_1252207</x:v>
      </x:c>
      <x:c r="B17" s="38" t="str">
        <x:v>Q001</x:v>
      </x:c>
      <x:c r="C17" s="38" t="str">
        <x:v>B074P3CP33_review_1252207</x:v>
      </x:c>
      <x:c r="D17" s="38" t="str">
        <x:v>B074P3CP33</x:v>
      </x:c>
      <x:c r="E17" s="38" t="str">
        <x:v>bm25</x:v>
      </x:c>
      <x:c r="F17" s="99" t="n">
        <x:v>18</x:v>
      </x:c>
      <x:c r="G17" s="100" t="n">
        <x:v>32.25105313360277</x:v>
      </x:c>
      <x:c r="H17" s="99"/>
      <x:c r="I17" s="100"/>
      <x:c r="J17" s="99"/>
      <x:c r="K17" s="100"/>
      <x:c r="L17" s="99"/>
      <x:c r="M17" s="100"/>
    </x:row>
    <x:row r="18">
      <x:c r="A18" s="38" t="str">
        <x:v>Q001::B084VZNP4K_review_1925158</x:v>
      </x:c>
      <x:c r="B18" s="38" t="str">
        <x:v>Q001</x:v>
      </x:c>
      <x:c r="C18" s="38" t="str">
        <x:v>B084VZNP4K_review_1925158</x:v>
      </x:c>
      <x:c r="D18" s="38" t="str">
        <x:v>B084VZNP4K</x:v>
      </x:c>
      <x:c r="E18" s="38" t="str">
        <x:v>bm25; hybrid_rrf; cross_encoder</x:v>
      </x:c>
      <x:c r="F18" s="99" t="n">
        <x:v>10</x:v>
      </x:c>
      <x:c r="G18" s="100" t="n">
        <x:v>33.41311640196562</x:v>
      </x:c>
      <x:c r="H18" s="99"/>
      <x:c r="I18" s="100"/>
      <x:c r="J18" s="99" t="n">
        <x:v>20</x:v>
      </x:c>
      <x:c r="K18" s="100" t="n">
        <x:v>0.014285714285714285</x:v>
      </x:c>
      <x:c r="L18" s="99" t="n">
        <x:v>12</x:v>
      </x:c>
      <x:c r="M18" s="100" t="n">
        <x:v>3.206394672393799</x:v>
      </x:c>
    </x:row>
    <x:row r="19">
      <x:c r="A19" s="38" t="str">
        <x:v>Q001::B07XB9WK8K_review_59817</x:v>
      </x:c>
      <x:c r="B19" s="38" t="str">
        <x:v>Q001</x:v>
      </x:c>
      <x:c r="C19" s="38" t="str">
        <x:v>B07XB9WK8K_review_59817</x:v>
      </x:c>
      <x:c r="D19" s="38" t="str">
        <x:v>B07XB9WK8K</x:v>
      </x:c>
      <x:c r="E19" s="38" t="str">
        <x:v>bm25; hybrid_rrf; cross_encoder</x:v>
      </x:c>
      <x:c r="F19" s="99" t="n">
        <x:v>8</x:v>
      </x:c>
      <x:c r="G19" s="100" t="n">
        <x:v>33.70535526683796</x:v>
      </x:c>
      <x:c r="H19" s="99"/>
      <x:c r="I19" s="100"/>
      <x:c r="J19" s="99" t="n">
        <x:v>15</x:v>
      </x:c>
      <x:c r="K19" s="100" t="n">
        <x:v>0.014705882352941176</x:v>
      </x:c>
      <x:c r="L19" s="99" t="n">
        <x:v>9</x:v>
      </x:c>
      <x:c r="M19" s="100" t="n">
        <x:v>3.761075973510742</x:v>
      </x:c>
    </x:row>
    <x:row r="20">
      <x:c r="A20" s="38" t="str">
        <x:v>Q001::B08K9YT25X_review_4179284</x:v>
      </x:c>
      <x:c r="B20" s="38" t="str">
        <x:v>Q001</x:v>
      </x:c>
      <x:c r="C20" s="38" t="str">
        <x:v>B08K9YT25X_review_4179284</x:v>
      </x:c>
      <x:c r="D20" s="38" t="str">
        <x:v>B08K9YT25X</x:v>
      </x:c>
      <x:c r="E20" s="38" t="str">
        <x:v>bm25; hybrid_rrf; cross_encoder</x:v>
      </x:c>
      <x:c r="F20" s="99" t="n">
        <x:v>1</x:v>
      </x:c>
      <x:c r="G20" s="100" t="n">
        <x:v>38.00586656825401</x:v>
      </x:c>
      <x:c r="H20" s="99"/>
      <x:c r="I20" s="100"/>
      <x:c r="J20" s="99" t="n">
        <x:v>2</x:v>
      </x:c>
      <x:c r="K20" s="100" t="n">
        <x:v>0.01639344262295082</x:v>
      </x:c>
      <x:c r="L20" s="99" t="n">
        <x:v>1</x:v>
      </x:c>
      <x:c r="M20" s="100" t="n">
        <x:v>5.45911979675293</x:v>
      </x:c>
    </x:row>
    <x:row r="21">
      <x:c r="A21" s="38" t="str">
        <x:v>Q001::B00Y34D7E0_review_2504270</x:v>
      </x:c>
      <x:c r="B21" s="38" t="str">
        <x:v>Q001</x:v>
      </x:c>
      <x:c r="C21" s="38" t="str">
        <x:v>B00Y34D7E0_review_2504270</x:v>
      </x:c>
      <x:c r="D21" s="38" t="str">
        <x:v>B00Y34D7E0</x:v>
      </x:c>
      <x:c r="E21" s="38" t="str">
        <x:v>bm25; hybrid_rrf; cross_encoder</x:v>
      </x:c>
      <x:c r="F21" s="99" t="n">
        <x:v>9</x:v>
      </x:c>
      <x:c r="G21" s="100" t="n">
        <x:v>33.53482677412512</x:v>
      </x:c>
      <x:c r="H21" s="99"/>
      <x:c r="I21" s="100"/>
      <x:c r="J21" s="99" t="n">
        <x:v>17</x:v>
      </x:c>
      <x:c r="K21" s="100" t="n">
        <x:v>0.014492753623188406</x:v>
      </x:c>
      <x:c r="L21" s="99" t="n">
        <x:v>19</x:v>
      </x:c>
      <x:c r="M21" s="100" t="n">
        <x:v>0.5464374423027039</x:v>
      </x:c>
    </x:row>
    <x:row r="22">
      <x:c r="A22" s="38" t="str">
        <x:v>Q001::B08K9YT25X_review_4179258</x:v>
      </x:c>
      <x:c r="B22" s="38" t="str">
        <x:v>Q001</x:v>
      </x:c>
      <x:c r="C22" s="38" t="str">
        <x:v>B08K9YT25X_review_4179258</x:v>
      </x:c>
      <x:c r="D22" s="38" t="str">
        <x:v>B08K9YT25X</x:v>
      </x:c>
      <x:c r="E22" s="38" t="str">
        <x:v>bm25</x:v>
      </x:c>
      <x:c r="F22" s="99" t="n">
        <x:v>11</x:v>
      </x:c>
      <x:c r="G22" s="100" t="n">
        <x:v>33.38831943392086</x:v>
      </x:c>
      <x:c r="H22" s="99"/>
      <x:c r="I22" s="100"/>
      <x:c r="J22" s="99"/>
      <x:c r="K22" s="100"/>
      <x:c r="L22" s="99"/>
      <x:c r="M22" s="100"/>
    </x:row>
    <x:row r="23">
      <x:c r="A23" s="38" t="str">
        <x:v>Q001::B000H3Z2KS_review_2392999</x:v>
      </x:c>
      <x:c r="B23" s="38" t="str">
        <x:v>Q001</x:v>
      </x:c>
      <x:c r="C23" s="38" t="str">
        <x:v>B000H3Z2KS_review_2392999</x:v>
      </x:c>
      <x:c r="D23" s="38" t="str">
        <x:v>B000H3Z2KS</x:v>
      </x:c>
      <x:c r="E23" s="38" t="str">
        <x:v>bm25</x:v>
      </x:c>
      <x:c r="F23" s="99" t="n">
        <x:v>20</x:v>
      </x:c>
      <x:c r="G23" s="100" t="n">
        <x:v>32.20592983397288</x:v>
      </x:c>
      <x:c r="H23" s="99"/>
      <x:c r="I23" s="100"/>
      <x:c r="J23" s="99"/>
      <x:c r="K23" s="100"/>
      <x:c r="L23" s="99"/>
      <x:c r="M23" s="100"/>
    </x:row>
    <x:row r="24">
      <x:c r="A24" s="38" t="str">
        <x:v>Q001::B01KIIZJCC_review_774488</x:v>
      </x:c>
      <x:c r="B24" s="38" t="str">
        <x:v>Q001</x:v>
      </x:c>
      <x:c r="C24" s="38" t="str">
        <x:v>B01KIIZJCC_review_774488</x:v>
      </x:c>
      <x:c r="D24" s="38" t="str">
        <x:v>B01KIIZJCC</x:v>
      </x:c>
      <x:c r="E24" s="38" t="str">
        <x:v>bm25</x:v>
      </x:c>
      <x:c r="F24" s="99" t="n">
        <x:v>13</x:v>
      </x:c>
      <x:c r="G24" s="100" t="n">
        <x:v>32.56448390207133</x:v>
      </x:c>
      <x:c r="H24" s="99"/>
      <x:c r="I24" s="100"/>
      <x:c r="J24" s="99"/>
      <x:c r="K24" s="100"/>
      <x:c r="L24" s="99"/>
      <x:c r="M24" s="100"/>
    </x:row>
    <x:row r="25">
      <x:c r="A25" s="38" t="str">
        <x:v>Q001::B08JPCMD54_review_3259625</x:v>
      </x:c>
      <x:c r="B25" s="38" t="str">
        <x:v>Q001</x:v>
      </x:c>
      <x:c r="C25" s="38" t="str">
        <x:v>B08JPCMD54_review_3259625</x:v>
      </x:c>
      <x:c r="D25" s="38" t="str">
        <x:v>B08JPCMD54</x:v>
      </x:c>
      <x:c r="E25" s="38" t="str">
        <x:v>dense; hybrid_rrf; cross_encoder</x:v>
      </x:c>
      <x:c r="F25" s="99"/>
      <x:c r="G25" s="100"/>
      <x:c r="H25" s="99" t="n">
        <x:v>8</x:v>
      </x:c>
      <x:c r="I25" s="100" t="n">
        <x:v>0.7486804723739624</x:v>
      </x:c>
      <x:c r="J25" s="99" t="n">
        <x:v>16</x:v>
      </x:c>
      <x:c r="K25" s="100" t="n">
        <x:v>0.014705882352941176</x:v>
      </x:c>
      <x:c r="L25" s="99" t="n">
        <x:v>4</x:v>
      </x:c>
      <x:c r="M25" s="100" t="n">
        <x:v>5.146624565124512</x:v>
      </x:c>
    </x:row>
    <x:row r="26">
      <x:c r="A26" s="38" t="str">
        <x:v>Q001::B01MZCYO2S_review_1456955</x:v>
      </x:c>
      <x:c r="B26" s="38" t="str">
        <x:v>Q001</x:v>
      </x:c>
      <x:c r="C26" s="38" t="str">
        <x:v>B01MZCYO2S_review_1456955</x:v>
      </x:c>
      <x:c r="D26" s="38" t="str">
        <x:v>B01MZCYO2S</x:v>
      </x:c>
      <x:c r="E26" s="38" t="str">
        <x:v>dense</x:v>
      </x:c>
      <x:c r="F26" s="99"/>
      <x:c r="G26" s="100"/>
      <x:c r="H26" s="99" t="n">
        <x:v>13</x:v>
      </x:c>
      <x:c r="I26" s="100" t="n">
        <x:v>0.7425030469894409</x:v>
      </x:c>
      <x:c r="J26" s="99"/>
      <x:c r="K26" s="100"/>
      <x:c r="L26" s="99"/>
      <x:c r="M26" s="100"/>
    </x:row>
    <x:row r="27">
      <x:c r="A27" s="38" t="str">
        <x:v>Q001::B072L85C2M_review_2665749</x:v>
      </x:c>
      <x:c r="B27" s="38" t="str">
        <x:v>Q001</x:v>
      </x:c>
      <x:c r="C27" s="38" t="str">
        <x:v>B072L85C2M_review_2665749</x:v>
      </x:c>
      <x:c r="D27" s="38" t="str">
        <x:v>B072L85C2M</x:v>
      </x:c>
      <x:c r="E27" s="38" t="str">
        <x:v>dense; hybrid_rrf; cross_encoder</x:v>
      </x:c>
      <x:c r="F27" s="99"/>
      <x:c r="G27" s="100"/>
      <x:c r="H27" s="99" t="n">
        <x:v>9</x:v>
      </x:c>
      <x:c r="I27" s="100" t="n">
        <x:v>0.7477841377258301</x:v>
      </x:c>
      <x:c r="J27" s="99" t="n">
        <x:v>18</x:v>
      </x:c>
      <x:c r="K27" s="100" t="n">
        <x:v>0.014492753623188406</x:v>
      </x:c>
      <x:c r="L27" s="99" t="n">
        <x:v>15</x:v>
      </x:c>
      <x:c r="M27" s="100" t="n">
        <x:v>2.569387435913086</x:v>
      </x:c>
    </x:row>
    <x:row r="28">
      <x:c r="A28" s="38" t="str">
        <x:v>Q001::B0764GNRDZ_review_3138079</x:v>
      </x:c>
      <x:c r="B28" s="38" t="str">
        <x:v>Q001</x:v>
      </x:c>
      <x:c r="C28" s="38" t="str">
        <x:v>B0764GNRDZ_review_3138079</x:v>
      </x:c>
      <x:c r="D28" s="38" t="str">
        <x:v>B0764GNRDZ</x:v>
      </x:c>
      <x:c r="E28" s="38" t="str">
        <x:v>dense; hybrid_rrf; cross_encoder</x:v>
      </x:c>
      <x:c r="F28" s="99"/>
      <x:c r="G28" s="100"/>
      <x:c r="H28" s="99" t="n">
        <x:v>1</x:v>
      </x:c>
      <x:c r="I28" s="100" t="n">
        <x:v>0.7782098054885864</x:v>
      </x:c>
      <x:c r="J28" s="99" t="n">
        <x:v>1</x:v>
      </x:c>
      <x:c r="K28" s="100" t="n">
        <x:v>0.01639344262295082</x:v>
      </x:c>
      <x:c r="L28" s="99" t="n">
        <x:v>13</x:v>
      </x:c>
      <x:c r="M28" s="100" t="n">
        <x:v>3.205278158187866</x:v>
      </x:c>
    </x:row>
    <x:row r="29">
      <x:c r="A29" s="38" t="str">
        <x:v>Q001::B011BQVKIM_review_283826</x:v>
      </x:c>
      <x:c r="B29" s="38" t="str">
        <x:v>Q001</x:v>
      </x:c>
      <x:c r="C29" s="38" t="str">
        <x:v>B011BQVKIM_review_283826</x:v>
      </x:c>
      <x:c r="D29" s="38" t="str">
        <x:v>B011BQVKIM</x:v>
      </x:c>
      <x:c r="E29" s="38" t="str">
        <x:v>dense</x:v>
      </x:c>
      <x:c r="F29" s="99"/>
      <x:c r="G29" s="100"/>
      <x:c r="H29" s="99" t="n">
        <x:v>14</x:v>
      </x:c>
      <x:c r="I29" s="100" t="n">
        <x:v>0.7417751550674438</x:v>
      </x:c>
      <x:c r="J29" s="99"/>
      <x:c r="K29" s="100"/>
      <x:c r="L29" s="99"/>
      <x:c r="M29" s="100"/>
    </x:row>
    <x:row r="30">
      <x:c r="A30" s="38" t="str">
        <x:v>Q001::B06XKVSX25_review_637825</x:v>
      </x:c>
      <x:c r="B30" s="38" t="str">
        <x:v>Q001</x:v>
      </x:c>
      <x:c r="C30" s="38" t="str">
        <x:v>B06XKVSX25_review_637825</x:v>
      </x:c>
      <x:c r="D30" s="38" t="str">
        <x:v>B06XKVSX25</x:v>
      </x:c>
      <x:c r="E30" s="38" t="str">
        <x:v>dense</x:v>
      </x:c>
      <x:c r="F30" s="99"/>
      <x:c r="G30" s="100"/>
      <x:c r="H30" s="99" t="n">
        <x:v>15</x:v>
      </x:c>
      <x:c r="I30" s="100" t="n">
        <x:v>0.7417548894882202</x:v>
      </x:c>
      <x:c r="J30" s="99"/>
      <x:c r="K30" s="100"/>
      <x:c r="L30" s="99"/>
      <x:c r="M30" s="100"/>
    </x:row>
    <x:row r="31">
      <x:c r="A31" s="38" t="str">
        <x:v>Q001::B07JZ6WN3G_review_3118367</x:v>
      </x:c>
      <x:c r="B31" s="38" t="str">
        <x:v>Q001</x:v>
      </x:c>
      <x:c r="C31" s="38" t="str">
        <x:v>B07JZ6WN3G_review_3118367</x:v>
      </x:c>
      <x:c r="D31" s="38" t="str">
        <x:v>B07JZ6WN3G</x:v>
      </x:c>
      <x:c r="E31" s="38" t="str">
        <x:v>dense; hybrid_rrf; cross_encoder</x:v>
      </x:c>
      <x:c r="F31" s="99"/>
      <x:c r="G31" s="100"/>
      <x:c r="H31" s="99" t="n">
        <x:v>7</x:v>
      </x:c>
      <x:c r="I31" s="100" t="n">
        <x:v>0.750398576259613</x:v>
      </x:c>
      <x:c r="J31" s="99" t="n">
        <x:v>14</x:v>
      </x:c>
      <x:c r="K31" s="100" t="n">
        <x:v>0.014925373134328358</x:v>
      </x:c>
      <x:c r="L31" s="99" t="n">
        <x:v>10</x:v>
      </x:c>
      <x:c r="M31" s="100" t="n">
        <x:v>3.678187370300293</x:v>
      </x:c>
    </x:row>
    <x:row r="32">
      <x:c r="A32" s="38" t="str">
        <x:v>Q001::B07G8WHM44_review_2366982</x:v>
      </x:c>
      <x:c r="B32" s="38" t="str">
        <x:v>Q001</x:v>
      </x:c>
      <x:c r="C32" s="38" t="str">
        <x:v>B07G8WHM44_review_2366982</x:v>
      </x:c>
      <x:c r="D32" s="38" t="str">
        <x:v>B07G8WHM44</x:v>
      </x:c>
      <x:c r="E32" s="38" t="str">
        <x:v>dense</x:v>
      </x:c>
      <x:c r="F32" s="99"/>
      <x:c r="G32" s="100"/>
      <x:c r="H32" s="99" t="n">
        <x:v>19</x:v>
      </x:c>
      <x:c r="I32" s="100" t="n">
        <x:v>0.7381547689437866</x:v>
      </x:c>
      <x:c r="J32" s="99"/>
      <x:c r="K32" s="100"/>
      <x:c r="L32" s="99"/>
      <x:c r="M32" s="100"/>
    </x:row>
    <x:row r="33">
      <x:c r="A33" s="38" t="str">
        <x:v>Q001::B07JZ6WN3G_review_3118377</x:v>
      </x:c>
      <x:c r="B33" s="38" t="str">
        <x:v>Q001</x:v>
      </x:c>
      <x:c r="C33" s="38" t="str">
        <x:v>B07JZ6WN3G_review_3118377</x:v>
      </x:c>
      <x:c r="D33" s="38" t="str">
        <x:v>B07JZ6WN3G</x:v>
      </x:c>
      <x:c r="E33" s="38" t="str">
        <x:v>dense; hybrid_rrf; cross_encoder</x:v>
      </x:c>
      <x:c r="F33" s="99"/>
      <x:c r="G33" s="100"/>
      <x:c r="H33" s="99" t="n">
        <x:v>10</x:v>
      </x:c>
      <x:c r="I33" s="100" t="n">
        <x:v>0.7470551133155823</x:v>
      </x:c>
      <x:c r="J33" s="99" t="n">
        <x:v>19</x:v>
      </x:c>
      <x:c r="K33" s="100" t="n">
        <x:v>0.014285714285714285</x:v>
      </x:c>
      <x:c r="L33" s="99" t="n">
        <x:v>11</x:v>
      </x:c>
      <x:c r="M33" s="100" t="n">
        <x:v>3.265838623046875</x:v>
      </x:c>
    </x:row>
    <x:row r="34">
      <x:c r="A34" s="38" t="str">
        <x:v>Q001::B071KXND1F_review_3838061</x:v>
      </x:c>
      <x:c r="B34" s="38" t="str">
        <x:v>Q001</x:v>
      </x:c>
      <x:c r="C34" s="38" t="str">
        <x:v>B071KXND1F_review_3838061</x:v>
      </x:c>
      <x:c r="D34" s="38" t="str">
        <x:v>B071KXND1F</x:v>
      </x:c>
      <x:c r="E34" s="38" t="str">
        <x:v>bm25; hybrid_rrf; cross_encoder</x:v>
      </x:c>
      <x:c r="F34" s="99" t="n">
        <x:v>5</x:v>
      </x:c>
      <x:c r="G34" s="100" t="n">
        <x:v>35.28316488270803</x:v>
      </x:c>
      <x:c r="H34" s="99"/>
      <x:c r="I34" s="100"/>
      <x:c r="J34" s="99" t="n">
        <x:v>9</x:v>
      </x:c>
      <x:c r="K34" s="100" t="n">
        <x:v>0.015384615384615385</x:v>
      </x:c>
      <x:c r="L34" s="99" t="n">
        <x:v>6</x:v>
      </x:c>
      <x:c r="M34" s="100" t="n">
        <x:v>4.4854865074157715</x:v>
      </x:c>
    </x:row>
    <x:row r="35">
      <x:c r="A35" s="38" t="str">
        <x:v>Q001::B002SUEYU2_review_3262292</x:v>
      </x:c>
      <x:c r="B35" s="38" t="str">
        <x:v>Q001</x:v>
      </x:c>
      <x:c r="C35" s="38" t="str">
        <x:v>B002SUEYU2_review_3262292</x:v>
      </x:c>
      <x:c r="D35" s="38" t="str">
        <x:v>B002SUEYU2</x:v>
      </x:c>
      <x:c r="E35" s="38" t="str">
        <x:v>bm25</x:v>
      </x:c>
      <x:c r="F35" s="99" t="n">
        <x:v>17</x:v>
      </x:c>
      <x:c r="G35" s="100" t="n">
        <x:v>32.41290995462282</x:v>
      </x:c>
      <x:c r="H35" s="99"/>
      <x:c r="I35" s="100"/>
      <x:c r="J35" s="99"/>
      <x:c r="K35" s="100"/>
      <x:c r="L35" s="99"/>
      <x:c r="M35" s="100"/>
    </x:row>
    <x:row r="36">
      <x:c r="A36" s="38" t="str">
        <x:v>Q001::B019MBSRQQ_review_3840527</x:v>
      </x:c>
      <x:c r="B36" s="38" t="str">
        <x:v>Q001</x:v>
      </x:c>
      <x:c r="C36" s="38" t="str">
        <x:v>B019MBSRQQ_review_3840527</x:v>
      </x:c>
      <x:c r="D36" s="38" t="str">
        <x:v>B019MBSRQQ</x:v>
      </x:c>
      <x:c r="E36" s="38" t="str">
        <x:v>dense</x:v>
      </x:c>
      <x:c r="F36" s="99"/>
      <x:c r="G36" s="100"/>
      <x:c r="H36" s="99" t="n">
        <x:v>20</x:v>
      </x:c>
      <x:c r="I36" s="100" t="n">
        <x:v>0.7378137707710266</x:v>
      </x:c>
      <x:c r="J36" s="99"/>
      <x:c r="K36" s="100"/>
      <x:c r="L36" s="99"/>
      <x:c r="M36" s="100"/>
    </x:row>
    <x:row r="37">
      <x:c r="A37" s="38" t="str">
        <x:v>Q001::B089B6SHZK_review_2454275</x:v>
      </x:c>
      <x:c r="B37" s="38" t="str">
        <x:v>Q001</x:v>
      </x:c>
      <x:c r="C37" s="38" t="str">
        <x:v>B089B6SHZK_review_2454275</x:v>
      </x:c>
      <x:c r="D37" s="38" t="str">
        <x:v>B089B6SHZK</x:v>
      </x:c>
      <x:c r="E37" s="38" t="str">
        <x:v>bm25</x:v>
      </x:c>
      <x:c r="F37" s="99" t="n">
        <x:v>14</x:v>
      </x:c>
      <x:c r="G37" s="100" t="n">
        <x:v>32.49191138196546</x:v>
      </x:c>
      <x:c r="H37" s="99"/>
      <x:c r="I37" s="100"/>
      <x:c r="J37" s="99"/>
      <x:c r="K37" s="100"/>
      <x:c r="L37" s="99"/>
      <x:c r="M37" s="100"/>
    </x:row>
    <x:row r="38">
      <x:c r="A38" s="38" t="str">
        <x:v>Q001::B019MBSRQQ_review_3840486</x:v>
      </x:c>
      <x:c r="B38" s="38" t="str">
        <x:v>Q001</x:v>
      </x:c>
      <x:c r="C38" s="38" t="str">
        <x:v>B019MBSRQQ_review_3840486</x:v>
      </x:c>
      <x:c r="D38" s="38" t="str">
        <x:v>B019MBSRQQ</x:v>
      </x:c>
      <x:c r="E38" s="38" t="str">
        <x:v>dense; hybrid_rrf; cross_encoder</x:v>
      </x:c>
      <x:c r="F38" s="99"/>
      <x:c r="G38" s="100"/>
      <x:c r="H38" s="99" t="n">
        <x:v>4</x:v>
      </x:c>
      <x:c r="I38" s="100" t="n">
        <x:v>0.7591367363929749</x:v>
      </x:c>
      <x:c r="J38" s="99" t="n">
        <x:v>8</x:v>
      </x:c>
      <x:c r="K38" s="100" t="n">
        <x:v>0.015625</x:v>
      </x:c>
      <x:c r="L38" s="99" t="n">
        <x:v>16</x:v>
      </x:c>
      <x:c r="M38" s="100" t="n">
        <x:v>2.270258903503418</x:v>
      </x:c>
    </x:row>
    <x:row r="39">
      <x:c r="A39" s="38" t="str">
        <x:v>Q001::B08FF6P5KS_review_30068</x:v>
      </x:c>
      <x:c r="B39" s="38" t="str">
        <x:v>Q001</x:v>
      </x:c>
      <x:c r="C39" s="38" t="str">
        <x:v>B08FF6P5KS_review_30068</x:v>
      </x:c>
      <x:c r="D39" s="38" t="str">
        <x:v>B08FF6P5KS</x:v>
      </x:c>
      <x:c r="E39" s="38" t="str">
        <x:v>bm25; hybrid_rrf; cross_encoder</x:v>
      </x:c>
      <x:c r="F39" s="99" t="n">
        <x:v>2</x:v>
      </x:c>
      <x:c r="G39" s="100" t="n">
        <x:v>36.70528574500506</x:v>
      </x:c>
      <x:c r="H39" s="99"/>
      <x:c r="I39" s="100"/>
      <x:c r="J39" s="99" t="n">
        <x:v>4</x:v>
      </x:c>
      <x:c r="K39" s="100" t="n">
        <x:v>0.016129032258064516</x:v>
      </x:c>
      <x:c r="L39" s="99" t="n">
        <x:v>8</x:v>
      </x:c>
      <x:c r="M39" s="100" t="n">
        <x:v>4.007102966308594</x:v>
      </x:c>
    </x:row>
    <x:row r="40">
      <x:c r="A40" s="38" t="str">
        <x:v>Q001::B07B7HYBQX_review_673886</x:v>
      </x:c>
      <x:c r="B40" s="38" t="str">
        <x:v>Q001</x:v>
      </x:c>
      <x:c r="C40" s="38" t="str">
        <x:v>B07B7HYBQX_review_673886</x:v>
      </x:c>
      <x:c r="D40" s="38" t="str">
        <x:v>B07B7HYBQX</x:v>
      </x:c>
      <x:c r="E40" s="38" t="str">
        <x:v>bm25</x:v>
      </x:c>
      <x:c r="F40" s="99" t="n">
        <x:v>19</x:v>
      </x:c>
      <x:c r="G40" s="100" t="n">
        <x:v>32.207301973956234</x:v>
      </x:c>
      <x:c r="H40" s="99"/>
      <x:c r="I40" s="100"/>
      <x:c r="J40" s="99"/>
      <x:c r="K40" s="100"/>
      <x:c r="L40" s="99"/>
      <x:c r="M40" s="100"/>
    </x:row>
    <x:row r="41">
      <x:c r="A41" s="38" t="str">
        <x:v>Q001::B00UMJJCO4_review_2634413</x:v>
      </x:c>
      <x:c r="B41" s="38" t="str">
        <x:v>Q001</x:v>
      </x:c>
      <x:c r="C41" s="38" t="str">
        <x:v>B00UMJJCO4_review_2634413</x:v>
      </x:c>
      <x:c r="D41" s="38" t="str">
        <x:v>B00UMJJCO4</x:v>
      </x:c>
      <x:c r="E41" s="38" t="str">
        <x:v>dense; hybrid_rrf; cross_encoder</x:v>
      </x:c>
      <x:c r="F41" s="99"/>
      <x:c r="G41" s="100"/>
      <x:c r="H41" s="99" t="n">
        <x:v>6</x:v>
      </x:c>
      <x:c r="I41" s="100" t="n">
        <x:v>0.754570722579956</x:v>
      </x:c>
      <x:c r="J41" s="99" t="n">
        <x:v>11</x:v>
      </x:c>
      <x:c r="K41" s="100" t="n">
        <x:v>0.015151515151515152</x:v>
      </x:c>
      <x:c r="L41" s="99" t="n">
        <x:v>17</x:v>
      </x:c>
      <x:c r="M41" s="100" t="n">
        <x:v>2.136423110961914</x:v>
      </x:c>
    </x:row>
    <x:row r="42">
      <x:c r="A42" s="38" t="str">
        <x:v>Q002::B00G3FZ7YU_review_1189147</x:v>
      </x:c>
      <x:c r="B42" s="38" t="str">
        <x:v>Q002</x:v>
      </x:c>
      <x:c r="C42" s="38" t="str">
        <x:v>B00G3FZ7YU_review_1189147</x:v>
      </x:c>
      <x:c r="D42" s="38" t="str">
        <x:v>B00G3FZ7YU</x:v>
      </x:c>
      <x:c r="E42" s="38" t="str">
        <x:v>bm25; hybrid_rrf; cross_encoder</x:v>
      </x:c>
      <x:c r="F42" s="99" t="n">
        <x:v>2</x:v>
      </x:c>
      <x:c r="G42" s="100" t="n">
        <x:v>36.68894775212371</x:v>
      </x:c>
      <x:c r="H42" s="99"/>
      <x:c r="I42" s="100"/>
      <x:c r="J42" s="99" t="n">
        <x:v>3</x:v>
      </x:c>
      <x:c r="K42" s="100" t="n">
        <x:v>0.016129032258064516</x:v>
      </x:c>
      <x:c r="L42" s="99" t="n">
        <x:v>1</x:v>
      </x:c>
      <x:c r="M42" s="100" t="n">
        <x:v>3.943751096725464</x:v>
      </x:c>
    </x:row>
    <x:row r="43">
      <x:c r="A43" s="38" t="str">
        <x:v>Q002::B00SH1IEH0_review_2826801</x:v>
      </x:c>
      <x:c r="B43" s="38" t="str">
        <x:v>Q002</x:v>
      </x:c>
      <x:c r="C43" s="38" t="str">
        <x:v>B00SH1IEH0_review_2826801</x:v>
      </x:c>
      <x:c r="D43" s="38" t="str">
        <x:v>B00SH1IEH0</x:v>
      </x:c>
      <x:c r="E43" s="38" t="str">
        <x:v>dense; hybrid_rrf; cross_encoder</x:v>
      </x:c>
      <x:c r="F43" s="99"/>
      <x:c r="G43" s="100"/>
      <x:c r="H43" s="99" t="n">
        <x:v>6</x:v>
      </x:c>
      <x:c r="I43" s="100" t="n">
        <x:v>0.737470269203186</x:v>
      </x:c>
      <x:c r="J43" s="99" t="n">
        <x:v>11</x:v>
      </x:c>
      <x:c r="K43" s="100" t="n">
        <x:v>0.015151515151515152</x:v>
      </x:c>
      <x:c r="L43" s="99" t="n">
        <x:v>5</x:v>
      </x:c>
      <x:c r="M43" s="100" t="n">
        <x:v>0.32908207178115845</x:v>
      </x:c>
    </x:row>
    <x:row r="44">
      <x:c r="A44" s="38" t="str">
        <x:v>Q002::B073ZJNLTV_review_2787798</x:v>
      </x:c>
      <x:c r="B44" s="38" t="str">
        <x:v>Q002</x:v>
      </x:c>
      <x:c r="C44" s="38" t="str">
        <x:v>B073ZJNLTV_review_2787798</x:v>
      </x:c>
      <x:c r="D44" s="38" t="str">
        <x:v>B073ZJNLTV</x:v>
      </x:c>
      <x:c r="E44" s="38" t="str">
        <x:v>dense</x:v>
      </x:c>
      <x:c r="F44" s="99"/>
      <x:c r="G44" s="100"/>
      <x:c r="H44" s="99" t="n">
        <x:v>13</x:v>
      </x:c>
      <x:c r="I44" s="100" t="n">
        <x:v>0.7327558994293213</x:v>
      </x:c>
      <x:c r="J44" s="99"/>
      <x:c r="K44" s="100"/>
      <x:c r="L44" s="99"/>
      <x:c r="M44" s="100"/>
    </x:row>
    <x:row r="45">
      <x:c r="A45" s="38" t="str">
        <x:v>Q002::B00G3FZ7YU_review_1189138</x:v>
      </x:c>
      <x:c r="B45" s="38" t="str">
        <x:v>Q002</x:v>
      </x:c>
      <x:c r="C45" s="38" t="str">
        <x:v>B00G3FZ7YU_review_1189138</x:v>
      </x:c>
      <x:c r="D45" s="38" t="str">
        <x:v>B00G3FZ7YU</x:v>
      </x:c>
      <x:c r="E45" s="38" t="str">
        <x:v>bm25</x:v>
      </x:c>
      <x:c r="F45" s="99" t="n">
        <x:v>16</x:v>
      </x:c>
      <x:c r="G45" s="100" t="n">
        <x:v>32.516661765053186</x:v>
      </x:c>
      <x:c r="H45" s="99"/>
      <x:c r="I45" s="100"/>
      <x:c r="J45" s="99"/>
      <x:c r="K45" s="100"/>
      <x:c r="L45" s="99"/>
      <x:c r="M45" s="100"/>
    </x:row>
    <x:row r="46">
      <x:c r="A46" s="38" t="str">
        <x:v>Q002::B07GVDB9RQ_review_3041126</x:v>
      </x:c>
      <x:c r="B46" s="38" t="str">
        <x:v>Q002</x:v>
      </x:c>
      <x:c r="C46" s="38" t="str">
        <x:v>B07GVDB9RQ_review_3041126</x:v>
      </x:c>
      <x:c r="D46" s="38" t="str">
        <x:v>B07GVDB9RQ</x:v>
      </x:c>
      <x:c r="E46" s="38" t="str">
        <x:v>bm25; hybrid_rrf; cross_encoder</x:v>
      </x:c>
      <x:c r="F46" s="99" t="n">
        <x:v>5</x:v>
      </x:c>
      <x:c r="G46" s="100" t="n">
        <x:v>34.24408878069099</x:v>
      </x:c>
      <x:c r="H46" s="99"/>
      <x:c r="I46" s="100"/>
      <x:c r="J46" s="99" t="n">
        <x:v>10</x:v>
      </x:c>
      <x:c r="K46" s="100" t="n">
        <x:v>0.015384615384615385</x:v>
      </x:c>
      <x:c r="L46" s="99" t="n">
        <x:v>17</x:v>
      </x:c>
      <x:c r="M46" s="100" t="n">
        <x:v>-1.5597236156463623</x:v>
      </x:c>
    </x:row>
    <x:row r="47">
      <x:c r="A47" s="38" t="str">
        <x:v>Q002::B00H48W7AC_review_1541759</x:v>
      </x:c>
      <x:c r="B47" s="38" t="str">
        <x:v>Q002</x:v>
      </x:c>
      <x:c r="C47" s="38" t="str">
        <x:v>B00H48W7AC_review_1541759</x:v>
      </x:c>
      <x:c r="D47" s="38" t="str">
        <x:v>B00H48W7AC</x:v>
      </x:c>
      <x:c r="E47" s="38" t="str">
        <x:v>bm25</x:v>
      </x:c>
      <x:c r="F47" s="99" t="n">
        <x:v>19</x:v>
      </x:c>
      <x:c r="G47" s="100" t="n">
        <x:v>32.02002216955023</x:v>
      </x:c>
      <x:c r="H47" s="99"/>
      <x:c r="I47" s="100"/>
      <x:c r="J47" s="99"/>
      <x:c r="K47" s="100"/>
      <x:c r="L47" s="99"/>
      <x:c r="M47" s="100"/>
    </x:row>
    <x:row r="48">
      <x:c r="A48" s="38" t="str">
        <x:v>Q002::B000ZRVCY6_review_2932140</x:v>
      </x:c>
      <x:c r="B48" s="38" t="str">
        <x:v>Q002</x:v>
      </x:c>
      <x:c r="C48" s="38" t="str">
        <x:v>B000ZRVCY6_review_2932140</x:v>
      </x:c>
      <x:c r="D48" s="38" t="str">
        <x:v>B000ZRVCY6</x:v>
      </x:c>
      <x:c r="E48" s="38" t="str">
        <x:v>dense; hybrid_rrf; cross_encoder</x:v>
      </x:c>
      <x:c r="F48" s="99"/>
      <x:c r="G48" s="100"/>
      <x:c r="H48" s="99" t="n">
        <x:v>8</x:v>
      </x:c>
      <x:c r="I48" s="100" t="n">
        <x:v>0.7364124655723572</x:v>
      </x:c>
      <x:c r="J48" s="99" t="n">
        <x:v>16</x:v>
      </x:c>
      <x:c r="K48" s="100" t="n">
        <x:v>0.014705882352941176</x:v>
      </x:c>
      <x:c r="L48" s="99" t="n">
        <x:v>16</x:v>
      </x:c>
      <x:c r="M48" s="100" t="n">
        <x:v>-1.5490515232086182</x:v>
      </x:c>
    </x:row>
    <x:row r="49">
      <x:c r="A49" s="38" t="str">
        <x:v>Q002::B0012DV2DI_review_253147</x:v>
      </x:c>
      <x:c r="B49" s="38" t="str">
        <x:v>Q002</x:v>
      </x:c>
      <x:c r="C49" s="38" t="str">
        <x:v>B0012DV2DI_review_253147</x:v>
      </x:c>
      <x:c r="D49" s="38" t="str">
        <x:v>B0012DV2DI</x:v>
      </x:c>
      <x:c r="E49" s="38" t="str">
        <x:v>dense; hybrid_rrf; cross_encoder</x:v>
      </x:c>
      <x:c r="F49" s="99"/>
      <x:c r="G49" s="100"/>
      <x:c r="H49" s="99" t="n">
        <x:v>9</x:v>
      </x:c>
      <x:c r="I49" s="100" t="n">
        <x:v>0.7360975742340088</x:v>
      </x:c>
      <x:c r="J49" s="99" t="n">
        <x:v>17</x:v>
      </x:c>
      <x:c r="K49" s="100" t="n">
        <x:v>0.014492753623188406</x:v>
      </x:c>
      <x:c r="L49" s="99" t="n">
        <x:v>20</x:v>
      </x:c>
      <x:c r="M49" s="100" t="n">
        <x:v>-6.1294779777526855</x:v>
      </x:c>
    </x:row>
    <x:row r="50">
      <x:c r="A50" s="38" t="str">
        <x:v>Q002::B00N43BPPO_review_3261150</x:v>
      </x:c>
      <x:c r="B50" s="38" t="str">
        <x:v>Q002</x:v>
      </x:c>
      <x:c r="C50" s="38" t="str">
        <x:v>B00N43BPPO_review_3261150</x:v>
      </x:c>
      <x:c r="D50" s="38" t="str">
        <x:v>B00N43BPPO</x:v>
      </x:c>
      <x:c r="E50" s="38" t="str">
        <x:v>dense; hybrid_rrf; cross_encoder</x:v>
      </x:c>
      <x:c r="F50" s="99"/>
      <x:c r="G50" s="100"/>
      <x:c r="H50" s="99" t="n">
        <x:v>1</x:v>
      </x:c>
      <x:c r="I50" s="100" t="n">
        <x:v>0.7527825832366943</x:v>
      </x:c>
      <x:c r="J50" s="99" t="n">
        <x:v>1</x:v>
      </x:c>
      <x:c r="K50" s="100" t="n">
        <x:v>0.01639344262295082</x:v>
      </x:c>
      <x:c r="L50" s="99" t="n">
        <x:v>7</x:v>
      </x:c>
      <x:c r="M50" s="100" t="n">
        <x:v>-0.3049766719341278</x:v>
      </x:c>
    </x:row>
    <x:row r="51">
      <x:c r="A51" s="38" t="str">
        <x:v>Q002::B076Q7MLXB_review_805134</x:v>
      </x:c>
      <x:c r="B51" s="38" t="str">
        <x:v>Q002</x:v>
      </x:c>
      <x:c r="C51" s="38" t="str">
        <x:v>B076Q7MLXB_review_805134</x:v>
      </x:c>
      <x:c r="D51" s="38" t="str">
        <x:v>B076Q7MLXB</x:v>
      </x:c>
      <x:c r="E51" s="38" t="str">
        <x:v>bm25; hybrid_rrf; cross_encoder</x:v>
      </x:c>
      <x:c r="F51" s="99" t="n">
        <x:v>7</x:v>
      </x:c>
      <x:c r="G51" s="100" t="n">
        <x:v>34.01846269621839</x:v>
      </x:c>
      <x:c r="H51" s="99"/>
      <x:c r="I51" s="100"/>
      <x:c r="J51" s="99" t="n">
        <x:v>14</x:v>
      </x:c>
      <x:c r="K51" s="100" t="n">
        <x:v>0.014925373134328358</x:v>
      </x:c>
      <x:c r="L51" s="99" t="n">
        <x:v>3</x:v>
      </x:c>
      <x:c r="M51" s="100" t="n">
        <x:v>0.9357050657272339</x:v>
      </x:c>
    </x:row>
    <x:row r="52">
      <x:c r="A52" s="38" t="str">
        <x:v>Q002::B00G3FZ7YU_review_1189161</x:v>
      </x:c>
      <x:c r="B52" s="38" t="str">
        <x:v>Q002</x:v>
      </x:c>
      <x:c r="C52" s="38" t="str">
        <x:v>B00G3FZ7YU_review_1189161</x:v>
      </x:c>
      <x:c r="D52" s="38" t="str">
        <x:v>B00G3FZ7YU</x:v>
      </x:c>
      <x:c r="E52" s="38" t="str">
        <x:v>bm25; hybrid_rrf; cross_encoder</x:v>
      </x:c>
      <x:c r="F52" s="99" t="n">
        <x:v>4</x:v>
      </x:c>
      <x:c r="G52" s="100" t="n">
        <x:v>35.491586601948576</x:v>
      </x:c>
      <x:c r="H52" s="99"/>
      <x:c r="I52" s="100"/>
      <x:c r="J52" s="99" t="n">
        <x:v>8</x:v>
      </x:c>
      <x:c r="K52" s="100" t="n">
        <x:v>0.015625</x:v>
      </x:c>
      <x:c r="L52" s="99" t="n">
        <x:v>2</x:v>
      </x:c>
      <x:c r="M52" s="100" t="n">
        <x:v>3.7528858184814453</x:v>
      </x:c>
    </x:row>
    <x:row r="53">
      <x:c r="A53" s="38" t="str">
        <x:v>Q002::B07G98GG51_review_1186986</x:v>
      </x:c>
      <x:c r="B53" s="38" t="str">
        <x:v>Q002</x:v>
      </x:c>
      <x:c r="C53" s="38" t="str">
        <x:v>B07G98GG51_review_1186986</x:v>
      </x:c>
      <x:c r="D53" s="38" t="str">
        <x:v>B07G98GG51</x:v>
      </x:c>
      <x:c r="E53" s="38" t="str">
        <x:v>bm25; hybrid_rrf; cross_encoder</x:v>
      </x:c>
      <x:c r="F53" s="99" t="n">
        <x:v>9</x:v>
      </x:c>
      <x:c r="G53" s="100" t="n">
        <x:v>33.72063027688036</x:v>
      </x:c>
      <x:c r="H53" s="99"/>
      <x:c r="I53" s="100"/>
      <x:c r="J53" s="99" t="n">
        <x:v>18</x:v>
      </x:c>
      <x:c r="K53" s="100" t="n">
        <x:v>0.014492753623188406</x:v>
      </x:c>
      <x:c r="L53" s="99" t="n">
        <x:v>15</x:v>
      </x:c>
      <x:c r="M53" s="100" t="n">
        <x:v>-1.4543788433074951</x:v>
      </x:c>
    </x:row>
    <x:row r="54">
      <x:c r="A54" s="38" t="str">
        <x:v>Q002::B01LWOLBWE_review_439467</x:v>
      </x:c>
      <x:c r="B54" s="38" t="str">
        <x:v>Q002</x:v>
      </x:c>
      <x:c r="C54" s="38" t="str">
        <x:v>B01LWOLBWE_review_439467</x:v>
      </x:c>
      <x:c r="D54" s="38" t="str">
        <x:v>B01LWOLBWE</x:v>
      </x:c>
      <x:c r="E54" s="38" t="str">
        <x:v>bm25</x:v>
      </x:c>
      <x:c r="F54" s="99" t="n">
        <x:v>14</x:v>
      </x:c>
      <x:c r="G54" s="100" t="n">
        <x:v>32.951792292068</x:v>
      </x:c>
      <x:c r="H54" s="99"/>
      <x:c r="I54" s="100"/>
      <x:c r="J54" s="99"/>
      <x:c r="K54" s="100"/>
      <x:c r="L54" s="99"/>
      <x:c r="M54" s="100"/>
    </x:row>
    <x:row r="55">
      <x:c r="A55" s="38" t="str">
        <x:v>Q002::B00N438N3G_review_4138999</x:v>
      </x:c>
      <x:c r="B55" s="38" t="str">
        <x:v>Q002</x:v>
      </x:c>
      <x:c r="C55" s="38" t="str">
        <x:v>B00N438N3G_review_4138999</x:v>
      </x:c>
      <x:c r="D55" s="38" t="str">
        <x:v>B00N438N3G</x:v>
      </x:c>
      <x:c r="E55" s="38" t="str">
        <x:v>dense; hybrid_rrf; cross_encoder</x:v>
      </x:c>
      <x:c r="F55" s="99"/>
      <x:c r="G55" s="100"/>
      <x:c r="H55" s="99" t="n">
        <x:v>7</x:v>
      </x:c>
      <x:c r="I55" s="100" t="n">
        <x:v>0.7368254661560059</x:v>
      </x:c>
      <x:c r="J55" s="99" t="n">
        <x:v>13</x:v>
      </x:c>
      <x:c r="K55" s="100" t="n">
        <x:v>0.014925373134328358</x:v>
      </x:c>
      <x:c r="L55" s="99" t="n">
        <x:v>4</x:v>
      </x:c>
      <x:c r="M55" s="100" t="n">
        <x:v>0.6353036165237427</x:v>
      </x:c>
    </x:row>
    <x:row r="56">
      <x:c r="A56" s="38" t="str">
        <x:v>Q002::B072HTCBBS_review_2328641</x:v>
      </x:c>
      <x:c r="B56" s="38" t="str">
        <x:v>Q002</x:v>
      </x:c>
      <x:c r="C56" s="38" t="str">
        <x:v>B072HTCBBS_review_2328641</x:v>
      </x:c>
      <x:c r="D56" s="38" t="str">
        <x:v>B072HTCBBS</x:v>
      </x:c>
      <x:c r="E56" s="38" t="str">
        <x:v>bm25</x:v>
      </x:c>
      <x:c r="F56" s="99" t="n">
        <x:v>18</x:v>
      </x:c>
      <x:c r="G56" s="100" t="n">
        <x:v>32.33621213819042</x:v>
      </x:c>
      <x:c r="H56" s="99"/>
      <x:c r="I56" s="100"/>
      <x:c r="J56" s="99"/>
      <x:c r="K56" s="100"/>
      <x:c r="L56" s="99"/>
      <x:c r="M56" s="100"/>
    </x:row>
    <x:row r="57">
      <x:c r="A57" s="38" t="str">
        <x:v>Q002::B01CZ0QA4W_review_1672208</x:v>
      </x:c>
      <x:c r="B57" s="38" t="str">
        <x:v>Q002</x:v>
      </x:c>
      <x:c r="C57" s="38" t="str">
        <x:v>B01CZ0QA4W_review_1672208</x:v>
      </x:c>
      <x:c r="D57" s="38" t="str">
        <x:v>B01CZ0QA4W</x:v>
      </x:c>
      <x:c r="E57" s="38" t="str">
        <x:v>bm25</x:v>
      </x:c>
      <x:c r="F57" s="99" t="n">
        <x:v>20</x:v>
      </x:c>
      <x:c r="G57" s="100" t="n">
        <x:v>31.950190122262498</x:v>
      </x:c>
      <x:c r="H57" s="99"/>
      <x:c r="I57" s="100"/>
      <x:c r="J57" s="99"/>
      <x:c r="K57" s="100"/>
      <x:c r="L57" s="99"/>
      <x:c r="M57" s="100"/>
    </x:row>
    <x:row r="58">
      <x:c r="A58" s="38" t="str">
        <x:v>Q002::B0BJJ2G9P5_review_3858891</x:v>
      </x:c>
      <x:c r="B58" s="38" t="str">
        <x:v>Q002</x:v>
      </x:c>
      <x:c r="C58" s="38" t="str">
        <x:v>B0BJJ2G9P5_review_3858891</x:v>
      </x:c>
      <x:c r="D58" s="38" t="str">
        <x:v>B0BJJ2G9P5</x:v>
      </x:c>
      <x:c r="E58" s="38" t="str">
        <x:v>bm25</x:v>
      </x:c>
      <x:c r="F58" s="99" t="n">
        <x:v>17</x:v>
      </x:c>
      <x:c r="G58" s="100" t="n">
        <x:v>32.341609457237226</x:v>
      </x:c>
      <x:c r="H58" s="99"/>
      <x:c r="I58" s="100"/>
      <x:c r="J58" s="99"/>
      <x:c r="K58" s="100"/>
      <x:c r="L58" s="99"/>
      <x:c r="M58" s="100"/>
    </x:row>
    <x:row r="59">
      <x:c r="A59" s="38" t="str">
        <x:v>Q002::B015KY5J7Y_review_2408398</x:v>
      </x:c>
      <x:c r="B59" s="38" t="str">
        <x:v>Q002</x:v>
      </x:c>
      <x:c r="C59" s="38" t="str">
        <x:v>B015KY5J7Y_review_2408398</x:v>
      </x:c>
      <x:c r="D59" s="38" t="str">
        <x:v>B015KY5J7Y</x:v>
      </x:c>
      <x:c r="E59" s="38" t="str">
        <x:v>bm25</x:v>
      </x:c>
      <x:c r="F59" s="99" t="n">
        <x:v>15</x:v>
      </x:c>
      <x:c r="G59" s="100" t="n">
        <x:v>32.54989899629378</x:v>
      </x:c>
      <x:c r="H59" s="99"/>
      <x:c r="I59" s="100"/>
      <x:c r="J59" s="99"/>
      <x:c r="K59" s="100"/>
      <x:c r="L59" s="99"/>
      <x:c r="M59" s="100"/>
    </x:row>
    <x:row r="60">
      <x:c r="A60" s="38" t="str">
        <x:v>Q002::B000VVERJI_review_636359</x:v>
      </x:c>
      <x:c r="B60" s="38" t="str">
        <x:v>Q002</x:v>
      </x:c>
      <x:c r="C60" s="38" t="str">
        <x:v>B000VVERJI_review_636359</x:v>
      </x:c>
      <x:c r="D60" s="38" t="str">
        <x:v>B000VVERJI</x:v>
      </x:c>
      <x:c r="E60" s="38" t="str">
        <x:v>bm25; hybrid_rrf; cross_encoder</x:v>
      </x:c>
      <x:c r="F60" s="99" t="n">
        <x:v>8</x:v>
      </x:c>
      <x:c r="G60" s="100" t="n">
        <x:v>33.87937303134541</x:v>
      </x:c>
      <x:c r="H60" s="99"/>
      <x:c r="I60" s="100"/>
      <x:c r="J60" s="99" t="n">
        <x:v>15</x:v>
      </x:c>
      <x:c r="K60" s="100" t="n">
        <x:v>0.014705882352941176</x:v>
      </x:c>
      <x:c r="L60" s="99" t="n">
        <x:v>13</x:v>
      </x:c>
      <x:c r="M60" s="100" t="n">
        <x:v>-1.1394850015640259</x:v>
      </x:c>
    </x:row>
    <x:row r="61">
      <x:c r="A61" s="38" t="str">
        <x:v>Q002::B00N438N3G_review_4139000</x:v>
      </x:c>
      <x:c r="B61" s="38" t="str">
        <x:v>Q002</x:v>
      </x:c>
      <x:c r="C61" s="38" t="str">
        <x:v>B00N438N3G_review_4139000</x:v>
      </x:c>
      <x:c r="D61" s="38" t="str">
        <x:v>B00N438N3G</x:v>
      </x:c>
      <x:c r="E61" s="38" t="str">
        <x:v>dense</x:v>
      </x:c>
      <x:c r="F61" s="99"/>
      <x:c r="G61" s="100"/>
      <x:c r="H61" s="99" t="n">
        <x:v>18</x:v>
      </x:c>
      <x:c r="I61" s="100" t="n">
        <x:v>0.728162407875061</x:v>
      </x:c>
      <x:c r="J61" s="99"/>
      <x:c r="K61" s="100"/>
      <x:c r="L61" s="99"/>
      <x:c r="M61" s="100"/>
    </x:row>
    <x:row r="62">
      <x:c r="A62" s="38" t="str">
        <x:v>Q002::B00OGUVGYE_review_169048</x:v>
      </x:c>
      <x:c r="B62" s="38" t="str">
        <x:v>Q002</x:v>
      </x:c>
      <x:c r="C62" s="38" t="str">
        <x:v>B00OGUVGYE_review_169048</x:v>
      </x:c>
      <x:c r="D62" s="38" t="str">
        <x:v>B00OGUVGYE</x:v>
      </x:c>
      <x:c r="E62" s="38" t="str">
        <x:v>dense; hybrid_rrf; cross_encoder</x:v>
      </x:c>
      <x:c r="F62" s="99"/>
      <x:c r="G62" s="100"/>
      <x:c r="H62" s="99" t="n">
        <x:v>2</x:v>
      </x:c>
      <x:c r="I62" s="100" t="n">
        <x:v>0.7433071136474609</x:v>
      </x:c>
      <x:c r="J62" s="99" t="n">
        <x:v>4</x:v>
      </x:c>
      <x:c r="K62" s="100" t="n">
        <x:v>0.016129032258064516</x:v>
      </x:c>
      <x:c r="L62" s="99" t="n">
        <x:v>10</x:v>
      </x:c>
      <x:c r="M62" s="100" t="n">
        <x:v>-0.738878607749939</x:v>
      </x:c>
    </x:row>
    <x:row r="63">
      <x:c r="A63" s="38" t="str">
        <x:v>Q002::B00N438N3G_review_4139026</x:v>
      </x:c>
      <x:c r="B63" s="38" t="str">
        <x:v>Q002</x:v>
      </x:c>
      <x:c r="C63" s="38" t="str">
        <x:v>B00N438N3G_review_4139026</x:v>
      </x:c>
      <x:c r="D63" s="38" t="str">
        <x:v>B00N438N3G</x:v>
      </x:c>
      <x:c r="E63" s="38" t="str">
        <x:v>dense</x:v>
      </x:c>
      <x:c r="F63" s="99"/>
      <x:c r="G63" s="100"/>
      <x:c r="H63" s="99" t="n">
        <x:v>15</x:v>
      </x:c>
      <x:c r="I63" s="100" t="n">
        <x:v>0.7315303087234497</x:v>
      </x:c>
      <x:c r="J63" s="99"/>
      <x:c r="K63" s="100"/>
      <x:c r="L63" s="99"/>
      <x:c r="M63" s="100"/>
    </x:row>
    <x:row r="64">
      <x:c r="A64" s="38" t="str">
        <x:v>Q002::B00WMLXPE8_review_2280671</x:v>
      </x:c>
      <x:c r="B64" s="38" t="str">
        <x:v>Q002</x:v>
      </x:c>
      <x:c r="C64" s="38" t="str">
        <x:v>B00WMLXPE8_review_2280671</x:v>
      </x:c>
      <x:c r="D64" s="38" t="str">
        <x:v>B00WMLXPE8</x:v>
      </x:c>
      <x:c r="E64" s="38" t="str">
        <x:v>bm25</x:v>
      </x:c>
      <x:c r="F64" s="99" t="n">
        <x:v>11</x:v>
      </x:c>
      <x:c r="G64" s="100" t="n">
        <x:v>33.558391705825514</x:v>
      </x:c>
      <x:c r="H64" s="99"/>
      <x:c r="I64" s="100"/>
      <x:c r="J64" s="99"/>
      <x:c r="K64" s="100"/>
      <x:c r="L64" s="99"/>
      <x:c r="M64" s="100"/>
    </x:row>
    <x:row r="65">
      <x:c r="A65" s="38" t="str">
        <x:v>Q002::B00P89AVRU_review_192210</x:v>
      </x:c>
      <x:c r="B65" s="38" t="str">
        <x:v>Q002</x:v>
      </x:c>
      <x:c r="C65" s="38" t="str">
        <x:v>B00P89AVRU_review_192210</x:v>
      </x:c>
      <x:c r="D65" s="38" t="str">
        <x:v>B00P89AVRU</x:v>
      </x:c>
      <x:c r="E65" s="38" t="str">
        <x:v>bm25</x:v>
      </x:c>
      <x:c r="F65" s="99" t="n">
        <x:v>12</x:v>
      </x:c>
      <x:c r="G65" s="100" t="n">
        <x:v>33.329153648359004</x:v>
      </x:c>
      <x:c r="H65" s="99"/>
      <x:c r="I65" s="100"/>
      <x:c r="J65" s="99"/>
      <x:c r="K65" s="100"/>
      <x:c r="L65" s="99"/>
      <x:c r="M65" s="100"/>
    </x:row>
    <x:row r="66">
      <x:c r="A66" s="38" t="str">
        <x:v>Q002::B0012DV2DI_review_253127</x:v>
      </x:c>
      <x:c r="B66" s="38" t="str">
        <x:v>Q002</x:v>
      </x:c>
      <x:c r="C66" s="38" t="str">
        <x:v>B0012DV2DI_review_253127</x:v>
      </x:c>
      <x:c r="D66" s="38" t="str">
        <x:v>B0012DV2DI</x:v>
      </x:c>
      <x:c r="E66" s="38" t="str">
        <x:v>dense</x:v>
      </x:c>
      <x:c r="F66" s="99"/>
      <x:c r="G66" s="100"/>
      <x:c r="H66" s="99" t="n">
        <x:v>11</x:v>
      </x:c>
      <x:c r="I66" s="100" t="n">
        <x:v>0.733952522277832</x:v>
      </x:c>
      <x:c r="J66" s="99"/>
      <x:c r="K66" s="100"/>
      <x:c r="L66" s="99"/>
      <x:c r="M66" s="100"/>
    </x:row>
    <x:row r="67">
      <x:c r="A67" s="38" t="str">
        <x:v>Q002::B01LXSZPYA_review_3773559</x:v>
      </x:c>
      <x:c r="B67" s="38" t="str">
        <x:v>Q002</x:v>
      </x:c>
      <x:c r="C67" s="38" t="str">
        <x:v>B01LXSZPYA_review_3773559</x:v>
      </x:c>
      <x:c r="D67" s="38" t="str">
        <x:v>B01LXSZPYA</x:v>
      </x:c>
      <x:c r="E67" s="38" t="str">
        <x:v>bm25; hybrid_rrf; cross_encoder</x:v>
      </x:c>
      <x:c r="F67" s="99" t="n">
        <x:v>3</x:v>
      </x:c>
      <x:c r="G67" s="100" t="n">
        <x:v>35.62244235808085</x:v>
      </x:c>
      <x:c r="H67" s="99"/>
      <x:c r="I67" s="100"/>
      <x:c r="J67" s="99" t="n">
        <x:v>6</x:v>
      </x:c>
      <x:c r="K67" s="100" t="n">
        <x:v>0.015873015873015872</x:v>
      </x:c>
      <x:c r="L67" s="99" t="n">
        <x:v>6</x:v>
      </x:c>
      <x:c r="M67" s="100" t="n">
        <x:v>0.0017597489058971405</x:v>
      </x:c>
    </x:row>
    <x:row r="68">
      <x:c r="A68" s="38" t="str">
        <x:v>Q002::B00ECGRODE_review_1868420</x:v>
      </x:c>
      <x:c r="B68" s="38" t="str">
        <x:v>Q002</x:v>
      </x:c>
      <x:c r="C68" s="38" t="str">
        <x:v>B00ECGRODE_review_1868420</x:v>
      </x:c>
      <x:c r="D68" s="38" t="str">
        <x:v>B00ECGRODE</x:v>
      </x:c>
      <x:c r="E68" s="38" t="str">
        <x:v>dense; hybrid_rrf; cross_encoder</x:v>
      </x:c>
      <x:c r="F68" s="99"/>
      <x:c r="G68" s="100"/>
      <x:c r="H68" s="99" t="n">
        <x:v>3</x:v>
      </x:c>
      <x:c r="I68" s="100" t="n">
        <x:v>0.7409026026725769</x:v>
      </x:c>
      <x:c r="J68" s="99" t="n">
        <x:v>5</x:v>
      </x:c>
      <x:c r="K68" s="100" t="n">
        <x:v>0.015873015873015872</x:v>
      </x:c>
      <x:c r="L68" s="99" t="n">
        <x:v>18</x:v>
      </x:c>
      <x:c r="M68" s="100" t="n">
        <x:v>-2.006988286972046</x:v>
      </x:c>
    </x:row>
    <x:row r="69">
      <x:c r="A69" s="38" t="str">
        <x:v>Q002::B00J25CHK0_review_2697392</x:v>
      </x:c>
      <x:c r="B69" s="38" t="str">
        <x:v>Q002</x:v>
      </x:c>
      <x:c r="C69" s="38" t="str">
        <x:v>B00J25CHK0_review_2697392</x:v>
      </x:c>
      <x:c r="D69" s="38" t="str">
        <x:v>B00J25CHK0</x:v>
      </x:c>
      <x:c r="E69" s="38" t="str">
        <x:v>dense</x:v>
      </x:c>
      <x:c r="F69" s="99"/>
      <x:c r="G69" s="100"/>
      <x:c r="H69" s="99" t="n">
        <x:v>12</x:v>
      </x:c>
      <x:c r="I69" s="100" t="n">
        <x:v>0.7332295179367065</x:v>
      </x:c>
      <x:c r="J69" s="99"/>
      <x:c r="K69" s="100"/>
      <x:c r="L69" s="99"/>
      <x:c r="M69" s="100"/>
    </x:row>
    <x:row r="70">
      <x:c r="A70" s="38" t="str">
        <x:v>Q002::B015KY5J7Y_review_2408427</x:v>
      </x:c>
      <x:c r="B70" s="38" t="str">
        <x:v>Q002</x:v>
      </x:c>
      <x:c r="C70" s="38" t="str">
        <x:v>B015KY5J7Y_review_2408427</x:v>
      </x:c>
      <x:c r="D70" s="38" t="str">
        <x:v>B015KY5J7Y</x:v>
      </x:c>
      <x:c r="E70" s="38" t="str">
        <x:v>bm25; hybrid_rrf; cross_encoder</x:v>
      </x:c>
      <x:c r="F70" s="99" t="n">
        <x:v>10</x:v>
      </x:c>
      <x:c r="G70" s="100" t="n">
        <x:v>33.6320789400859</x:v>
      </x:c>
      <x:c r="H70" s="99"/>
      <x:c r="I70" s="100"/>
      <x:c r="J70" s="99" t="n">
        <x:v>20</x:v>
      </x:c>
      <x:c r="K70" s="100" t="n">
        <x:v>0.014285714285714285</x:v>
      </x:c>
      <x:c r="L70" s="99" t="n">
        <x:v>9</x:v>
      </x:c>
      <x:c r="M70" s="100" t="n">
        <x:v>-0.6229090690612793</x:v>
      </x:c>
    </x:row>
    <x:row r="71">
      <x:c r="A71" s="38" t="str">
        <x:v>Q002::B00N43BPPO_review_3261198</x:v>
      </x:c>
      <x:c r="B71" s="38" t="str">
        <x:v>Q002</x:v>
      </x:c>
      <x:c r="C71" s="38" t="str">
        <x:v>B00N43BPPO_review_3261198</x:v>
      </x:c>
      <x:c r="D71" s="38" t="str">
        <x:v>B00N43BPPO</x:v>
      </x:c>
      <x:c r="E71" s="38" t="str">
        <x:v>dense</x:v>
      </x:c>
      <x:c r="F71" s="99"/>
      <x:c r="G71" s="100"/>
      <x:c r="H71" s="99" t="n">
        <x:v>17</x:v>
      </x:c>
      <x:c r="I71" s="100" t="n">
        <x:v>0.7288823127746582</x:v>
      </x:c>
      <x:c r="J71" s="99"/>
      <x:c r="K71" s="100"/>
      <x:c r="L71" s="99"/>
      <x:c r="M71" s="100"/>
    </x:row>
    <x:row r="72">
      <x:c r="A72" s="38" t="str">
        <x:v>Q002::B0BVJ4DHFQ_review_3684506</x:v>
      </x:c>
      <x:c r="B72" s="38" t="str">
        <x:v>Q002</x:v>
      </x:c>
      <x:c r="C72" s="38" t="str">
        <x:v>B0BVJ4DHFQ_review_3684506</x:v>
      </x:c>
      <x:c r="D72" s="38" t="str">
        <x:v>B0BVJ4DHFQ</x:v>
      </x:c>
      <x:c r="E72" s="38" t="str">
        <x:v>bm25; hybrid_rrf; cross_encoder</x:v>
      </x:c>
      <x:c r="F72" s="99" t="n">
        <x:v>1</x:v>
      </x:c>
      <x:c r="G72" s="100" t="n">
        <x:v>38.193832442584046</x:v>
      </x:c>
      <x:c r="H72" s="99"/>
      <x:c r="I72" s="100"/>
      <x:c r="J72" s="99" t="n">
        <x:v>2</x:v>
      </x:c>
      <x:c r="K72" s="100" t="n">
        <x:v>0.01639344262295082</x:v>
      </x:c>
      <x:c r="L72" s="99" t="n">
        <x:v>12</x:v>
      </x:c>
      <x:c r="M72" s="100" t="n">
        <x:v>-0.9696747064590454</x:v>
      </x:c>
    </x:row>
    <x:row r="73">
      <x:c r="A73" s="38" t="str">
        <x:v>Q002::B011R697K4_review_493746</x:v>
      </x:c>
      <x:c r="B73" s="38" t="str">
        <x:v>Q002</x:v>
      </x:c>
      <x:c r="C73" s="38" t="str">
        <x:v>B011R697K4_review_493746</x:v>
      </x:c>
      <x:c r="D73" s="38" t="str">
        <x:v>B011R697K4</x:v>
      </x:c>
      <x:c r="E73" s="38" t="str">
        <x:v>bm25; hybrid_rrf; cross_encoder</x:v>
      </x:c>
      <x:c r="F73" s="99" t="n">
        <x:v>6</x:v>
      </x:c>
      <x:c r="G73" s="100" t="n">
        <x:v>34.16685076865644</x:v>
      </x:c>
      <x:c r="H73" s="99"/>
      <x:c r="I73" s="100"/>
      <x:c r="J73" s="99" t="n">
        <x:v>12</x:v>
      </x:c>
      <x:c r="K73" s="100" t="n">
        <x:v>0.015151515151515152</x:v>
      </x:c>
      <x:c r="L73" s="99" t="n">
        <x:v>14</x:v>
      </x:c>
      <x:c r="M73" s="100" t="n">
        <x:v>-1.3944368362426758</x:v>
      </x:c>
    </x:row>
    <x:row r="74">
      <x:c r="A74" s="38" t="str">
        <x:v>Q002::B00N438N3G_review_4139027</x:v>
      </x:c>
      <x:c r="B74" s="38" t="str">
        <x:v>Q002</x:v>
      </x:c>
      <x:c r="C74" s="38" t="str">
        <x:v>B00N438N3G_review_4139027</x:v>
      </x:c>
      <x:c r="D74" s="38" t="str">
        <x:v>B00N438N3G</x:v>
      </x:c>
      <x:c r="E74" s="38" t="str">
        <x:v>dense</x:v>
      </x:c>
      <x:c r="F74" s="99"/>
      <x:c r="G74" s="100"/>
      <x:c r="H74" s="99" t="n">
        <x:v>14</x:v>
      </x:c>
      <x:c r="I74" s="100" t="n">
        <x:v>0.7316899299621582</x:v>
      </x:c>
      <x:c r="J74" s="99"/>
      <x:c r="K74" s="100"/>
      <x:c r="L74" s="99"/>
      <x:c r="M74" s="100"/>
    </x:row>
    <x:row r="75">
      <x:c r="A75" s="38" t="str">
        <x:v>Q002::B000PJ5C5E_review_906938</x:v>
      </x:c>
      <x:c r="B75" s="38" t="str">
        <x:v>Q002</x:v>
      </x:c>
      <x:c r="C75" s="38" t="str">
        <x:v>B000PJ5C5E_review_906938</x:v>
      </x:c>
      <x:c r="D75" s="38" t="str">
        <x:v>B000PJ5C5E</x:v>
      </x:c>
      <x:c r="E75" s="38" t="str">
        <x:v>dense; hybrid_rrf; cross_encoder</x:v>
      </x:c>
      <x:c r="F75" s="99"/>
      <x:c r="G75" s="100"/>
      <x:c r="H75" s="99" t="n">
        <x:v>4</x:v>
      </x:c>
      <x:c r="I75" s="100" t="n">
        <x:v>0.7396815419197083</x:v>
      </x:c>
      <x:c r="J75" s="99" t="n">
        <x:v>7</x:v>
      </x:c>
      <x:c r="K75" s="100" t="n">
        <x:v>0.015625</x:v>
      </x:c>
      <x:c r="L75" s="99" t="n">
        <x:v>19</x:v>
      </x:c>
      <x:c r="M75" s="100" t="n">
        <x:v>-2.498422622680664</x:v>
      </x:c>
    </x:row>
    <x:row r="76">
      <x:c r="A76" s="38" t="str">
        <x:v>Q002::B00COB1YNU_review_3708174</x:v>
      </x:c>
      <x:c r="B76" s="38" t="str">
        <x:v>Q002</x:v>
      </x:c>
      <x:c r="C76" s="38" t="str">
        <x:v>B00COB1YNU_review_3708174</x:v>
      </x:c>
      <x:c r="D76" s="38" t="str">
        <x:v>B00COB1YNU</x:v>
      </x:c>
      <x:c r="E76" s="38" t="str">
        <x:v>dense; hybrid_rrf; cross_encoder</x:v>
      </x:c>
      <x:c r="F76" s="99"/>
      <x:c r="G76" s="100"/>
      <x:c r="H76" s="99" t="n">
        <x:v>5</x:v>
      </x:c>
      <x:c r="I76" s="100" t="n">
        <x:v>0.7385336756706238</x:v>
      </x:c>
      <x:c r="J76" s="99" t="n">
        <x:v>9</x:v>
      </x:c>
      <x:c r="K76" s="100" t="n">
        <x:v>0.015384615384615385</x:v>
      </x:c>
      <x:c r="L76" s="99" t="n">
        <x:v>8</x:v>
      </x:c>
      <x:c r="M76" s="100" t="n">
        <x:v>-0.4019418954849243</x:v>
      </x:c>
    </x:row>
    <x:row r="77">
      <x:c r="A77" s="38" t="str">
        <x:v>Q002::B00N43BPPO_review_3261195</x:v>
      </x:c>
      <x:c r="B77" s="38" t="str">
        <x:v>Q002</x:v>
      </x:c>
      <x:c r="C77" s="38" t="str">
        <x:v>B00N43BPPO_review_3261195</x:v>
      </x:c>
      <x:c r="D77" s="38" t="str">
        <x:v>B00N43BPPO</x:v>
      </x:c>
      <x:c r="E77" s="38" t="str">
        <x:v>dense; hybrid_rrf; cross_encoder</x:v>
      </x:c>
      <x:c r="F77" s="99"/>
      <x:c r="G77" s="100"/>
      <x:c r="H77" s="99" t="n">
        <x:v>10</x:v>
      </x:c>
      <x:c r="I77" s="100" t="n">
        <x:v>0.7360085248947144</x:v>
      </x:c>
      <x:c r="J77" s="99" t="n">
        <x:v>19</x:v>
      </x:c>
      <x:c r="K77" s="100" t="n">
        <x:v>0.014285714285714285</x:v>
      </x:c>
      <x:c r="L77" s="99" t="n">
        <x:v>11</x:v>
      </x:c>
      <x:c r="M77" s="100" t="n">
        <x:v>-0.9076113700866699</x:v>
      </x:c>
    </x:row>
    <x:row r="78">
      <x:c r="A78" s="38" t="str">
        <x:v>Q002::B004QWOSLK_review_4089183</x:v>
      </x:c>
      <x:c r="B78" s="38" t="str">
        <x:v>Q002</x:v>
      </x:c>
      <x:c r="C78" s="38" t="str">
        <x:v>B004QWOSLK_review_4089183</x:v>
      </x:c>
      <x:c r="D78" s="38" t="str">
        <x:v>B004QWOSLK</x:v>
      </x:c>
      <x:c r="E78" s="38" t="str">
        <x:v>bm25</x:v>
      </x:c>
      <x:c r="F78" s="99" t="n">
        <x:v>13</x:v>
      </x:c>
      <x:c r="G78" s="100" t="n">
        <x:v>33.10408142046724</x:v>
      </x:c>
      <x:c r="H78" s="99"/>
      <x:c r="I78" s="100"/>
      <x:c r="J78" s="99"/>
      <x:c r="K78" s="100"/>
      <x:c r="L78" s="99"/>
      <x:c r="M78" s="100"/>
    </x:row>
    <x:row r="79">
      <x:c r="A79" s="38" t="str">
        <x:v>Q002::B07TSQS4QZ_review_2310568</x:v>
      </x:c>
      <x:c r="B79" s="38" t="str">
        <x:v>Q002</x:v>
      </x:c>
      <x:c r="C79" s="38" t="str">
        <x:v>B07TSQS4QZ_review_2310568</x:v>
      </x:c>
      <x:c r="D79" s="38" t="str">
        <x:v>B07TSQS4QZ</x:v>
      </x:c>
      <x:c r="E79" s="38" t="str">
        <x:v>dense</x:v>
      </x:c>
      <x:c r="F79" s="99"/>
      <x:c r="G79" s="100"/>
      <x:c r="H79" s="99" t="n">
        <x:v>16</x:v>
      </x:c>
      <x:c r="I79" s="100" t="n">
        <x:v>0.7304414510726929</x:v>
      </x:c>
      <x:c r="J79" s="99"/>
      <x:c r="K79" s="100"/>
      <x:c r="L79" s="99"/>
      <x:c r="M79" s="100"/>
    </x:row>
    <x:row r="80">
      <x:c r="A80" s="38" t="str">
        <x:v>Q002::B000GUP996_review_1506473</x:v>
      </x:c>
      <x:c r="B80" s="38" t="str">
        <x:v>Q002</x:v>
      </x:c>
      <x:c r="C80" s="38" t="str">
        <x:v>B000GUP996_review_1506473</x:v>
      </x:c>
      <x:c r="D80" s="38" t="str">
        <x:v>B000GUP996</x:v>
      </x:c>
      <x:c r="E80" s="38" t="str">
        <x:v>dense</x:v>
      </x:c>
      <x:c r="F80" s="99"/>
      <x:c r="G80" s="100"/>
      <x:c r="H80" s="99" t="n">
        <x:v>20</x:v>
      </x:c>
      <x:c r="I80" s="100" t="n">
        <x:v>0.7279155254364014</x:v>
      </x:c>
      <x:c r="J80" s="99"/>
      <x:c r="K80" s="100"/>
      <x:c r="L80" s="99"/>
      <x:c r="M80" s="100"/>
    </x:row>
    <x:row r="81">
      <x:c r="A81" s="38" t="str">
        <x:v>Q002::B000ZRVCY6_review_2932096</x:v>
      </x:c>
      <x:c r="B81" s="38" t="str">
        <x:v>Q002</x:v>
      </x:c>
      <x:c r="C81" s="38" t="str">
        <x:v>B000ZRVCY6_review_2932096</x:v>
      </x:c>
      <x:c r="D81" s="38" t="str">
        <x:v>B000ZRVCY6</x:v>
      </x:c>
      <x:c r="E81" s="38" t="str">
        <x:v>dense</x:v>
      </x:c>
      <x:c r="F81" s="99"/>
      <x:c r="G81" s="100"/>
      <x:c r="H81" s="99" t="n">
        <x:v>19</x:v>
      </x:c>
      <x:c r="I81" s="100" t="n">
        <x:v>0.7280700206756592</x:v>
      </x:c>
      <x:c r="J81" s="99"/>
      <x:c r="K81" s="100"/>
      <x:c r="L81" s="99"/>
      <x:c r="M81" s="100"/>
    </x:row>
    <x:row r="82">
      <x:c r="A82" s="38" t="str">
        <x:v>Q003::B00JFKN7EC_review_2649449</x:v>
      </x:c>
      <x:c r="B82" s="38" t="str">
        <x:v>Q003</x:v>
      </x:c>
      <x:c r="C82" s="38" t="str">
        <x:v>B00JFKN7EC_review_2649449</x:v>
      </x:c>
      <x:c r="D82" s="38" t="str">
        <x:v>B00JFKN7EC</x:v>
      </x:c>
      <x:c r="E82" s="38" t="str">
        <x:v>dense</x:v>
      </x:c>
      <x:c r="F82" s="99"/>
      <x:c r="G82" s="100"/>
      <x:c r="H82" s="99" t="n">
        <x:v>10</x:v>
      </x:c>
      <x:c r="I82" s="100" t="n">
        <x:v>0.7276254296302795</x:v>
      </x:c>
      <x:c r="J82" s="99"/>
      <x:c r="K82" s="100"/>
      <x:c r="L82" s="99"/>
      <x:c r="M82" s="100"/>
    </x:row>
    <x:row r="83">
      <x:c r="A83" s="38" t="str">
        <x:v>Q003::B00C4VSJD8_review_1882157</x:v>
      </x:c>
      <x:c r="B83" s="38" t="str">
        <x:v>Q003</x:v>
      </x:c>
      <x:c r="C83" s="38" t="str">
        <x:v>B00C4VSJD8_review_1882157</x:v>
      </x:c>
      <x:c r="D83" s="38" t="str">
        <x:v>B00C4VSJD8</x:v>
      </x:c>
      <x:c r="E83" s="38" t="str">
        <x:v>bm25; dense; hybrid_rrf; cross_encoder</x:v>
      </x:c>
      <x:c r="F83" s="99" t="n">
        <x:v>15</x:v>
      </x:c>
      <x:c r="G83" s="100" t="n">
        <x:v>25.026610279773177</x:v>
      </x:c>
      <x:c r="H83" s="99" t="n">
        <x:v>20</x:v>
      </x:c>
      <x:c r="I83" s="100" t="n">
        <x:v>0.7173020243644714</x:v>
      </x:c>
      <x:c r="J83" s="99" t="n">
        <x:v>3</x:v>
      </x:c>
      <x:c r="K83" s="100" t="n">
        <x:v>0.025833333333333333</x:v>
      </x:c>
      <x:c r="L83" s="99" t="n">
        <x:v>12</x:v>
      </x:c>
      <x:c r="M83" s="100" t="n">
        <x:v>2.8618056774139404</x:v>
      </x:c>
    </x:row>
    <x:row r="84">
      <x:c r="A84" s="38" t="str">
        <x:v>Q003::B0036W8BJ6_review_3807238</x:v>
      </x:c>
      <x:c r="B84" s="38" t="str">
        <x:v>Q003</x:v>
      </x:c>
      <x:c r="C84" s="38" t="str">
        <x:v>B0036W8BJ6_review_3807238</x:v>
      </x:c>
      <x:c r="D84" s="38" t="str">
        <x:v>B0036W8BJ6</x:v>
      </x:c>
      <x:c r="E84" s="38" t="str">
        <x:v>bm25; hybrid_rrf; cross_encoder</x:v>
      </x:c>
      <x:c r="F84" s="99" t="n">
        <x:v>1</x:v>
      </x:c>
      <x:c r="G84" s="100" t="n">
        <x:v>29.517272839407937</x:v>
      </x:c>
      <x:c r="H84" s="99"/>
      <x:c r="I84" s="100"/>
      <x:c r="J84" s="99" t="n">
        <x:v>4</x:v>
      </x:c>
      <x:c r="K84" s="100" t="n">
        <x:v>0.01639344262295082</x:v>
      </x:c>
      <x:c r="L84" s="99" t="n">
        <x:v>4</x:v>
      </x:c>
      <x:c r="M84" s="100" t="n">
        <x:v>5.634610176086426</x:v>
      </x:c>
    </x:row>
    <x:row r="85">
      <x:c r="A85" s="38" t="str">
        <x:v>Q003::B0060RD32E_review_2161699</x:v>
      </x:c>
      <x:c r="B85" s="38" t="str">
        <x:v>Q003</x:v>
      </x:c>
      <x:c r="C85" s="38" t="str">
        <x:v>B0060RD32E_review_2161699</x:v>
      </x:c>
      <x:c r="D85" s="38" t="str">
        <x:v>B0060RD32E</x:v>
      </x:c>
      <x:c r="E85" s="38" t="str">
        <x:v>dense; hybrid_rrf; cross_encoder</x:v>
      </x:c>
      <x:c r="F85" s="99"/>
      <x:c r="G85" s="100"/>
      <x:c r="H85" s="99" t="n">
        <x:v>8</x:v>
      </x:c>
      <x:c r="I85" s="100" t="n">
        <x:v>0.7277655601501465</x:v>
      </x:c>
      <x:c r="J85" s="99" t="n">
        <x:v>16</x:v>
      </x:c>
      <x:c r="K85" s="100" t="n">
        <x:v>0.014705882352941176</x:v>
      </x:c>
      <x:c r="L85" s="99" t="n">
        <x:v>17</x:v>
      </x:c>
      <x:c r="M85" s="100" t="n">
        <x:v>0.36425650119781494</x:v>
      </x:c>
    </x:row>
    <x:row r="86">
      <x:c r="A86" s="38" t="str">
        <x:v>Q003::B008R523N2_review_3338014</x:v>
      </x:c>
      <x:c r="B86" s="38" t="str">
        <x:v>Q003</x:v>
      </x:c>
      <x:c r="C86" s="38" t="str">
        <x:v>B008R523N2_review_3338014</x:v>
      </x:c>
      <x:c r="D86" s="38" t="str">
        <x:v>B008R523N2</x:v>
      </x:c>
      <x:c r="E86" s="38" t="str">
        <x:v>dense; hybrid_rrf; cross_encoder</x:v>
      </x:c>
      <x:c r="F86" s="99"/>
      <x:c r="G86" s="100"/>
      <x:c r="H86" s="99" t="n">
        <x:v>2</x:v>
      </x:c>
      <x:c r="I86" s="100" t="n">
        <x:v>0.7400233149528503</x:v>
      </x:c>
      <x:c r="J86" s="99" t="n">
        <x:v>5</x:v>
      </x:c>
      <x:c r="K86" s="100" t="n">
        <x:v>0.016129032258064516</x:v>
      </x:c>
      <x:c r="L86" s="99" t="n">
        <x:v>5</x:v>
      </x:c>
      <x:c r="M86" s="100" t="n">
        <x:v>4.757074356079102</x:v>
      </x:c>
    </x:row>
    <x:row r="87">
      <x:c r="A87" s="38" t="str">
        <x:v>Q003::B0087AQO3M_review_1715383</x:v>
      </x:c>
      <x:c r="B87" s="38" t="str">
        <x:v>Q003</x:v>
      </x:c>
      <x:c r="C87" s="38" t="str">
        <x:v>B0087AQO3M_review_1715383</x:v>
      </x:c>
      <x:c r="D87" s="38" t="str">
        <x:v>B0087AQO3M</x:v>
      </x:c>
      <x:c r="E87" s="38" t="str">
        <x:v>dense; hybrid_rrf; cross_encoder</x:v>
      </x:c>
      <x:c r="F87" s="99"/>
      <x:c r="G87" s="100"/>
      <x:c r="H87" s="99" t="n">
        <x:v>9</x:v>
      </x:c>
      <x:c r="I87" s="100" t="n">
        <x:v>0.7276710271835327</x:v>
      </x:c>
      <x:c r="J87" s="99" t="n">
        <x:v>18</x:v>
      </x:c>
      <x:c r="K87" s="100" t="n">
        <x:v>0.014492753623188406</x:v>
      </x:c>
      <x:c r="L87" s="99" t="n">
        <x:v>18</x:v>
      </x:c>
      <x:c r="M87" s="100" t="n">
        <x:v>0.3525642156600952</x:v>
      </x:c>
    </x:row>
    <x:row r="88">
      <x:c r="A88" s="38" t="str">
        <x:v>Q003::B00EEE3XHA_review_4216483</x:v>
      </x:c>
      <x:c r="B88" s="38" t="str">
        <x:v>Q003</x:v>
      </x:c>
      <x:c r="C88" s="38" t="str">
        <x:v>B00EEE3XHA_review_4216483</x:v>
      </x:c>
      <x:c r="D88" s="38" t="str">
        <x:v>B00EEE3XHA</x:v>
      </x:c>
      <x:c r="E88" s="38" t="str">
        <x:v>dense</x:v>
      </x:c>
      <x:c r="F88" s="99"/>
      <x:c r="G88" s="100"/>
      <x:c r="H88" s="99" t="n">
        <x:v>11</x:v>
      </x:c>
      <x:c r="I88" s="100" t="n">
        <x:v>0.7241420745849609</x:v>
      </x:c>
      <x:c r="J88" s="99"/>
      <x:c r="K88" s="100"/>
      <x:c r="L88" s="99"/>
      <x:c r="M88" s="100"/>
    </x:row>
    <x:row r="89">
      <x:c r="A89" s="38" t="str">
        <x:v>Q003::B009WNBDJS_review_4162817</x:v>
      </x:c>
      <x:c r="B89" s="38" t="str">
        <x:v>Q003</x:v>
      </x:c>
      <x:c r="C89" s="38" t="str">
        <x:v>B009WNBDJS_review_4162817</x:v>
      </x:c>
      <x:c r="D89" s="38" t="str">
        <x:v>B009WNBDJS</x:v>
      </x:c>
      <x:c r="E89" s="38" t="str">
        <x:v>dense</x:v>
      </x:c>
      <x:c r="F89" s="99"/>
      <x:c r="G89" s="100"/>
      <x:c r="H89" s="99" t="n">
        <x:v>12</x:v>
      </x:c>
      <x:c r="I89" s="100" t="n">
        <x:v>0.7232961654663086</x:v>
      </x:c>
      <x:c r="J89" s="99"/>
      <x:c r="K89" s="100"/>
      <x:c r="L89" s="99"/>
      <x:c r="M89" s="100"/>
    </x:row>
    <x:row r="90">
      <x:c r="A90" s="38" t="str">
        <x:v>Q003::B00CHHXW6S_review_2683503</x:v>
      </x:c>
      <x:c r="B90" s="38" t="str">
        <x:v>Q003</x:v>
      </x:c>
      <x:c r="C90" s="38" t="str">
        <x:v>B00CHHXW6S_review_2683503</x:v>
      </x:c>
      <x:c r="D90" s="38" t="str">
        <x:v>B00CHHXW6S</x:v>
      </x:c>
      <x:c r="E90" s="38" t="str">
        <x:v>dense</x:v>
      </x:c>
      <x:c r="F90" s="99"/>
      <x:c r="G90" s="100"/>
      <x:c r="H90" s="99" t="n">
        <x:v>18</x:v>
      </x:c>
      <x:c r="I90" s="100" t="n">
        <x:v>0.7188868522644043</x:v>
      </x:c>
      <x:c r="J90" s="99"/>
      <x:c r="K90" s="100"/>
      <x:c r="L90" s="99"/>
      <x:c r="M90" s="100"/>
    </x:row>
    <x:row r="91">
      <x:c r="A91" s="38" t="str">
        <x:v>Q003::B00XIH4FOE_review_1713521</x:v>
      </x:c>
      <x:c r="B91" s="38" t="str">
        <x:v>Q003</x:v>
      </x:c>
      <x:c r="C91" s="38" t="str">
        <x:v>B00XIH4FOE_review_1713521</x:v>
      </x:c>
      <x:c r="D91" s="38" t="str">
        <x:v>B00XIH4FOE</x:v>
      </x:c>
      <x:c r="E91" s="38" t="str">
        <x:v>dense; hybrid_rrf; cross_encoder</x:v>
      </x:c>
      <x:c r="F91" s="99"/>
      <x:c r="G91" s="100"/>
      <x:c r="H91" s="99" t="n">
        <x:v>4</x:v>
      </x:c>
      <x:c r="I91" s="100" t="n">
        <x:v>0.7337892651557922</x:v>
      </x:c>
      <x:c r="J91" s="99" t="n">
        <x:v>9</x:v>
      </x:c>
      <x:c r="K91" s="100" t="n">
        <x:v>0.015625</x:v>
      </x:c>
      <x:c r="L91" s="99" t="n">
        <x:v>20</x:v>
      </x:c>
      <x:c r="M91" s="100" t="n">
        <x:v>-1.8580002784729004</x:v>
      </x:c>
    </x:row>
    <x:row r="92">
      <x:c r="A92" s="38" t="str">
        <x:v>Q003::B00JFKJFAC_review_2032899</x:v>
      </x:c>
      <x:c r="B92" s="38" t="str">
        <x:v>Q003</x:v>
      </x:c>
      <x:c r="C92" s="38" t="str">
        <x:v>B00JFKJFAC_review_2032899</x:v>
      </x:c>
      <x:c r="D92" s="38" t="str">
        <x:v>B00JFKJFAC</x:v>
      </x:c>
      <x:c r="E92" s="38" t="str">
        <x:v>bm25; hybrid_rrf; cross_encoder</x:v>
      </x:c>
      <x:c r="F92" s="99" t="n">
        <x:v>3</x:v>
      </x:c>
      <x:c r="G92" s="100" t="n">
        <x:v>27.62327921839667</x:v>
      </x:c>
      <x:c r="H92" s="99"/>
      <x:c r="I92" s="100"/>
      <x:c r="J92" s="99" t="n">
        <x:v>8</x:v>
      </x:c>
      <x:c r="K92" s="100" t="n">
        <x:v>0.015873015873015872</x:v>
      </x:c>
      <x:c r="L92" s="99" t="n">
        <x:v>10</x:v>
      </x:c>
      <x:c r="M92" s="100" t="n">
        <x:v>3.5845398902893066</x:v>
      </x:c>
    </x:row>
    <x:row r="93">
      <x:c r="A93" s="38" t="str">
        <x:v>Q003::B00KTUKNNK_review_4241908</x:v>
      </x:c>
      <x:c r="B93" s="38" t="str">
        <x:v>Q003</x:v>
      </x:c>
      <x:c r="C93" s="38" t="str">
        <x:v>B00KTUKNNK_review_4241908</x:v>
      </x:c>
      <x:c r="D93" s="38" t="str">
        <x:v>B00KTUKNNK</x:v>
      </x:c>
      <x:c r="E93" s="38" t="str">
        <x:v>dense</x:v>
      </x:c>
      <x:c r="F93" s="99"/>
      <x:c r="G93" s="100"/>
      <x:c r="H93" s="99" t="n">
        <x:v>19</x:v>
      </x:c>
      <x:c r="I93" s="100" t="n">
        <x:v>0.7174910306930542</x:v>
      </x:c>
      <x:c r="J93" s="99"/>
      <x:c r="K93" s="100"/>
      <x:c r="L93" s="99"/>
      <x:c r="M93" s="100"/>
    </x:row>
    <x:row r="94">
      <x:c r="A94" s="38" t="str">
        <x:v>Q003::B00B981XQC_review_1377329</x:v>
      </x:c>
      <x:c r="B94" s="38" t="str">
        <x:v>Q003</x:v>
      </x:c>
      <x:c r="C94" s="38" t="str">
        <x:v>B00B981XQC_review_1377329</x:v>
      </x:c>
      <x:c r="D94" s="38" t="str">
        <x:v>B00B981XQC</x:v>
      </x:c>
      <x:c r="E94" s="38" t="str">
        <x:v>bm25</x:v>
      </x:c>
      <x:c r="F94" s="99" t="n">
        <x:v>17</x:v>
      </x:c>
      <x:c r="G94" s="100" t="n">
        <x:v>24.7489799481999</x:v>
      </x:c>
      <x:c r="H94" s="99"/>
      <x:c r="I94" s="100"/>
      <x:c r="J94" s="99"/>
      <x:c r="K94" s="100"/>
      <x:c r="L94" s="99"/>
      <x:c r="M94" s="100"/>
    </x:row>
    <x:row r="95">
      <x:c r="A95" s="38" t="str">
        <x:v>Q003::B00UI69NEA_review_927643</x:v>
      </x:c>
      <x:c r="B95" s="38" t="str">
        <x:v>Q003</x:v>
      </x:c>
      <x:c r="C95" s="38" t="str">
        <x:v>B00UI69NEA_review_927643</x:v>
      </x:c>
      <x:c r="D95" s="38" t="str">
        <x:v>B00UI69NEA</x:v>
      </x:c>
      <x:c r="E95" s="38" t="str">
        <x:v>bm25; hybrid_rrf; cross_encoder</x:v>
      </x:c>
      <x:c r="F95" s="99" t="n">
        <x:v>2</x:v>
      </x:c>
      <x:c r="G95" s="100" t="n">
        <x:v>28.621244178278232</x:v>
      </x:c>
      <x:c r="H95" s="99"/>
      <x:c r="I95" s="100"/>
      <x:c r="J95" s="99" t="n">
        <x:v>6</x:v>
      </x:c>
      <x:c r="K95" s="100" t="n">
        <x:v>0.016129032258064516</x:v>
      </x:c>
      <x:c r="L95" s="99" t="n">
        <x:v>3</x:v>
      </x:c>
      <x:c r="M95" s="100" t="n">
        <x:v>5.962520599365234</x:v>
      </x:c>
    </x:row>
    <x:row r="96">
      <x:c r="A96" s="38" t="str">
        <x:v>Q003::B00R0JH93U_review_744014</x:v>
      </x:c>
      <x:c r="B96" s="38" t="str">
        <x:v>Q003</x:v>
      </x:c>
      <x:c r="C96" s="38" t="str">
        <x:v>B00R0JH93U_review_744014</x:v>
      </x:c>
      <x:c r="D96" s="38" t="str">
        <x:v>B00R0JH93U</x:v>
      </x:c>
      <x:c r="E96" s="38" t="str">
        <x:v>bm25; hybrid_rrf; cross_encoder</x:v>
      </x:c>
      <x:c r="F96" s="99" t="n">
        <x:v>9</x:v>
      </x:c>
      <x:c r="G96" s="100" t="n">
        <x:v>25.97110312133114</x:v>
      </x:c>
      <x:c r="H96" s="99"/>
      <x:c r="I96" s="100"/>
      <x:c r="J96" s="99" t="n">
        <x:v>19</x:v>
      </x:c>
      <x:c r="K96" s="100" t="n">
        <x:v>0.014492753623188406</x:v>
      </x:c>
      <x:c r="L96" s="99" t="n">
        <x:v>9</x:v>
      </x:c>
      <x:c r="M96" s="100" t="n">
        <x:v>3.8226478099823</x:v>
      </x:c>
    </x:row>
    <x:row r="97">
      <x:c r="A97" s="38" t="str">
        <x:v>Q003::B08HHY9FNK_review_983736</x:v>
      </x:c>
      <x:c r="B97" s="38" t="str">
        <x:v>Q003</x:v>
      </x:c>
      <x:c r="C97" s="38" t="str">
        <x:v>B08HHY9FNK_review_983736</x:v>
      </x:c>
      <x:c r="D97" s="38" t="str">
        <x:v>B08HHY9FNK</x:v>
      </x:c>
      <x:c r="E97" s="38" t="str">
        <x:v>bm25</x:v>
      </x:c>
      <x:c r="F97" s="99" t="n">
        <x:v>11</x:v>
      </x:c>
      <x:c r="G97" s="100" t="n">
        <x:v>25.710650796513406</x:v>
      </x:c>
      <x:c r="H97" s="99"/>
      <x:c r="I97" s="100"/>
      <x:c r="J97" s="99"/>
      <x:c r="K97" s="100"/>
      <x:c r="L97" s="99"/>
      <x:c r="M97" s="100"/>
    </x:row>
    <x:row r="98">
      <x:c r="A98" s="38" t="str">
        <x:v>Q003::B0014KS0FW_review_2265942</x:v>
      </x:c>
      <x:c r="B98" s="38" t="str">
        <x:v>Q003</x:v>
      </x:c>
      <x:c r="C98" s="38" t="str">
        <x:v>B0014KS0FW_review_2265942</x:v>
      </x:c>
      <x:c r="D98" s="38" t="str">
        <x:v>B0014KS0FW</x:v>
      </x:c>
      <x:c r="E98" s="38" t="str">
        <x:v>dense; hybrid_rrf; cross_encoder</x:v>
      </x:c>
      <x:c r="F98" s="99"/>
      <x:c r="G98" s="100"/>
      <x:c r="H98" s="99" t="n">
        <x:v>5</x:v>
      </x:c>
      <x:c r="I98" s="100" t="n">
        <x:v>0.7328706383705139</x:v>
      </x:c>
      <x:c r="J98" s="99" t="n">
        <x:v>11</x:v>
      </x:c>
      <x:c r="K98" s="100" t="n">
        <x:v>0.015384615384615385</x:v>
      </x:c>
      <x:c r="L98" s="99" t="n">
        <x:v>11</x:v>
      </x:c>
      <x:c r="M98" s="100" t="n">
        <x:v>3.2880470752716064</x:v>
      </x:c>
    </x:row>
    <x:row r="99">
      <x:c r="A99" s="38" t="str">
        <x:v>Q003::B01N4NY1KE_review_2836084</x:v>
      </x:c>
      <x:c r="B99" s="38" t="str">
        <x:v>Q003</x:v>
      </x:c>
      <x:c r="C99" s="38" t="str">
        <x:v>B01N4NY1KE_review_2836084</x:v>
      </x:c>
      <x:c r="D99" s="38" t="str">
        <x:v>B01N4NY1KE</x:v>
      </x:c>
      <x:c r="E99" s="38" t="str">
        <x:v>bm25; dense; hybrid_rrf; cross_encoder</x:v>
      </x:c>
      <x:c r="F99" s="99" t="n">
        <x:v>13</x:v>
      </x:c>
      <x:c r="G99" s="100" t="n">
        <x:v>25.082954639035645</x:v>
      </x:c>
      <x:c r="H99" s="99" t="n">
        <x:v>1</x:v>
      </x:c>
      <x:c r="I99" s="100" t="n">
        <x:v>0.754826545715332</x:v>
      </x:c>
      <x:c r="J99" s="99" t="n">
        <x:v>1</x:v>
      </x:c>
      <x:c r="K99" s="100" t="n">
        <x:v>0.03009207275993712</x:v>
      </x:c>
      <x:c r="L99" s="99" t="n">
        <x:v>7</x:v>
      </x:c>
      <x:c r="M99" s="100" t="n">
        <x:v>4.494182109832764</x:v>
      </x:c>
    </x:row>
    <x:row r="100">
      <x:c r="A100" s="38" t="str">
        <x:v>Q003::B00XIH4FOE_review_1713514</x:v>
      </x:c>
      <x:c r="B100" s="38" t="str">
        <x:v>Q003</x:v>
      </x:c>
      <x:c r="C100" s="38" t="str">
        <x:v>B00XIH4FOE_review_1713514</x:v>
      </x:c>
      <x:c r="D100" s="38" t="str">
        <x:v>B00XIH4FOE</x:v>
      </x:c>
      <x:c r="E100" s="38" t="str">
        <x:v>bm25; dense; hybrid_rrf; cross_encoder</x:v>
      </x:c>
      <x:c r="F100" s="99" t="n">
        <x:v>5</x:v>
      </x:c>
      <x:c r="G100" s="100" t="n">
        <x:v>26.75334820241897</x:v>
      </x:c>
      <x:c r="H100" s="99" t="n">
        <x:v>13</x:v>
      </x:c>
      <x:c r="I100" s="100" t="n">
        <x:v>0.7223547101020813</x:v>
      </x:c>
      <x:c r="J100" s="99" t="n">
        <x:v>2</x:v>
      </x:c>
      <x:c r="K100" s="100" t="n">
        <x:v>0.029083245521601686</x:v>
      </x:c>
      <x:c r="L100" s="99" t="n">
        <x:v>1</x:v>
      </x:c>
      <x:c r="M100" s="100" t="n">
        <x:v>8.496004104614258</x:v>
      </x:c>
    </x:row>
    <x:row r="101">
      <x:c r="A101" s="38" t="str">
        <x:v>Q003::B00ILH3PJC_review_3789386</x:v>
      </x:c>
      <x:c r="B101" s="38" t="str">
        <x:v>Q003</x:v>
      </x:c>
      <x:c r="C101" s="38" t="str">
        <x:v>B00ILH3PJC_review_3789386</x:v>
      </x:c>
      <x:c r="D101" s="38" t="str">
        <x:v>B00ILH3PJC</x:v>
      </x:c>
      <x:c r="E101" s="38" t="str">
        <x:v>bm25; hybrid_rrf; cross_encoder</x:v>
      </x:c>
      <x:c r="F101" s="99" t="n">
        <x:v>10</x:v>
      </x:c>
      <x:c r="G101" s="100" t="n">
        <x:v>25.717587476314232</x:v>
      </x:c>
      <x:c r="H101" s="99"/>
      <x:c r="I101" s="100"/>
      <x:c r="J101" s="99" t="n">
        <x:v>20</x:v>
      </x:c>
      <x:c r="K101" s="100" t="n">
        <x:v>0.014285714285714285</x:v>
      </x:c>
      <x:c r="L101" s="99" t="n">
        <x:v>6</x:v>
      </x:c>
      <x:c r="M101" s="100" t="n">
        <x:v>4.509855270385742</x:v>
      </x:c>
    </x:row>
    <x:row r="102">
      <x:c r="A102" s="38" t="str">
        <x:v>Q003::B08HHY9FNK_review_983742</x:v>
      </x:c>
      <x:c r="B102" s="38" t="str">
        <x:v>Q003</x:v>
      </x:c>
      <x:c r="C102" s="38" t="str">
        <x:v>B08HHY9FNK_review_983742</x:v>
      </x:c>
      <x:c r="D102" s="38" t="str">
        <x:v>B08HHY9FNK</x:v>
      </x:c>
      <x:c r="E102" s="38" t="str">
        <x:v>bm25</x:v>
      </x:c>
      <x:c r="F102" s="99" t="n">
        <x:v>12</x:v>
      </x:c>
      <x:c r="G102" s="100" t="n">
        <x:v>25.46906554587251</x:v>
      </x:c>
      <x:c r="H102" s="99"/>
      <x:c r="I102" s="100"/>
      <x:c r="J102" s="99"/>
      <x:c r="K102" s="100"/>
      <x:c r="L102" s="99"/>
      <x:c r="M102" s="100"/>
    </x:row>
    <x:row r="103">
      <x:c r="A103" s="38" t="str">
        <x:v>Q003::B01M5F6E90_review_1249441</x:v>
      </x:c>
      <x:c r="B103" s="38" t="str">
        <x:v>Q003</x:v>
      </x:c>
      <x:c r="C103" s="38" t="str">
        <x:v>B01M5F6E90_review_1249441</x:v>
      </x:c>
      <x:c r="D103" s="38" t="str">
        <x:v>B01M5F6E90</x:v>
      </x:c>
      <x:c r="E103" s="38" t="str">
        <x:v>bm25; hybrid_rrf; cross_encoder</x:v>
      </x:c>
      <x:c r="F103" s="99" t="n">
        <x:v>7</x:v>
      </x:c>
      <x:c r="G103" s="100" t="n">
        <x:v>26.637097996915628</x:v>
      </x:c>
      <x:c r="H103" s="99"/>
      <x:c r="I103" s="100"/>
      <x:c r="J103" s="99" t="n">
        <x:v>15</x:v>
      </x:c>
      <x:c r="K103" s="100" t="n">
        <x:v>0.014925373134328358</x:v>
      </x:c>
      <x:c r="L103" s="99" t="n">
        <x:v>2</x:v>
      </x:c>
      <x:c r="M103" s="100" t="n">
        <x:v>7.043174743652344</x:v>
      </x:c>
    </x:row>
    <x:row r="104">
      <x:c r="A104" s="38" t="str">
        <x:v>Q003::B076DWW62Z_review_1539352</x:v>
      </x:c>
      <x:c r="B104" s="38" t="str">
        <x:v>Q003</x:v>
      </x:c>
      <x:c r="C104" s="38" t="str">
        <x:v>B076DWW62Z_review_1539352</x:v>
      </x:c>
      <x:c r="D104" s="38" t="str">
        <x:v>B076DWW62Z</x:v>
      </x:c>
      <x:c r="E104" s="38" t="str">
        <x:v>bm25</x:v>
      </x:c>
      <x:c r="F104" s="99" t="n">
        <x:v>19</x:v>
      </x:c>
      <x:c r="G104" s="100" t="n">
        <x:v>24.46702666205032</x:v>
      </x:c>
      <x:c r="H104" s="99"/>
      <x:c r="I104" s="100"/>
      <x:c r="J104" s="99"/>
      <x:c r="K104" s="100"/>
      <x:c r="L104" s="99"/>
      <x:c r="M104" s="100"/>
    </x:row>
    <x:row r="105">
      <x:c r="A105" s="38" t="str">
        <x:v>Q003::B00F4EONWS_review_3805559</x:v>
      </x:c>
      <x:c r="B105" s="38" t="str">
        <x:v>Q003</x:v>
      </x:c>
      <x:c r="C105" s="38" t="str">
        <x:v>B00F4EONWS_review_3805559</x:v>
      </x:c>
      <x:c r="D105" s="38" t="str">
        <x:v>B00F4EONWS</x:v>
      </x:c>
      <x:c r="E105" s="38" t="str">
        <x:v>dense</x:v>
      </x:c>
      <x:c r="F105" s="99"/>
      <x:c r="G105" s="100"/>
      <x:c r="H105" s="99" t="n">
        <x:v>16</x:v>
      </x:c>
      <x:c r="I105" s="100" t="n">
        <x:v>0.7192026376724243</x:v>
      </x:c>
      <x:c r="J105" s="99"/>
      <x:c r="K105" s="100"/>
      <x:c r="L105" s="99"/>
      <x:c r="M105" s="100"/>
    </x:row>
    <x:row r="106">
      <x:c r="A106" s="38" t="str">
        <x:v>Q003::B00M4ZTI3Y_review_581663</x:v>
      </x:c>
      <x:c r="B106" s="38" t="str">
        <x:v>Q003</x:v>
      </x:c>
      <x:c r="C106" s="38" t="str">
        <x:v>B00M4ZTI3Y_review_581663</x:v>
      </x:c>
      <x:c r="D106" s="38" t="str">
        <x:v>B00M4ZTI3Y</x:v>
      </x:c>
      <x:c r="E106" s="38" t="str">
        <x:v>bm25; hybrid_rrf; cross_encoder</x:v>
      </x:c>
      <x:c r="F106" s="99" t="n">
        <x:v>6</x:v>
      </x:c>
      <x:c r="G106" s="100" t="n">
        <x:v>26.6639002937837</x:v>
      </x:c>
      <x:c r="H106" s="99"/>
      <x:c r="I106" s="100"/>
      <x:c r="J106" s="99" t="n">
        <x:v>12</x:v>
      </x:c>
      <x:c r="K106" s="100" t="n">
        <x:v>0.015151515151515152</x:v>
      </x:c>
      <x:c r="L106" s="99" t="n">
        <x:v>15</x:v>
      </x:c>
      <x:c r="M106" s="100" t="n">
        <x:v>0.9554315209388733</x:v>
      </x:c>
    </x:row>
    <x:row r="107">
      <x:c r="A107" s="38" t="str">
        <x:v>Q003::B00XIH4FOE_review_1713519</x:v>
      </x:c>
      <x:c r="B107" s="38" t="str">
        <x:v>Q003</x:v>
      </x:c>
      <x:c r="C107" s="38" t="str">
        <x:v>B00XIH4FOE_review_1713519</x:v>
      </x:c>
      <x:c r="D107" s="38" t="str">
        <x:v>B00XIH4FOE</x:v>
      </x:c>
      <x:c r="E107" s="38" t="str">
        <x:v>dense; hybrid_rrf; cross_encoder</x:v>
      </x:c>
      <x:c r="F107" s="99"/>
      <x:c r="G107" s="100"/>
      <x:c r="H107" s="99" t="n">
        <x:v>6</x:v>
      </x:c>
      <x:c r="I107" s="100" t="n">
        <x:v>0.732295036315918</x:v>
      </x:c>
      <x:c r="J107" s="99" t="n">
        <x:v>13</x:v>
      </x:c>
      <x:c r="K107" s="100" t="n">
        <x:v>0.015151515151515152</x:v>
      </x:c>
      <x:c r="L107" s="99" t="n">
        <x:v>19</x:v>
      </x:c>
      <x:c r="M107" s="100" t="n">
        <x:v>-0.9655672311782837</x:v>
      </x:c>
    </x:row>
    <x:row r="108">
      <x:c r="A108" s="38" t="str">
        <x:v>Q003::B00UI69NEA_review_927621</x:v>
      </x:c>
      <x:c r="B108" s="38" t="str">
        <x:v>Q003</x:v>
      </x:c>
      <x:c r="C108" s="38" t="str">
        <x:v>B00UI69NEA_review_927621</x:v>
      </x:c>
      <x:c r="D108" s="38" t="str">
        <x:v>B00UI69NEA</x:v>
      </x:c>
      <x:c r="E108" s="38" t="str">
        <x:v>bm25</x:v>
      </x:c>
      <x:c r="F108" s="99" t="n">
        <x:v>20</x:v>
      </x:c>
      <x:c r="G108" s="100" t="n">
        <x:v>24.118173734961747</x:v>
      </x:c>
      <x:c r="H108" s="99"/>
      <x:c r="I108" s="100"/>
      <x:c r="J108" s="99"/>
      <x:c r="K108" s="100"/>
      <x:c r="L108" s="99"/>
      <x:c r="M108" s="100"/>
    </x:row>
    <x:row r="109">
      <x:c r="A109" s="38" t="str">
        <x:v>Q003::B007YK0FFE_review_3588089</x:v>
      </x:c>
      <x:c r="B109" s="38" t="str">
        <x:v>Q003</x:v>
      </x:c>
      <x:c r="C109" s="38" t="str">
        <x:v>B007YK0FFE_review_3588089</x:v>
      </x:c>
      <x:c r="D109" s="38" t="str">
        <x:v>B007YK0FFE</x:v>
      </x:c>
      <x:c r="E109" s="38" t="str">
        <x:v>bm25</x:v>
      </x:c>
      <x:c r="F109" s="99" t="n">
        <x:v>14</x:v>
      </x:c>
      <x:c r="G109" s="100" t="n">
        <x:v>25.0307034697055</x:v>
      </x:c>
      <x:c r="H109" s="99"/>
      <x:c r="I109" s="100"/>
      <x:c r="J109" s="99"/>
      <x:c r="K109" s="100"/>
      <x:c r="L109" s="99"/>
      <x:c r="M109" s="100"/>
    </x:row>
    <x:row r="110">
      <x:c r="A110" s="38" t="str">
        <x:v>Q003::B00YO2T6ZA_review_2471594</x:v>
      </x:c>
      <x:c r="B110" s="38" t="str">
        <x:v>Q003</x:v>
      </x:c>
      <x:c r="C110" s="38" t="str">
        <x:v>B00YO2T6ZA_review_2471594</x:v>
      </x:c>
      <x:c r="D110" s="38" t="str">
        <x:v>B00YO2T6ZA</x:v>
      </x:c>
      <x:c r="E110" s="38" t="str">
        <x:v>bm25; hybrid_rrf; cross_encoder</x:v>
      </x:c>
      <x:c r="F110" s="99" t="n">
        <x:v>8</x:v>
      </x:c>
      <x:c r="G110" s="100" t="n">
        <x:v>26.0546216243514</x:v>
      </x:c>
      <x:c r="H110" s="99"/>
      <x:c r="I110" s="100"/>
      <x:c r="J110" s="99" t="n">
        <x:v>17</x:v>
      </x:c>
      <x:c r="K110" s="100" t="n">
        <x:v>0.014705882352941176</x:v>
      </x:c>
      <x:c r="L110" s="99" t="n">
        <x:v>8</x:v>
      </x:c>
      <x:c r="M110" s="100" t="n">
        <x:v>4.279300689697266</x:v>
      </x:c>
    </x:row>
    <x:row r="111">
      <x:c r="A111" s="38" t="str">
        <x:v>Q003::B00CO8KXX0_review_3748600</x:v>
      </x:c>
      <x:c r="B111" s="38" t="str">
        <x:v>Q003</x:v>
      </x:c>
      <x:c r="C111" s="38" t="str">
        <x:v>B00CO8KXX0_review_3748600</x:v>
      </x:c>
      <x:c r="D111" s="38" t="str">
        <x:v>B00CO8KXX0</x:v>
      </x:c>
      <x:c r="E111" s="38" t="str">
        <x:v>dense; hybrid_rrf; cross_encoder</x:v>
      </x:c>
      <x:c r="F111" s="99"/>
      <x:c r="G111" s="100"/>
      <x:c r="H111" s="99" t="n">
        <x:v>7</x:v>
      </x:c>
      <x:c r="I111" s="100" t="n">
        <x:v>0.7283045053482056</x:v>
      </x:c>
      <x:c r="J111" s="99" t="n">
        <x:v>14</x:v>
      </x:c>
      <x:c r="K111" s="100" t="n">
        <x:v>0.014925373134328358</x:v>
      </x:c>
      <x:c r="L111" s="99" t="n">
        <x:v>13</x:v>
      </x:c>
      <x:c r="M111" s="100" t="n">
        <x:v>2.3942813873291016</x:v>
      </x:c>
    </x:row>
    <x:row r="112">
      <x:c r="A112" s="38" t="str">
        <x:v>Q003::B004L2JPS6_review_500965</x:v>
      </x:c>
      <x:c r="B112" s="38" t="str">
        <x:v>Q003</x:v>
      </x:c>
      <x:c r="C112" s="38" t="str">
        <x:v>B004L2JPS6_review_500965</x:v>
      </x:c>
      <x:c r="D112" s="38" t="str">
        <x:v>B004L2JPS6</x:v>
      </x:c>
      <x:c r="E112" s="38" t="str">
        <x:v>dense</x:v>
      </x:c>
      <x:c r="F112" s="99"/>
      <x:c r="G112" s="100"/>
      <x:c r="H112" s="99" t="n">
        <x:v>15</x:v>
      </x:c>
      <x:c r="I112" s="100" t="n">
        <x:v>0.7192390561103821</x:v>
      </x:c>
      <x:c r="J112" s="99"/>
      <x:c r="K112" s="100"/>
      <x:c r="L112" s="99"/>
      <x:c r="M112" s="100"/>
    </x:row>
    <x:row r="113">
      <x:c r="A113" s="38" t="str">
        <x:v>Q003::B08HHY9FNK_review_983745</x:v>
      </x:c>
      <x:c r="B113" s="38" t="str">
        <x:v>Q003</x:v>
      </x:c>
      <x:c r="C113" s="38" t="str">
        <x:v>B08HHY9FNK_review_983745</x:v>
      </x:c>
      <x:c r="D113" s="38" t="str">
        <x:v>B08HHY9FNK</x:v>
      </x:c>
      <x:c r="E113" s="38" t="str">
        <x:v>bm25; hybrid_rrf; cross_encoder</x:v>
      </x:c>
      <x:c r="F113" s="99" t="n">
        <x:v>4</x:v>
      </x:c>
      <x:c r="G113" s="100" t="n">
        <x:v>27.24138370603638</x:v>
      </x:c>
      <x:c r="H113" s="99"/>
      <x:c r="I113" s="100"/>
      <x:c r="J113" s="99" t="n">
        <x:v>10</x:v>
      </x:c>
      <x:c r="K113" s="100" t="n">
        <x:v>0.015625</x:v>
      </x:c>
      <x:c r="L113" s="99" t="n">
        <x:v>14</x:v>
      </x:c>
      <x:c r="M113" s="100" t="n">
        <x:v>1.9892901182174683</x:v>
      </x:c>
    </x:row>
    <x:row r="114">
      <x:c r="A114" s="38" t="str">
        <x:v>Q003::B00J1QDDZS_review_3266705</x:v>
      </x:c>
      <x:c r="B114" s="38" t="str">
        <x:v>Q003</x:v>
      </x:c>
      <x:c r="C114" s="38" t="str">
        <x:v>B00J1QDDZS_review_3266705</x:v>
      </x:c>
      <x:c r="D114" s="38" t="str">
        <x:v>B00J1QDDZS</x:v>
      </x:c>
      <x:c r="E114" s="38" t="str">
        <x:v>bm25</x:v>
      </x:c>
      <x:c r="F114" s="99" t="n">
        <x:v>18</x:v>
      </x:c>
      <x:c r="G114" s="100" t="n">
        <x:v>24.59362060496265</x:v>
      </x:c>
      <x:c r="H114" s="99"/>
      <x:c r="I114" s="100"/>
      <x:c r="J114" s="99"/>
      <x:c r="K114" s="100"/>
      <x:c r="L114" s="99"/>
      <x:c r="M114" s="100"/>
    </x:row>
    <x:row r="115">
      <x:c r="A115" s="38" t="str">
        <x:v>Q003::B00T8KDZ00_review_3243085</x:v>
      </x:c>
      <x:c r="B115" s="38" t="str">
        <x:v>Q003</x:v>
      </x:c>
      <x:c r="C115" s="38" t="str">
        <x:v>B00T8KDZ00_review_3243085</x:v>
      </x:c>
      <x:c r="D115" s="38" t="str">
        <x:v>B00T8KDZ00</x:v>
      </x:c>
      <x:c r="E115" s="38" t="str">
        <x:v>dense</x:v>
      </x:c>
      <x:c r="F115" s="99"/>
      <x:c r="G115" s="100"/>
      <x:c r="H115" s="99" t="n">
        <x:v>17</x:v>
      </x:c>
      <x:c r="I115" s="100" t="n">
        <x:v>0.7189463376998901</x:v>
      </x:c>
      <x:c r="J115" s="99"/>
      <x:c r="K115" s="100"/>
      <x:c r="L115" s="99"/>
      <x:c r="M115" s="100"/>
    </x:row>
    <x:row r="116">
      <x:c r="A116" s="38" t="str">
        <x:v>Q003::B00FAYDU12_review_405956</x:v>
      </x:c>
      <x:c r="B116" s="38" t="str">
        <x:v>Q003</x:v>
      </x:c>
      <x:c r="C116" s="38" t="str">
        <x:v>B00FAYDU12_review_405956</x:v>
      </x:c>
      <x:c r="D116" s="38" t="str">
        <x:v>B00FAYDU12</x:v>
      </x:c>
      <x:c r="E116" s="38" t="str">
        <x:v>dense; hybrid_rrf; cross_encoder</x:v>
      </x:c>
      <x:c r="F116" s="99"/>
      <x:c r="G116" s="100"/>
      <x:c r="H116" s="99" t="n">
        <x:v>3</x:v>
      </x:c>
      <x:c r="I116" s="100" t="n">
        <x:v>0.7357556819915771</x:v>
      </x:c>
      <x:c r="J116" s="99" t="n">
        <x:v>7</x:v>
      </x:c>
      <x:c r="K116" s="100" t="n">
        <x:v>0.015873015873015872</x:v>
      </x:c>
      <x:c r="L116" s="99" t="n">
        <x:v>16</x:v>
      </x:c>
      <x:c r="M116" s="100" t="n">
        <x:v>0.40679603815078735</x:v>
      </x:c>
    </x:row>
    <x:row r="117">
      <x:c r="A117" s="38" t="str">
        <x:v>Q003::B00R1PCFFA_review_1979111</x:v>
      </x:c>
      <x:c r="B117" s="38" t="str">
        <x:v>Q003</x:v>
      </x:c>
      <x:c r="C117" s="38" t="str">
        <x:v>B00R1PCFFA_review_1979111</x:v>
      </x:c>
      <x:c r="D117" s="38" t="str">
        <x:v>B00R1PCFFA</x:v>
      </x:c>
      <x:c r="E117" s="38" t="str">
        <x:v>bm25</x:v>
      </x:c>
      <x:c r="F117" s="99" t="n">
        <x:v>16</x:v>
      </x:c>
      <x:c r="G117" s="100" t="n">
        <x:v>24.817398957735232</x:v>
      </x:c>
      <x:c r="H117" s="99"/>
      <x:c r="I117" s="100"/>
      <x:c r="J117" s="99"/>
      <x:c r="K117" s="100"/>
      <x:c r="L117" s="99"/>
      <x:c r="M117" s="100"/>
    </x:row>
    <x:row r="118">
      <x:c r="A118" s="38" t="str">
        <x:v>Q003::B009WNBDJS_review_4162816</x:v>
      </x:c>
      <x:c r="B118" s="38" t="str">
        <x:v>Q003</x:v>
      </x:c>
      <x:c r="C118" s="38" t="str">
        <x:v>B009WNBDJS_review_4162816</x:v>
      </x:c>
      <x:c r="D118" s="38" t="str">
        <x:v>B009WNBDJS</x:v>
      </x:c>
      <x:c r="E118" s="38" t="str">
        <x:v>dense</x:v>
      </x:c>
      <x:c r="F118" s="99"/>
      <x:c r="G118" s="100"/>
      <x:c r="H118" s="99" t="n">
        <x:v>14</x:v>
      </x:c>
      <x:c r="I118" s="100" t="n">
        <x:v>0.7209040522575378</x:v>
      </x:c>
      <x:c r="J118" s="99"/>
      <x:c r="K118" s="100"/>
      <x:c r="L118" s="99"/>
      <x:c r="M118" s="100"/>
    </x:row>
    <x:row r="119">
      <x:c r="A119" s="38" t="str">
        <x:v>Q004::B00BN2BIUK_review_3996752</x:v>
      </x:c>
      <x:c r="B119" s="38" t="str">
        <x:v>Q004</x:v>
      </x:c>
      <x:c r="C119" s="38" t="str">
        <x:v>B00BN2BIUK_review_3996752</x:v>
      </x:c>
      <x:c r="D119" s="38" t="str">
        <x:v>B00BN2BIUK</x:v>
      </x:c>
      <x:c r="E119" s="38" t="str">
        <x:v>bm25; hybrid_rrf; cross_encoder</x:v>
      </x:c>
      <x:c r="F119" s="99" t="n">
        <x:v>6</x:v>
      </x:c>
      <x:c r="G119" s="100" t="n">
        <x:v>35.04472969838229</x:v>
      </x:c>
      <x:c r="H119" s="99"/>
      <x:c r="I119" s="100"/>
      <x:c r="J119" s="99" t="n">
        <x:v>12</x:v>
      </x:c>
      <x:c r="K119" s="100" t="n">
        <x:v>0.015151515151515152</x:v>
      </x:c>
      <x:c r="L119" s="99" t="n">
        <x:v>13</x:v>
      </x:c>
      <x:c r="M119" s="100" t="n">
        <x:v>2.2215182781219482</x:v>
      </x:c>
    </x:row>
    <x:row r="120">
      <x:c r="A120" s="38" t="str">
        <x:v>Q004::B001FWWAFU_review_3587659</x:v>
      </x:c>
      <x:c r="B120" s="38" t="str">
        <x:v>Q004</x:v>
      </x:c>
      <x:c r="C120" s="38" t="str">
        <x:v>B001FWWAFU_review_3587659</x:v>
      </x:c>
      <x:c r="D120" s="38" t="str">
        <x:v>B001FWWAFU</x:v>
      </x:c>
      <x:c r="E120" s="38" t="str">
        <x:v>bm25; hybrid_rrf; cross_encoder</x:v>
      </x:c>
      <x:c r="F120" s="99" t="n">
        <x:v>1</x:v>
      </x:c>
      <x:c r="G120" s="100" t="n">
        <x:v>41.2305656678025</x:v>
      </x:c>
      <x:c r="H120" s="99"/>
      <x:c r="I120" s="100"/>
      <x:c r="J120" s="99" t="n">
        <x:v>2</x:v>
      </x:c>
      <x:c r="K120" s="100" t="n">
        <x:v>0.01639344262295082</x:v>
      </x:c>
      <x:c r="L120" s="99" t="n">
        <x:v>3</x:v>
      </x:c>
      <x:c r="M120" s="100" t="n">
        <x:v>4.536072731018066</x:v>
      </x:c>
    </x:row>
    <x:row r="121">
      <x:c r="A121" s="38" t="str">
        <x:v>Q004::B00SHZSXVI_review_2429451</x:v>
      </x:c>
      <x:c r="B121" s="38" t="str">
        <x:v>Q004</x:v>
      </x:c>
      <x:c r="C121" s="38" t="str">
        <x:v>B00SHZSXVI_review_2429451</x:v>
      </x:c>
      <x:c r="D121" s="38" t="str">
        <x:v>B00SHZSXVI</x:v>
      </x:c>
      <x:c r="E121" s="38" t="str">
        <x:v>dense</x:v>
      </x:c>
      <x:c r="F121" s="99"/>
      <x:c r="G121" s="100"/>
      <x:c r="H121" s="99" t="n">
        <x:v>16</x:v>
      </x:c>
      <x:c r="I121" s="100" t="n">
        <x:v>0.7663672566413879</x:v>
      </x:c>
      <x:c r="J121" s="99"/>
      <x:c r="K121" s="100"/>
      <x:c r="L121" s="99"/>
      <x:c r="M121" s="100"/>
    </x:row>
    <x:row r="122">
      <x:c r="A122" s="38" t="str">
        <x:v>Q004::B08L5VQ1LQ_review_4134567</x:v>
      </x:c>
      <x:c r="B122" s="38" t="str">
        <x:v>Q004</x:v>
      </x:c>
      <x:c r="C122" s="38" t="str">
        <x:v>B08L5VQ1LQ_review_4134567</x:v>
      </x:c>
      <x:c r="D122" s="38" t="str">
        <x:v>B08L5VQ1LQ</x:v>
      </x:c>
      <x:c r="E122" s="38" t="str">
        <x:v>bm25; hybrid_rrf; cross_encoder</x:v>
      </x:c>
      <x:c r="F122" s="99" t="n">
        <x:v>5</x:v>
      </x:c>
      <x:c r="G122" s="100" t="n">
        <x:v>37.88670598301936</x:v>
      </x:c>
      <x:c r="H122" s="99"/>
      <x:c r="I122" s="100"/>
      <x:c r="J122" s="99" t="n">
        <x:v>10</x:v>
      </x:c>
      <x:c r="K122" s="100" t="n">
        <x:v>0.015384615384615385</x:v>
      </x:c>
      <x:c r="L122" s="99" t="n">
        <x:v>4</x:v>
      </x:c>
      <x:c r="M122" s="100" t="n">
        <x:v>4.469813823699951</x:v>
      </x:c>
    </x:row>
    <x:row r="123">
      <x:c r="A123" s="38" t="str">
        <x:v>Q004::B016V1PWEK_review_1639668</x:v>
      </x:c>
      <x:c r="B123" s="38" t="str">
        <x:v>Q004</x:v>
      </x:c>
      <x:c r="C123" s="38" t="str">
        <x:v>B016V1PWEK_review_1639668</x:v>
      </x:c>
      <x:c r="D123" s="38" t="str">
        <x:v>B016V1PWEK</x:v>
      </x:c>
      <x:c r="E123" s="38" t="str">
        <x:v>dense; hybrid_rrf; cross_encoder</x:v>
      </x:c>
      <x:c r="F123" s="99"/>
      <x:c r="G123" s="100"/>
      <x:c r="H123" s="99" t="n">
        <x:v>8</x:v>
      </x:c>
      <x:c r="I123" s="100" t="n">
        <x:v>0.7719959020614624</x:v>
      </x:c>
      <x:c r="J123" s="99" t="n">
        <x:v>16</x:v>
      </x:c>
      <x:c r="K123" s="100" t="n">
        <x:v>0.014705882352941176</x:v>
      </x:c>
      <x:c r="L123" s="99" t="n">
        <x:v>15</x:v>
      </x:c>
      <x:c r="M123" s="100" t="n">
        <x:v>0.6714141368865967</x:v>
      </x:c>
    </x:row>
    <x:row r="124">
      <x:c r="A124" s="38" t="str">
        <x:v>Q004::B075KGLYRL_review_1855379</x:v>
      </x:c>
      <x:c r="B124" s="38" t="str">
        <x:v>Q004</x:v>
      </x:c>
      <x:c r="C124" s="38" t="str">
        <x:v>B075KGLYRL_review_1855379</x:v>
      </x:c>
      <x:c r="D124" s="38" t="str">
        <x:v>B075KGLYRL</x:v>
      </x:c>
      <x:c r="E124" s="38" t="str">
        <x:v>bm25; hybrid_rrf; cross_encoder</x:v>
      </x:c>
      <x:c r="F124" s="99" t="n">
        <x:v>7</x:v>
      </x:c>
      <x:c r="G124" s="100" t="n">
        <x:v>34.84427963476645</x:v>
      </x:c>
      <x:c r="H124" s="99"/>
      <x:c r="I124" s="100"/>
      <x:c r="J124" s="99" t="n">
        <x:v>14</x:v>
      </x:c>
      <x:c r="K124" s="100" t="n">
        <x:v>0.014925373134328358</x:v>
      </x:c>
      <x:c r="L124" s="99" t="n">
        <x:v>10</x:v>
      </x:c>
      <x:c r="M124" s="100" t="n">
        <x:v>3.2868335247039795</x:v>
      </x:c>
    </x:row>
    <x:row r="125">
      <x:c r="A125" s="38" t="str">
        <x:v>Q004::B01E06JSI4_review_2758617</x:v>
      </x:c>
      <x:c r="B125" s="38" t="str">
        <x:v>Q004</x:v>
      </x:c>
      <x:c r="C125" s="38" t="str">
        <x:v>B01E06JSI4_review_2758617</x:v>
      </x:c>
      <x:c r="D125" s="38" t="str">
        <x:v>B01E06JSI4</x:v>
      </x:c>
      <x:c r="E125" s="38" t="str">
        <x:v>bm25</x:v>
      </x:c>
      <x:c r="F125" s="99" t="n">
        <x:v>17</x:v>
      </x:c>
      <x:c r="G125" s="100" t="n">
        <x:v>31.916848891655803</x:v>
      </x:c>
      <x:c r="H125" s="99"/>
      <x:c r="I125" s="100"/>
      <x:c r="J125" s="99"/>
      <x:c r="K125" s="100"/>
      <x:c r="L125" s="99"/>
      <x:c r="M125" s="100"/>
    </x:row>
    <x:row r="126">
      <x:c r="A126" s="38" t="str">
        <x:v>Q004::B00J0DQDCM_review_739204</x:v>
      </x:c>
      <x:c r="B126" s="38" t="str">
        <x:v>Q004</x:v>
      </x:c>
      <x:c r="C126" s="38" t="str">
        <x:v>B00J0DQDCM_review_739204</x:v>
      </x:c>
      <x:c r="D126" s="38" t="str">
        <x:v>B00J0DQDCM</x:v>
      </x:c>
      <x:c r="E126" s="38" t="str">
        <x:v>dense; hybrid_rrf; cross_encoder</x:v>
      </x:c>
      <x:c r="F126" s="99"/>
      <x:c r="G126" s="100"/>
      <x:c r="H126" s="99" t="n">
        <x:v>7</x:v>
      </x:c>
      <x:c r="I126" s="100" t="n">
        <x:v>0.7744704484939575</x:v>
      </x:c>
      <x:c r="J126" s="99" t="n">
        <x:v>13</x:v>
      </x:c>
      <x:c r="K126" s="100" t="n">
        <x:v>0.014925373134328358</x:v>
      </x:c>
      <x:c r="L126" s="99" t="n">
        <x:v>16</x:v>
      </x:c>
      <x:c r="M126" s="100" t="n">
        <x:v>0.6337445974349976</x:v>
      </x:c>
    </x:row>
    <x:row r="127">
      <x:c r="A127" s="38" t="str">
        <x:v>Q004::B07F9B8RQZ_review_40259</x:v>
      </x:c>
      <x:c r="B127" s="38" t="str">
        <x:v>Q004</x:v>
      </x:c>
      <x:c r="C127" s="38" t="str">
        <x:v>B07F9B8RQZ_review_40259</x:v>
      </x:c>
      <x:c r="D127" s="38" t="str">
        <x:v>B07F9B8RQZ</x:v>
      </x:c>
      <x:c r="E127" s="38" t="str">
        <x:v>bm25</x:v>
      </x:c>
      <x:c r="F127" s="99" t="n">
        <x:v>14</x:v>
      </x:c>
      <x:c r="G127" s="100" t="n">
        <x:v>32.52303320161687</x:v>
      </x:c>
      <x:c r="H127" s="99"/>
      <x:c r="I127" s="100"/>
      <x:c r="J127" s="99"/>
      <x:c r="K127" s="100"/>
      <x:c r="L127" s="99"/>
      <x:c r="M127" s="100"/>
    </x:row>
    <x:row r="128">
      <x:c r="A128" s="38" t="str">
        <x:v>Q004::B00LM5MZ4Q_review_37273</x:v>
      </x:c>
      <x:c r="B128" s="38" t="str">
        <x:v>Q004</x:v>
      </x:c>
      <x:c r="C128" s="38" t="str">
        <x:v>B00LM5MZ4Q_review_37273</x:v>
      </x:c>
      <x:c r="D128" s="38" t="str">
        <x:v>B00LM5MZ4Q</x:v>
      </x:c>
      <x:c r="E128" s="38" t="str">
        <x:v>dense</x:v>
      </x:c>
      <x:c r="F128" s="99"/>
      <x:c r="G128" s="100"/>
      <x:c r="H128" s="99" t="n">
        <x:v>12</x:v>
      </x:c>
      <x:c r="I128" s="100" t="n">
        <x:v>0.7693678140640259</x:v>
      </x:c>
      <x:c r="J128" s="99"/>
      <x:c r="K128" s="100"/>
      <x:c r="L128" s="99"/>
      <x:c r="M128" s="100"/>
    </x:row>
    <x:row r="129">
      <x:c r="A129" s="38" t="str">
        <x:v>Q004::B012UNOCJY_review_2826853</x:v>
      </x:c>
      <x:c r="B129" s="38" t="str">
        <x:v>Q004</x:v>
      </x:c>
      <x:c r="C129" s="38" t="str">
        <x:v>B012UNOCJY_review_2826853</x:v>
      </x:c>
      <x:c r="D129" s="38" t="str">
        <x:v>B012UNOCJY</x:v>
      </x:c>
      <x:c r="E129" s="38" t="str">
        <x:v>dense</x:v>
      </x:c>
      <x:c r="F129" s="99"/>
      <x:c r="G129" s="100"/>
      <x:c r="H129" s="99" t="n">
        <x:v>14</x:v>
      </x:c>
      <x:c r="I129" s="100" t="n">
        <x:v>0.7674327492713928</x:v>
      </x:c>
      <x:c r="J129" s="99"/>
      <x:c r="K129" s="100"/>
      <x:c r="L129" s="99"/>
      <x:c r="M129" s="100"/>
    </x:row>
    <x:row r="130">
      <x:c r="A130" s="38" t="str">
        <x:v>Q004::B0002IP4ME_review_1813096</x:v>
      </x:c>
      <x:c r="B130" s="38" t="str">
        <x:v>Q004</x:v>
      </x:c>
      <x:c r="C130" s="38" t="str">
        <x:v>B0002IP4ME_review_1813096</x:v>
      </x:c>
      <x:c r="D130" s="38" t="str">
        <x:v>B0002IP4ME</x:v>
      </x:c>
      <x:c r="E130" s="38" t="str">
        <x:v>dense</x:v>
      </x:c>
      <x:c r="F130" s="99"/>
      <x:c r="G130" s="100"/>
      <x:c r="H130" s="99" t="n">
        <x:v>13</x:v>
      </x:c>
      <x:c r="I130" s="100" t="n">
        <x:v>0.7676529288291931</x:v>
      </x:c>
      <x:c r="J130" s="99"/>
      <x:c r="K130" s="100"/>
      <x:c r="L130" s="99"/>
      <x:c r="M130" s="100"/>
    </x:row>
    <x:row r="131">
      <x:c r="A131" s="38" t="str">
        <x:v>Q004::B0BB4F88KR_review_1085816</x:v>
      </x:c>
      <x:c r="B131" s="38" t="str">
        <x:v>Q004</x:v>
      </x:c>
      <x:c r="C131" s="38" t="str">
        <x:v>B0BB4F88KR_review_1085816</x:v>
      </x:c>
      <x:c r="D131" s="38" t="str">
        <x:v>B0BB4F88KR</x:v>
      </x:c>
      <x:c r="E131" s="38" t="str">
        <x:v>bm25</x:v>
      </x:c>
      <x:c r="F131" s="99" t="n">
        <x:v>15</x:v>
      </x:c>
      <x:c r="G131" s="100" t="n">
        <x:v>31.99113751616023</x:v>
      </x:c>
      <x:c r="H131" s="99"/>
      <x:c r="I131" s="100"/>
      <x:c r="J131" s="99"/>
      <x:c r="K131" s="100"/>
      <x:c r="L131" s="99"/>
      <x:c r="M131" s="100"/>
    </x:row>
    <x:row r="132">
      <x:c r="A132" s="38" t="str">
        <x:v>Q004::B00CMHQOJU_review_3001775</x:v>
      </x:c>
      <x:c r="B132" s="38" t="str">
        <x:v>Q004</x:v>
      </x:c>
      <x:c r="C132" s="38" t="str">
        <x:v>B00CMHQOJU_review_3001775</x:v>
      </x:c>
      <x:c r="D132" s="38" t="str">
        <x:v>B00CMHQOJU</x:v>
      </x:c>
      <x:c r="E132" s="38" t="str">
        <x:v>dense; hybrid_rrf; cross_encoder</x:v>
      </x:c>
      <x:c r="F132" s="99"/>
      <x:c r="G132" s="100"/>
      <x:c r="H132" s="99" t="n">
        <x:v>9</x:v>
      </x:c>
      <x:c r="I132" s="100" t="n">
        <x:v>0.7718956470489502</x:v>
      </x:c>
      <x:c r="J132" s="99" t="n">
        <x:v>17</x:v>
      </x:c>
      <x:c r="K132" s="100" t="n">
        <x:v>0.014492753623188406</x:v>
      </x:c>
      <x:c r="L132" s="99" t="n">
        <x:v>8</x:v>
      </x:c>
      <x:c r="M132" s="100" t="n">
        <x:v>3.7047712802886963</x:v>
      </x:c>
    </x:row>
    <x:row r="133">
      <x:c r="A133" s="38" t="str">
        <x:v>Q004::B0051OLOG4_review_994056</x:v>
      </x:c>
      <x:c r="B133" s="38" t="str">
        <x:v>Q004</x:v>
      </x:c>
      <x:c r="C133" s="38" t="str">
        <x:v>B0051OLOG4_review_994056</x:v>
      </x:c>
      <x:c r="D133" s="38" t="str">
        <x:v>B0051OLOG4</x:v>
      </x:c>
      <x:c r="E133" s="38" t="str">
        <x:v>bm25</x:v>
      </x:c>
      <x:c r="F133" s="99" t="n">
        <x:v>18</x:v>
      </x:c>
      <x:c r="G133" s="100" t="n">
        <x:v>31.6244444184046</x:v>
      </x:c>
      <x:c r="H133" s="99"/>
      <x:c r="I133" s="100"/>
      <x:c r="J133" s="99"/>
      <x:c r="K133" s="100"/>
      <x:c r="L133" s="99"/>
      <x:c r="M133" s="100"/>
    </x:row>
    <x:row r="134">
      <x:c r="A134" s="38" t="str">
        <x:v>Q004::B000VAKHKM_review_2212054</x:v>
      </x:c>
      <x:c r="B134" s="38" t="str">
        <x:v>Q004</x:v>
      </x:c>
      <x:c r="C134" s="38" t="str">
        <x:v>B000VAKHKM_review_2212054</x:v>
      </x:c>
      <x:c r="D134" s="38" t="str">
        <x:v>B000VAKHKM</x:v>
      </x:c>
      <x:c r="E134" s="38" t="str">
        <x:v>bm25</x:v>
      </x:c>
      <x:c r="F134" s="99" t="n">
        <x:v>12</x:v>
      </x:c>
      <x:c r="G134" s="100" t="n">
        <x:v>32.677694187152895</x:v>
      </x:c>
      <x:c r="H134" s="99"/>
      <x:c r="I134" s="100"/>
      <x:c r="J134" s="99"/>
      <x:c r="K134" s="100"/>
      <x:c r="L134" s="99"/>
      <x:c r="M134" s="100"/>
    </x:row>
    <x:row r="135">
      <x:c r="A135" s="38" t="str">
        <x:v>Q004::B07F9B8RQZ_review_40261</x:v>
      </x:c>
      <x:c r="B135" s="38" t="str">
        <x:v>Q004</x:v>
      </x:c>
      <x:c r="C135" s="38" t="str">
        <x:v>B07F9B8RQZ_review_40261</x:v>
      </x:c>
      <x:c r="D135" s="38" t="str">
        <x:v>B07F9B8RQZ</x:v>
      </x:c>
      <x:c r="E135" s="38" t="str">
        <x:v>bm25</x:v>
      </x:c>
      <x:c r="F135" s="99" t="n">
        <x:v>13</x:v>
      </x:c>
      <x:c r="G135" s="100" t="n">
        <x:v>32.60890276894908</x:v>
      </x:c>
      <x:c r="H135" s="99"/>
      <x:c r="I135" s="100"/>
      <x:c r="J135" s="99"/>
      <x:c r="K135" s="100"/>
      <x:c r="L135" s="99"/>
      <x:c r="M135" s="100"/>
    </x:row>
    <x:row r="136">
      <x:c r="A136" s="38" t="str">
        <x:v>Q004::B07ZFKGZ5K_review_1081158</x:v>
      </x:c>
      <x:c r="B136" s="38" t="str">
        <x:v>Q004</x:v>
      </x:c>
      <x:c r="C136" s="38" t="str">
        <x:v>B07ZFKGZ5K_review_1081158</x:v>
      </x:c>
      <x:c r="D136" s="38" t="str">
        <x:v>B07ZFKGZ5K</x:v>
      </x:c>
      <x:c r="E136" s="38" t="str">
        <x:v>dense</x:v>
      </x:c>
      <x:c r="F136" s="99"/>
      <x:c r="G136" s="100"/>
      <x:c r="H136" s="99" t="n">
        <x:v>18</x:v>
      </x:c>
      <x:c r="I136" s="100" t="n">
        <x:v>0.7660802006721497</x:v>
      </x:c>
      <x:c r="J136" s="99"/>
      <x:c r="K136" s="100"/>
      <x:c r="L136" s="99"/>
      <x:c r="M136" s="100"/>
    </x:row>
    <x:row r="137">
      <x:c r="A137" s="38" t="str">
        <x:v>Q004::B0B1YLJZTK_review_2554046</x:v>
      </x:c>
      <x:c r="B137" s="38" t="str">
        <x:v>Q004</x:v>
      </x:c>
      <x:c r="C137" s="38" t="str">
        <x:v>B0B1YLJZTK_review_2554046</x:v>
      </x:c>
      <x:c r="D137" s="38" t="str">
        <x:v>B0B1YLJZTK</x:v>
      </x:c>
      <x:c r="E137" s="38" t="str">
        <x:v>bm25; dense; hybrid_rrf; cross_encoder</x:v>
      </x:c>
      <x:c r="F137" s="99" t="n">
        <x:v>20</x:v>
      </x:c>
      <x:c r="G137" s="100" t="n">
        <x:v>31.170454515862943</x:v>
      </x:c>
      <x:c r="H137" s="99" t="n">
        <x:v>1</x:v>
      </x:c>
      <x:c r="I137" s="100" t="n">
        <x:v>0.7883308529853821</x:v>
      </x:c>
      <x:c r="J137" s="99" t="n">
        <x:v>1</x:v>
      </x:c>
      <x:c r="K137" s="100" t="n">
        <x:v>0.02889344262295082</x:v>
      </x:c>
      <x:c r="L137" s="99" t="n">
        <x:v>2</x:v>
      </x:c>
      <x:c r="M137" s="100" t="n">
        <x:v>4.877935886383057</x:v>
      </x:c>
    </x:row>
    <x:row r="138">
      <x:c r="A138" s="38" t="str">
        <x:v>Q004::B000MT5J7I_review_1601696</x:v>
      </x:c>
      <x:c r="B138" s="38" t="str">
        <x:v>Q004</x:v>
      </x:c>
      <x:c r="C138" s="38" t="str">
        <x:v>B000MT5J7I_review_1601696</x:v>
      </x:c>
      <x:c r="D138" s="38" t="str">
        <x:v>B000MT5J7I</x:v>
      </x:c>
      <x:c r="E138" s="38" t="str">
        <x:v>bm25; hybrid_rrf; cross_encoder</x:v>
      </x:c>
      <x:c r="F138" s="99" t="n">
        <x:v>8</x:v>
      </x:c>
      <x:c r="G138" s="100" t="n">
        <x:v>33.76320319250701</x:v>
      </x:c>
      <x:c r="H138" s="99"/>
      <x:c r="I138" s="100"/>
      <x:c r="J138" s="99" t="n">
        <x:v>15</x:v>
      </x:c>
      <x:c r="K138" s="100" t="n">
        <x:v>0.014705882352941176</x:v>
      </x:c>
      <x:c r="L138" s="99" t="n">
        <x:v>11</x:v>
      </x:c>
      <x:c r="M138" s="100" t="n">
        <x:v>2.905182361602783</x:v>
      </x:c>
    </x:row>
    <x:row r="139">
      <x:c r="A139" s="38" t="str">
        <x:v>Q004::B002RJUSO0_review_169464</x:v>
      </x:c>
      <x:c r="B139" s="38" t="str">
        <x:v>Q004</x:v>
      </x:c>
      <x:c r="C139" s="38" t="str">
        <x:v>B002RJUSO0_review_169464</x:v>
      </x:c>
      <x:c r="D139" s="38" t="str">
        <x:v>B002RJUSO0</x:v>
      </x:c>
      <x:c r="E139" s="38" t="str">
        <x:v>dense; hybrid_rrf; cross_encoder</x:v>
      </x:c>
      <x:c r="F139" s="99"/>
      <x:c r="G139" s="100"/>
      <x:c r="H139" s="99" t="n">
        <x:v>5</x:v>
      </x:c>
      <x:c r="I139" s="100" t="n">
        <x:v>0.7768346071243286</x:v>
      </x:c>
      <x:c r="J139" s="99" t="n">
        <x:v>9</x:v>
      </x:c>
      <x:c r="K139" s="100" t="n">
        <x:v>0.015384615384615385</x:v>
      </x:c>
      <x:c r="L139" s="99" t="n">
        <x:v>12</x:v>
      </x:c>
      <x:c r="M139" s="100" t="n">
        <x:v>2.8485093116760254</x:v>
      </x:c>
    </x:row>
    <x:row r="140">
      <x:c r="A140" s="38" t="str">
        <x:v>Q004::B0043T34RK_review_456502</x:v>
      </x:c>
      <x:c r="B140" s="38" t="str">
        <x:v>Q004</x:v>
      </x:c>
      <x:c r="C140" s="38" t="str">
        <x:v>B0043T34RK_review_456502</x:v>
      </x:c>
      <x:c r="D140" s="38" t="str">
        <x:v>B0043T34RK</x:v>
      </x:c>
      <x:c r="E140" s="38" t="str">
        <x:v>dense</x:v>
      </x:c>
      <x:c r="F140" s="99"/>
      <x:c r="G140" s="100"/>
      <x:c r="H140" s="99" t="n">
        <x:v>11</x:v>
      </x:c>
      <x:c r="I140" s="100" t="n">
        <x:v>0.7712880969047546</x:v>
      </x:c>
      <x:c r="J140" s="99"/>
      <x:c r="K140" s="100"/>
      <x:c r="L140" s="99"/>
      <x:c r="M140" s="100"/>
    </x:row>
    <x:row r="141">
      <x:c r="A141" s="38" t="str">
        <x:v>Q004::B00123WDQ8_review_1544499</x:v>
      </x:c>
      <x:c r="B141" s="38" t="str">
        <x:v>Q004</x:v>
      </x:c>
      <x:c r="C141" s="38" t="str">
        <x:v>B00123WDQ8_review_1544499</x:v>
      </x:c>
      <x:c r="D141" s="38" t="str">
        <x:v>B00123WDQ8</x:v>
      </x:c>
      <x:c r="E141" s="38" t="str">
        <x:v>dense; hybrid_rrf; cross_encoder</x:v>
      </x:c>
      <x:c r="F141" s="99"/>
      <x:c r="G141" s="100"/>
      <x:c r="H141" s="99" t="n">
        <x:v>2</x:v>
      </x:c>
      <x:c r="I141" s="100" t="n">
        <x:v>0.7794858813285828</x:v>
      </x:c>
      <x:c r="J141" s="99" t="n">
        <x:v>3</x:v>
      </x:c>
      <x:c r="K141" s="100" t="n">
        <x:v>0.016129032258064516</x:v>
      </x:c>
      <x:c r="L141" s="99" t="n">
        <x:v>7</x:v>
      </x:c>
      <x:c r="M141" s="100" t="n">
        <x:v>4.032207489013672</x:v>
      </x:c>
    </x:row>
    <x:row r="142">
      <x:c r="A142" s="38" t="str">
        <x:v>Q004::B0C6G2BD65_review_3351224</x:v>
      </x:c>
      <x:c r="B142" s="38" t="str">
        <x:v>Q004</x:v>
      </x:c>
      <x:c r="C142" s="38" t="str">
        <x:v>B0C6G2BD65_review_3351224</x:v>
      </x:c>
      <x:c r="D142" s="38" t="str">
        <x:v>B0C6G2BD65</x:v>
      </x:c>
      <x:c r="E142" s="38" t="str">
        <x:v>bm25</x:v>
      </x:c>
      <x:c r="F142" s="99" t="n">
        <x:v>11</x:v>
      </x:c>
      <x:c r="G142" s="100" t="n">
        <x:v>32.722359177174</x:v>
      </x:c>
      <x:c r="H142" s="99"/>
      <x:c r="I142" s="100"/>
      <x:c r="J142" s="99"/>
      <x:c r="K142" s="100"/>
      <x:c r="L142" s="99"/>
      <x:c r="M142" s="100"/>
    </x:row>
    <x:row r="143">
      <x:c r="A143" s="38" t="str">
        <x:v>Q004::B00JM99DIU_review_51101</x:v>
      </x:c>
      <x:c r="B143" s="38" t="str">
        <x:v>Q004</x:v>
      </x:c>
      <x:c r="C143" s="38" t="str">
        <x:v>B00JM99DIU_review_51101</x:v>
      </x:c>
      <x:c r="D143" s="38" t="str">
        <x:v>B00JM99DIU</x:v>
      </x:c>
      <x:c r="E143" s="38" t="str">
        <x:v>bm25; hybrid_rrf; cross_encoder</x:v>
      </x:c>
      <x:c r="F143" s="99" t="n">
        <x:v>10</x:v>
      </x:c>
      <x:c r="G143" s="100" t="n">
        <x:v>32.8594333344346</x:v>
      </x:c>
      <x:c r="H143" s="99"/>
      <x:c r="I143" s="100"/>
      <x:c r="J143" s="99" t="n">
        <x:v>20</x:v>
      </x:c>
      <x:c r="K143" s="100" t="n">
        <x:v>0.014285714285714285</x:v>
      </x:c>
      <x:c r="L143" s="99" t="n">
        <x:v>18</x:v>
      </x:c>
      <x:c r="M143" s="100" t="n">
        <x:v>-0.20237064361572266</x:v>
      </x:c>
    </x:row>
    <x:row r="144">
      <x:c r="A144" s="38" t="str">
        <x:v>Q004::B0BGBH4RGT_review_3153900</x:v>
      </x:c>
      <x:c r="B144" s="38" t="str">
        <x:v>Q004</x:v>
      </x:c>
      <x:c r="C144" s="38" t="str">
        <x:v>B0BGBH4RGT_review_3153900</x:v>
      </x:c>
      <x:c r="D144" s="38" t="str">
        <x:v>B0BGBH4RGT</x:v>
      </x:c>
      <x:c r="E144" s="38" t="str">
        <x:v>dense; hybrid_rrf; cross_encoder</x:v>
      </x:c>
      <x:c r="F144" s="99"/>
      <x:c r="G144" s="100"/>
      <x:c r="H144" s="99" t="n">
        <x:v>3</x:v>
      </x:c>
      <x:c r="I144" s="100" t="n">
        <x:v>0.7792488932609558</x:v>
      </x:c>
      <x:c r="J144" s="99" t="n">
        <x:v>6</x:v>
      </x:c>
      <x:c r="K144" s="100" t="n">
        <x:v>0.015873015873015872</x:v>
      </x:c>
      <x:c r="L144" s="99" t="n">
        <x:v>17</x:v>
      </x:c>
      <x:c r="M144" s="100" t="n">
        <x:v>0.3941674530506134</x:v>
      </x:c>
    </x:row>
    <x:row r="145">
      <x:c r="A145" s="38" t="str">
        <x:v>Q004::B0050X2YZQ_review_1036785</x:v>
      </x:c>
      <x:c r="B145" s="38" t="str">
        <x:v>Q004</x:v>
      </x:c>
      <x:c r="C145" s="38" t="str">
        <x:v>B0050X2YZQ_review_1036785</x:v>
      </x:c>
      <x:c r="D145" s="38" t="str">
        <x:v>B0050X2YZQ</x:v>
      </x:c>
      <x:c r="E145" s="38" t="str">
        <x:v>dense; hybrid_rrf; cross_encoder</x:v>
      </x:c>
      <x:c r="F145" s="99"/>
      <x:c r="G145" s="100"/>
      <x:c r="H145" s="99" t="n">
        <x:v>4</x:v>
      </x:c>
      <x:c r="I145" s="100" t="n">
        <x:v>0.7789291739463806</x:v>
      </x:c>
      <x:c r="J145" s="99" t="n">
        <x:v>7</x:v>
      </x:c>
      <x:c r="K145" s="100" t="n">
        <x:v>0.015625</x:v>
      </x:c>
      <x:c r="L145" s="99" t="n">
        <x:v>6</x:v>
      </x:c>
      <x:c r="M145" s="100" t="n">
        <x:v>4.082464218139648</x:v>
      </x:c>
    </x:row>
    <x:row r="146">
      <x:c r="A146" s="38" t="str">
        <x:v>Q004::B000B86RSK_review_577538</x:v>
      </x:c>
      <x:c r="B146" s="38" t="str">
        <x:v>Q004</x:v>
      </x:c>
      <x:c r="C146" s="38" t="str">
        <x:v>B000B86RSK_review_577538</x:v>
      </x:c>
      <x:c r="D146" s="38" t="str">
        <x:v>B000B86RSK</x:v>
      </x:c>
      <x:c r="E146" s="38" t="str">
        <x:v>dense; hybrid_rrf; cross_encoder</x:v>
      </x:c>
      <x:c r="F146" s="99"/>
      <x:c r="G146" s="100"/>
      <x:c r="H146" s="99" t="n">
        <x:v>10</x:v>
      </x:c>
      <x:c r="I146" s="100" t="n">
        <x:v>0.7717771530151367</x:v>
      </x:c>
      <x:c r="J146" s="99" t="n">
        <x:v>19</x:v>
      </x:c>
      <x:c r="K146" s="100" t="n">
        <x:v>0.014285714285714285</x:v>
      </x:c>
      <x:c r="L146" s="99" t="n">
        <x:v>20</x:v>
      </x:c>
      <x:c r="M146" s="100" t="n">
        <x:v>-2.674750804901123</x:v>
      </x:c>
    </x:row>
    <x:row r="147">
      <x:c r="A147" s="38" t="str">
        <x:v>Q004::B0B9HZZ2Q7_review_1813489</x:v>
      </x:c>
      <x:c r="B147" s="38" t="str">
        <x:v>Q004</x:v>
      </x:c>
      <x:c r="C147" s="38" t="str">
        <x:v>B0B9HZZ2Q7_review_1813489</x:v>
      </x:c>
      <x:c r="D147" s="38" t="str">
        <x:v>B0B9HZZ2Q7</x:v>
      </x:c>
      <x:c r="E147" s="38" t="str">
        <x:v>bm25; hybrid_rrf; cross_encoder</x:v>
      </x:c>
      <x:c r="F147" s="99" t="n">
        <x:v>3</x:v>
      </x:c>
      <x:c r="G147" s="100" t="n">
        <x:v>38.91970044678526</x:v>
      </x:c>
      <x:c r="H147" s="99"/>
      <x:c r="I147" s="100"/>
      <x:c r="J147" s="99" t="n">
        <x:v>5</x:v>
      </x:c>
      <x:c r="K147" s="100" t="n">
        <x:v>0.015873015873015872</x:v>
      </x:c>
      <x:c r="L147" s="99" t="n">
        <x:v>1</x:v>
      </x:c>
      <x:c r="M147" s="100" t="n">
        <x:v>5.385115146636963</x:v>
      </x:c>
    </x:row>
    <x:row r="148">
      <x:c r="A148" s="38" t="str">
        <x:v>Q004::B07Q8BD3RS_review_2368085</x:v>
      </x:c>
      <x:c r="B148" s="38" t="str">
        <x:v>Q004</x:v>
      </x:c>
      <x:c r="C148" s="38" t="str">
        <x:v>B07Q8BD3RS_review_2368085</x:v>
      </x:c>
      <x:c r="D148" s="38" t="str">
        <x:v>B07Q8BD3RS</x:v>
      </x:c>
      <x:c r="E148" s="38" t="str">
        <x:v>bm25; hybrid_rrf; cross_encoder</x:v>
      </x:c>
      <x:c r="F148" s="99" t="n">
        <x:v>4</x:v>
      </x:c>
      <x:c r="G148" s="100" t="n">
        <x:v>38.314068845053</x:v>
      </x:c>
      <x:c r="H148" s="99"/>
      <x:c r="I148" s="100"/>
      <x:c r="J148" s="99" t="n">
        <x:v>8</x:v>
      </x:c>
      <x:c r="K148" s="100" t="n">
        <x:v>0.015625</x:v>
      </x:c>
      <x:c r="L148" s="99" t="n">
        <x:v>9</x:v>
      </x:c>
      <x:c r="M148" s="100" t="n">
        <x:v>3.5810961723327637</x:v>
      </x:c>
    </x:row>
    <x:row r="149">
      <x:c r="A149" s="38" t="str">
        <x:v>Q004::B06XQ39Z7F_review_3947812</x:v>
      </x:c>
      <x:c r="B149" s="38" t="str">
        <x:v>Q004</x:v>
      </x:c>
      <x:c r="C149" s="38" t="str">
        <x:v>B06XQ39Z7F_review_3947812</x:v>
      </x:c>
      <x:c r="D149" s="38" t="str">
        <x:v>B06XQ39Z7F</x:v>
      </x:c>
      <x:c r="E149" s="38" t="str">
        <x:v>bm25</x:v>
      </x:c>
      <x:c r="F149" s="99" t="n">
        <x:v>16</x:v>
      </x:c>
      <x:c r="G149" s="100" t="n">
        <x:v>31.9453143552226</x:v>
      </x:c>
      <x:c r="H149" s="99"/>
      <x:c r="I149" s="100"/>
      <x:c r="J149" s="99"/>
      <x:c r="K149" s="100"/>
      <x:c r="L149" s="99"/>
      <x:c r="M149" s="100"/>
    </x:row>
    <x:row r="150">
      <x:c r="A150" s="38" t="str">
        <x:v>Q004::B002R0JJYO_review_3275210</x:v>
      </x:c>
      <x:c r="B150" s="38" t="str">
        <x:v>Q004</x:v>
      </x:c>
      <x:c r="C150" s="38" t="str">
        <x:v>B002R0JJYO_review_3275210</x:v>
      </x:c>
      <x:c r="D150" s="38" t="str">
        <x:v>B002R0JJYO</x:v>
      </x:c>
      <x:c r="E150" s="38" t="str">
        <x:v>dense; hybrid_rrf; cross_encoder</x:v>
      </x:c>
      <x:c r="F150" s="99"/>
      <x:c r="G150" s="100"/>
      <x:c r="H150" s="99" t="n">
        <x:v>6</x:v>
      </x:c>
      <x:c r="I150" s="100" t="n">
        <x:v>0.7746754884719849</x:v>
      </x:c>
      <x:c r="J150" s="99" t="n">
        <x:v>11</x:v>
      </x:c>
      <x:c r="K150" s="100" t="n">
        <x:v>0.015151515151515152</x:v>
      </x:c>
      <x:c r="L150" s="99" t="n">
        <x:v>19</x:v>
      </x:c>
      <x:c r="M150" s="100" t="n">
        <x:v>-0.8378902673721313</x:v>
      </x:c>
    </x:row>
    <x:row r="151">
      <x:c r="A151" s="38" t="str">
        <x:v>Q004::B0789LWBDD_review_4243666</x:v>
      </x:c>
      <x:c r="B151" s="38" t="str">
        <x:v>Q004</x:v>
      </x:c>
      <x:c r="C151" s="38" t="str">
        <x:v>B0789LWBDD_review_4243666</x:v>
      </x:c>
      <x:c r="D151" s="38" t="str">
        <x:v>B0789LWBDD</x:v>
      </x:c>
      <x:c r="E151" s="38" t="str">
        <x:v>dense</x:v>
      </x:c>
      <x:c r="F151" s="99"/>
      <x:c r="G151" s="100"/>
      <x:c r="H151" s="99" t="n">
        <x:v>20</x:v>
      </x:c>
      <x:c r="I151" s="100" t="n">
        <x:v>0.7611809372901917</x:v>
      </x:c>
      <x:c r="J151" s="99"/>
      <x:c r="K151" s="100"/>
      <x:c r="L151" s="99"/>
      <x:c r="M151" s="100"/>
    </x:row>
    <x:row r="152">
      <x:c r="A152" s="38" t="str">
        <x:v>Q004::B0017UYBXO_review_1691134</x:v>
      </x:c>
      <x:c r="B152" s="38" t="str">
        <x:v>Q004</x:v>
      </x:c>
      <x:c r="C152" s="38" t="str">
        <x:v>B0017UYBXO_review_1691134</x:v>
      </x:c>
      <x:c r="D152" s="38" t="str">
        <x:v>B0017UYBXO</x:v>
      </x:c>
      <x:c r="E152" s="38" t="str">
        <x:v>bm25</x:v>
      </x:c>
      <x:c r="F152" s="99" t="n">
        <x:v>19</x:v>
      </x:c>
      <x:c r="G152" s="100" t="n">
        <x:v>31.208152527559516</x:v>
      </x:c>
      <x:c r="H152" s="99"/>
      <x:c r="I152" s="100"/>
      <x:c r="J152" s="99"/>
      <x:c r="K152" s="100"/>
      <x:c r="L152" s="99"/>
      <x:c r="M152" s="100"/>
    </x:row>
    <x:row r="153">
      <x:c r="A153" s="38" t="str">
        <x:v>Q004::B01N5LH0Q8_review_277738</x:v>
      </x:c>
      <x:c r="B153" s="38" t="str">
        <x:v>Q004</x:v>
      </x:c>
      <x:c r="C153" s="38" t="str">
        <x:v>B01N5LH0Q8_review_277738</x:v>
      </x:c>
      <x:c r="D153" s="38" t="str">
        <x:v>B01N5LH0Q8</x:v>
      </x:c>
      <x:c r="E153" s="38" t="str">
        <x:v>bm25; hybrid_rrf; cross_encoder</x:v>
      </x:c>
      <x:c r="F153" s="99" t="n">
        <x:v>2</x:v>
      </x:c>
      <x:c r="G153" s="100" t="n">
        <x:v>38.96912702315215</x:v>
      </x:c>
      <x:c r="H153" s="99"/>
      <x:c r="I153" s="100"/>
      <x:c r="J153" s="99" t="n">
        <x:v>4</x:v>
      </x:c>
      <x:c r="K153" s="100" t="n">
        <x:v>0.016129032258064516</x:v>
      </x:c>
      <x:c r="L153" s="99" t="n">
        <x:v>5</x:v>
      </x:c>
      <x:c r="M153" s="100" t="n">
        <x:v>4.316209316253662</x:v>
      </x:c>
    </x:row>
    <x:row r="154">
      <x:c r="A154" s="38" t="str">
        <x:v>Q004::B0084FNAB4_review_1331864</x:v>
      </x:c>
      <x:c r="B154" s="38" t="str">
        <x:v>Q004</x:v>
      </x:c>
      <x:c r="C154" s="38" t="str">
        <x:v>B0084FNAB4_review_1331864</x:v>
      </x:c>
      <x:c r="D154" s="38" t="str">
        <x:v>B0084FNAB4</x:v>
      </x:c>
      <x:c r="E154" s="38" t="str">
        <x:v>dense</x:v>
      </x:c>
      <x:c r="F154" s="99"/>
      <x:c r="G154" s="100"/>
      <x:c r="H154" s="99" t="n">
        <x:v>19</x:v>
      </x:c>
      <x:c r="I154" s="100" t="n">
        <x:v>0.7644566297531128</x:v>
      </x:c>
      <x:c r="J154" s="99"/>
      <x:c r="K154" s="100"/>
      <x:c r="L154" s="99"/>
      <x:c r="M154" s="100"/>
    </x:row>
    <x:row r="155">
      <x:c r="A155" s="38" t="str">
        <x:v>Q004::B07SQ3VKL5_review_1311127</x:v>
      </x:c>
      <x:c r="B155" s="38" t="str">
        <x:v>Q004</x:v>
      </x:c>
      <x:c r="C155" s="38" t="str">
        <x:v>B07SQ3VKL5_review_1311127</x:v>
      </x:c>
      <x:c r="D155" s="38" t="str">
        <x:v>B07SQ3VKL5</x:v>
      </x:c>
      <x:c r="E155" s="38" t="str">
        <x:v>bm25; hybrid_rrf; cross_encoder</x:v>
      </x:c>
      <x:c r="F155" s="99" t="n">
        <x:v>9</x:v>
      </x:c>
      <x:c r="G155" s="100" t="n">
        <x:v>33.00989290075835</x:v>
      </x:c>
      <x:c r="H155" s="99"/>
      <x:c r="I155" s="100"/>
      <x:c r="J155" s="99" t="n">
        <x:v>18</x:v>
      </x:c>
      <x:c r="K155" s="100" t="n">
        <x:v>0.014492753623188406</x:v>
      </x:c>
      <x:c r="L155" s="99" t="n">
        <x:v>14</x:v>
      </x:c>
      <x:c r="M155" s="100" t="n">
        <x:v>1.3238599300384521</x:v>
      </x:c>
    </x:row>
    <x:row r="156">
      <x:c r="A156" s="38" t="str">
        <x:v>Q004::B00J0DQDCM_review_739248</x:v>
      </x:c>
      <x:c r="B156" s="38" t="str">
        <x:v>Q004</x:v>
      </x:c>
      <x:c r="C156" s="38" t="str">
        <x:v>B00J0DQDCM_review_739248</x:v>
      </x:c>
      <x:c r="D156" s="38" t="str">
        <x:v>B00J0DQDCM</x:v>
      </x:c>
      <x:c r="E156" s="38" t="str">
        <x:v>dense</x:v>
      </x:c>
      <x:c r="F156" s="99"/>
      <x:c r="G156" s="100"/>
      <x:c r="H156" s="99" t="n">
        <x:v>15</x:v>
      </x:c>
      <x:c r="I156" s="100" t="n">
        <x:v>0.7665873169898987</x:v>
      </x:c>
      <x:c r="J156" s="99"/>
      <x:c r="K156" s="100"/>
      <x:c r="L156" s="99"/>
      <x:c r="M156" s="100"/>
    </x:row>
    <x:row r="157">
      <x:c r="A157" s="38" t="str">
        <x:v>Q004::B00877ZOYK_review_3638003</x:v>
      </x:c>
      <x:c r="B157" s="38" t="str">
        <x:v>Q004</x:v>
      </x:c>
      <x:c r="C157" s="38" t="str">
        <x:v>B00877ZOYK_review_3638003</x:v>
      </x:c>
      <x:c r="D157" s="38" t="str">
        <x:v>B00877ZOYK</x:v>
      </x:c>
      <x:c r="E157" s="38" t="str">
        <x:v>dense</x:v>
      </x:c>
      <x:c r="F157" s="99"/>
      <x:c r="G157" s="100"/>
      <x:c r="H157" s="99" t="n">
        <x:v>17</x:v>
      </x:c>
      <x:c r="I157" s="100" t="n">
        <x:v>0.7662625908851624</x:v>
      </x:c>
      <x:c r="J157" s="99"/>
      <x:c r="K157" s="100"/>
      <x:c r="L157" s="99"/>
      <x:c r="M157" s="100"/>
    </x:row>
    <x:row r="158">
      <x:c r="A158" s="38" t="str">
        <x:v>Q005::B008TYQI3C_review_250014</x:v>
      </x:c>
      <x:c r="B158" s="38" t="str">
        <x:v>Q005</x:v>
      </x:c>
      <x:c r="C158" s="38" t="str">
        <x:v>B008TYQI3C_review_250014</x:v>
      </x:c>
      <x:c r="D158" s="38" t="str">
        <x:v>B008TYQI3C</x:v>
      </x:c>
      <x:c r="E158" s="38" t="str">
        <x:v>dense</x:v>
      </x:c>
      <x:c r="F158" s="99"/>
      <x:c r="G158" s="100"/>
      <x:c r="H158" s="99" t="n">
        <x:v>13</x:v>
      </x:c>
      <x:c r="I158" s="100" t="n">
        <x:v>0.7345079779624939</x:v>
      </x:c>
      <x:c r="J158" s="99"/>
      <x:c r="K158" s="100"/>
      <x:c r="L158" s="99"/>
      <x:c r="M158" s="100"/>
    </x:row>
    <x:row r="159">
      <x:c r="A159" s="38" t="str">
        <x:v>Q005::B006OE5JFW_review_2774734</x:v>
      </x:c>
      <x:c r="B159" s="38" t="str">
        <x:v>Q005</x:v>
      </x:c>
      <x:c r="C159" s="38" t="str">
        <x:v>B006OE5JFW_review_2774734</x:v>
      </x:c>
      <x:c r="D159" s="38" t="str">
        <x:v>B006OE5JFW</x:v>
      </x:c>
      <x:c r="E159" s="38" t="str">
        <x:v>bm25; hybrid_rrf; cross_encoder</x:v>
      </x:c>
      <x:c r="F159" s="99" t="n">
        <x:v>4</x:v>
      </x:c>
      <x:c r="G159" s="100" t="n">
        <x:v>32.87847984865142</x:v>
      </x:c>
      <x:c r="H159" s="99"/>
      <x:c r="I159" s="100"/>
      <x:c r="J159" s="99" t="n">
        <x:v>7</x:v>
      </x:c>
      <x:c r="K159" s="100" t="n">
        <x:v>0.015625</x:v>
      </x:c>
      <x:c r="L159" s="99" t="n">
        <x:v>1</x:v>
      </x:c>
      <x:c r="M159" s="100" t="n">
        <x:v>3.911365509033203</x:v>
      </x:c>
    </x:row>
    <x:row r="160">
      <x:c r="A160" s="38" t="str">
        <x:v>Q005::B00GJO7GOE_review_927524</x:v>
      </x:c>
      <x:c r="B160" s="38" t="str">
        <x:v>Q005</x:v>
      </x:c>
      <x:c r="C160" s="38" t="str">
        <x:v>B00GJO7GOE_review_927524</x:v>
      </x:c>
      <x:c r="D160" s="38" t="str">
        <x:v>B00GJO7GOE</x:v>
      </x:c>
      <x:c r="E160" s="38" t="str">
        <x:v>bm25; hybrid_rrf; cross_encoder</x:v>
      </x:c>
      <x:c r="F160" s="99" t="n">
        <x:v>2</x:v>
      </x:c>
      <x:c r="G160" s="100" t="n">
        <x:v>33.32270667716866</x:v>
      </x:c>
      <x:c r="H160" s="99"/>
      <x:c r="I160" s="100"/>
      <x:c r="J160" s="99" t="n">
        <x:v>3</x:v>
      </x:c>
      <x:c r="K160" s="100" t="n">
        <x:v>0.016129032258064516</x:v>
      </x:c>
      <x:c r="L160" s="99" t="n">
        <x:v>12</x:v>
      </x:c>
      <x:c r="M160" s="100" t="n">
        <x:v>-1.790867805480957</x:v>
      </x:c>
    </x:row>
    <x:row r="161">
      <x:c r="A161" s="38" t="str">
        <x:v>Q005::B000087LB8_review_215263</x:v>
      </x:c>
      <x:c r="B161" s="38" t="str">
        <x:v>Q005</x:v>
      </x:c>
      <x:c r="C161" s="38" t="str">
        <x:v>B000087LB8_review_215263</x:v>
      </x:c>
      <x:c r="D161" s="38" t="str">
        <x:v>B000087LB8</x:v>
      </x:c>
      <x:c r="E161" s="38" t="str">
        <x:v>dense</x:v>
      </x:c>
      <x:c r="F161" s="99"/>
      <x:c r="G161" s="100"/>
      <x:c r="H161" s="99" t="n">
        <x:v>20</x:v>
      </x:c>
      <x:c r="I161" s="100" t="n">
        <x:v>0.7317256927490234</x:v>
      </x:c>
      <x:c r="J161" s="99"/>
      <x:c r="K161" s="100"/>
      <x:c r="L161" s="99"/>
      <x:c r="M161" s="100"/>
    </x:row>
    <x:row r="162">
      <x:c r="A162" s="38" t="str">
        <x:v>Q005::B00DS18ZTG_review_1368523</x:v>
      </x:c>
      <x:c r="B162" s="38" t="str">
        <x:v>Q005</x:v>
      </x:c>
      <x:c r="C162" s="38" t="str">
        <x:v>B00DS18ZTG_review_1368523</x:v>
      </x:c>
      <x:c r="D162" s="38" t="str">
        <x:v>B00DS18ZTG</x:v>
      </x:c>
      <x:c r="E162" s="38" t="str">
        <x:v>dense</x:v>
      </x:c>
      <x:c r="F162" s="99"/>
      <x:c r="G162" s="100"/>
      <x:c r="H162" s="99" t="n">
        <x:v>15</x:v>
      </x:c>
      <x:c r="I162" s="100" t="n">
        <x:v>0.7337825894355774</x:v>
      </x:c>
      <x:c r="J162" s="99"/>
      <x:c r="K162" s="100"/>
      <x:c r="L162" s="99"/>
      <x:c r="M162" s="100"/>
    </x:row>
    <x:row r="163">
      <x:c r="A163" s="38" t="str">
        <x:v>Q005::B001ER6CCI_review_2889125</x:v>
      </x:c>
      <x:c r="B163" s="38" t="str">
        <x:v>Q005</x:v>
      </x:c>
      <x:c r="C163" s="38" t="str">
        <x:v>B001ER6CCI_review_2889125</x:v>
      </x:c>
      <x:c r="D163" s="38" t="str">
        <x:v>B001ER6CCI</x:v>
      </x:c>
      <x:c r="E163" s="38" t="str">
        <x:v>dense</x:v>
      </x:c>
      <x:c r="F163" s="99"/>
      <x:c r="G163" s="100"/>
      <x:c r="H163" s="99" t="n">
        <x:v>16</x:v>
      </x:c>
      <x:c r="I163" s="100" t="n">
        <x:v>0.7330751419067383</x:v>
      </x:c>
      <x:c r="J163" s="99"/>
      <x:c r="K163" s="100"/>
      <x:c r="L163" s="99"/>
      <x:c r="M163" s="100"/>
    </x:row>
    <x:row r="164">
      <x:c r="A164" s="38" t="str">
        <x:v>Q005::B087R496R6_review_1245108</x:v>
      </x:c>
      <x:c r="B164" s="38" t="str">
        <x:v>Q005</x:v>
      </x:c>
      <x:c r="C164" s="38" t="str">
        <x:v>B087R496R6_review_1245108</x:v>
      </x:c>
      <x:c r="D164" s="38" t="str">
        <x:v>B087R496R6</x:v>
      </x:c>
      <x:c r="E164" s="38" t="str">
        <x:v>bm25</x:v>
      </x:c>
      <x:c r="F164" s="99" t="n">
        <x:v>17</x:v>
      </x:c>
      <x:c r="G164" s="100" t="n">
        <x:v>30.659481288256796</x:v>
      </x:c>
      <x:c r="H164" s="99"/>
      <x:c r="I164" s="100"/>
      <x:c r="J164" s="99"/>
      <x:c r="K164" s="100"/>
      <x:c r="L164" s="99"/>
      <x:c r="M164" s="100"/>
    </x:row>
    <x:row r="165">
      <x:c r="A165" s="38" t="str">
        <x:v>Q005::B07KFNMLSH_review_4146610</x:v>
      </x:c>
      <x:c r="B165" s="38" t="str">
        <x:v>Q005</x:v>
      </x:c>
      <x:c r="C165" s="38" t="str">
        <x:v>B07KFNMLSH_review_4146610</x:v>
      </x:c>
      <x:c r="D165" s="38" t="str">
        <x:v>B07KFNMLSH</x:v>
      </x:c>
      <x:c r="E165" s="38" t="str">
        <x:v>bm25</x:v>
      </x:c>
      <x:c r="F165" s="99" t="n">
        <x:v>18</x:v>
      </x:c>
      <x:c r="G165" s="100" t="n">
        <x:v>30.65726497908389</x:v>
      </x:c>
      <x:c r="H165" s="99"/>
      <x:c r="I165" s="100"/>
      <x:c r="J165" s="99"/>
      <x:c r="K165" s="100"/>
      <x:c r="L165" s="99"/>
      <x:c r="M165" s="100"/>
    </x:row>
    <x:row r="166">
      <x:c r="A166" s="38" t="str">
        <x:v>Q005::B07W6QTHM9_review_1780981</x:v>
      </x:c>
      <x:c r="B166" s="38" t="str">
        <x:v>Q005</x:v>
      </x:c>
      <x:c r="C166" s="38" t="str">
        <x:v>B07W6QTHM9_review_1780981</x:v>
      </x:c>
      <x:c r="D166" s="38" t="str">
        <x:v>B07W6QTHM9</x:v>
      </x:c>
      <x:c r="E166" s="38" t="str">
        <x:v>bm25; hybrid_rrf; cross_encoder</x:v>
      </x:c>
      <x:c r="F166" s="99" t="n">
        <x:v>10</x:v>
      </x:c>
      <x:c r="G166" s="100" t="n">
        <x:v>31.38270715536194</x:v>
      </x:c>
      <x:c r="H166" s="99"/>
      <x:c r="I166" s="100"/>
      <x:c r="J166" s="99" t="n">
        <x:v>19</x:v>
      </x:c>
      <x:c r="K166" s="100" t="n">
        <x:v>0.014285714285714285</x:v>
      </x:c>
      <x:c r="L166" s="99" t="n">
        <x:v>15</x:v>
      </x:c>
      <x:c r="M166" s="100" t="n">
        <x:v>-4.24201774597168</x:v>
      </x:c>
    </x:row>
    <x:row r="167">
      <x:c r="A167" s="38" t="str">
        <x:v>Q005::B0756JG73H_review_2352889</x:v>
      </x:c>
      <x:c r="B167" s="38" t="str">
        <x:v>Q005</x:v>
      </x:c>
      <x:c r="C167" s="38" t="str">
        <x:v>B0756JG73H_review_2352889</x:v>
      </x:c>
      <x:c r="D167" s="38" t="str">
        <x:v>B0756JG73H</x:v>
      </x:c>
      <x:c r="E167" s="38" t="str">
        <x:v>bm25</x:v>
      </x:c>
      <x:c r="F167" s="99" t="n">
        <x:v>19</x:v>
      </x:c>
      <x:c r="G167" s="100" t="n">
        <x:v>30.636834188516</x:v>
      </x:c>
      <x:c r="H167" s="99"/>
      <x:c r="I167" s="100"/>
      <x:c r="J167" s="99"/>
      <x:c r="K167" s="100"/>
      <x:c r="L167" s="99"/>
      <x:c r="M167" s="100"/>
    </x:row>
    <x:row r="168">
      <x:c r="A168" s="38" t="str">
        <x:v>Q005::B00127OUZQ_review_3228339</x:v>
      </x:c>
      <x:c r="B168" s="38" t="str">
        <x:v>Q005</x:v>
      </x:c>
      <x:c r="C168" s="38" t="str">
        <x:v>B00127OUZQ_review_3228339</x:v>
      </x:c>
      <x:c r="D168" s="38" t="str">
        <x:v>B00127OUZQ</x:v>
      </x:c>
      <x:c r="E168" s="38" t="str">
        <x:v>dense; hybrid_rrf; cross_encoder</x:v>
      </x:c>
      <x:c r="F168" s="99"/>
      <x:c r="G168" s="100"/>
      <x:c r="H168" s="99" t="n">
        <x:v>9</x:v>
      </x:c>
      <x:c r="I168" s="100" t="n">
        <x:v>0.7374340295791626</x:v>
      </x:c>
      <x:c r="J168" s="99" t="n">
        <x:v>17</x:v>
      </x:c>
      <x:c r="K168" s="100" t="n">
        <x:v>0.014492753623188406</x:v>
      </x:c>
      <x:c r="L168" s="99" t="n">
        <x:v>10</x:v>
      </x:c>
      <x:c r="M168" s="100" t="n">
        <x:v>-0.5932261943817139</x:v>
      </x:c>
    </x:row>
    <x:row r="169">
      <x:c r="A169" s="38" t="str">
        <x:v>Q005::B00TJQX9D6_review_2947925</x:v>
      </x:c>
      <x:c r="B169" s="38" t="str">
        <x:v>Q005</x:v>
      </x:c>
      <x:c r="C169" s="38" t="str">
        <x:v>B00TJQX9D6_review_2947925</x:v>
      </x:c>
      <x:c r="D169" s="38" t="str">
        <x:v>B00TJQX9D6</x:v>
      </x:c>
      <x:c r="E169" s="38" t="str">
        <x:v>dense</x:v>
      </x:c>
      <x:c r="F169" s="99"/>
      <x:c r="G169" s="100"/>
      <x:c r="H169" s="99" t="n">
        <x:v>19</x:v>
      </x:c>
      <x:c r="I169" s="100" t="n">
        <x:v>0.7322325110435486</x:v>
      </x:c>
      <x:c r="J169" s="99"/>
      <x:c r="K169" s="100"/>
      <x:c r="L169" s="99"/>
      <x:c r="M169" s="100"/>
    </x:row>
    <x:row r="170">
      <x:c r="A170" s="38" t="str">
        <x:v>Q005::B00SET896Q_review_3975807</x:v>
      </x:c>
      <x:c r="B170" s="38" t="str">
        <x:v>Q005</x:v>
      </x:c>
      <x:c r="C170" s="38" t="str">
        <x:v>B00SET896Q_review_3975807</x:v>
      </x:c>
      <x:c r="D170" s="38" t="str">
        <x:v>B00SET896Q</x:v>
      </x:c>
      <x:c r="E170" s="38" t="str">
        <x:v>dense; hybrid_rrf; cross_encoder</x:v>
      </x:c>
      <x:c r="F170" s="99"/>
      <x:c r="G170" s="100"/>
      <x:c r="H170" s="99" t="n">
        <x:v>3</x:v>
      </x:c>
      <x:c r="I170" s="100" t="n">
        <x:v>0.7458013892173767</x:v>
      </x:c>
      <x:c r="J170" s="99" t="n">
        <x:v>6</x:v>
      </x:c>
      <x:c r="K170" s="100" t="n">
        <x:v>0.015873015873015872</x:v>
      </x:c>
      <x:c r="L170" s="99" t="n">
        <x:v>6</x:v>
      </x:c>
      <x:c r="M170" s="100" t="n">
        <x:v>0.0927334874868393</x:v>
      </x:c>
    </x:row>
    <x:row r="171">
      <x:c r="A171" s="38" t="str">
        <x:v>Q005::B07XQF72ZC_review_1620511</x:v>
      </x:c>
      <x:c r="B171" s="38" t="str">
        <x:v>Q005</x:v>
      </x:c>
      <x:c r="C171" s="38" t="str">
        <x:v>B07XQF72ZC_review_1620511</x:v>
      </x:c>
      <x:c r="D171" s="38" t="str">
        <x:v>B07XQF72ZC</x:v>
      </x:c>
      <x:c r="E171" s="38" t="str">
        <x:v>bm25</x:v>
      </x:c>
      <x:c r="F171" s="99" t="n">
        <x:v>12</x:v>
      </x:c>
      <x:c r="G171" s="100" t="n">
        <x:v>31.263527270442662</x:v>
      </x:c>
      <x:c r="H171" s="99"/>
      <x:c r="I171" s="100"/>
      <x:c r="J171" s="99"/>
      <x:c r="K171" s="100"/>
      <x:c r="L171" s="99"/>
      <x:c r="M171" s="100"/>
    </x:row>
    <x:row r="172">
      <x:c r="A172" s="38" t="str">
        <x:v>Q005::B000BDDFZS_review_3033167</x:v>
      </x:c>
      <x:c r="B172" s="38" t="str">
        <x:v>Q005</x:v>
      </x:c>
      <x:c r="C172" s="38" t="str">
        <x:v>B000BDDFZS_review_3033167</x:v>
      </x:c>
      <x:c r="D172" s="38" t="str">
        <x:v>B000BDDFZS</x:v>
      </x:c>
      <x:c r="E172" s="38" t="str">
        <x:v>dense</x:v>
      </x:c>
      <x:c r="F172" s="99"/>
      <x:c r="G172" s="100"/>
      <x:c r="H172" s="99" t="n">
        <x:v>12</x:v>
      </x:c>
      <x:c r="I172" s="100" t="n">
        <x:v>0.7348754405975342</x:v>
      </x:c>
      <x:c r="J172" s="99"/>
      <x:c r="K172" s="100"/>
      <x:c r="L172" s="99"/>
      <x:c r="M172" s="100"/>
    </x:row>
    <x:row r="173">
      <x:c r="A173" s="38" t="str">
        <x:v>Q005::B002ZVCGXQ_review_4202818</x:v>
      </x:c>
      <x:c r="B173" s="38" t="str">
        <x:v>Q005</x:v>
      </x:c>
      <x:c r="C173" s="38" t="str">
        <x:v>B002ZVCGXQ_review_4202818</x:v>
      </x:c>
      <x:c r="D173" s="38" t="str">
        <x:v>B002ZVCGXQ</x:v>
      </x:c>
      <x:c r="E173" s="38" t="str">
        <x:v>bm25; hybrid_rrf; cross_encoder</x:v>
      </x:c>
      <x:c r="F173" s="99" t="n">
        <x:v>9</x:v>
      </x:c>
      <x:c r="G173" s="100" t="n">
        <x:v>31.39568316387446</x:v>
      </x:c>
      <x:c r="H173" s="99"/>
      <x:c r="I173" s="100"/>
      <x:c r="J173" s="99" t="n">
        <x:v>18</x:v>
      </x:c>
      <x:c r="K173" s="100" t="n">
        <x:v>0.014492753623188406</x:v>
      </x:c>
      <x:c r="L173" s="99" t="n">
        <x:v>8</x:v>
      </x:c>
      <x:c r="M173" s="100" t="n">
        <x:v>-0.06862449645996094</x:v>
      </x:c>
    </x:row>
    <x:row r="174">
      <x:c r="A174" s="38" t="str">
        <x:v>Q005::B00LM6LOCY_review_991226</x:v>
      </x:c>
      <x:c r="B174" s="38" t="str">
        <x:v>Q005</x:v>
      </x:c>
      <x:c r="C174" s="38" t="str">
        <x:v>B00LM6LOCY_review_991226</x:v>
      </x:c>
      <x:c r="D174" s="38" t="str">
        <x:v>B00LM6LOCY</x:v>
      </x:c>
      <x:c r="E174" s="38" t="str">
        <x:v>bm25; hybrid_rrf; cross_encoder</x:v>
      </x:c>
      <x:c r="F174" s="99" t="n">
        <x:v>3</x:v>
      </x:c>
      <x:c r="G174" s="100" t="n">
        <x:v>33.24570077245942</x:v>
      </x:c>
      <x:c r="H174" s="99"/>
      <x:c r="I174" s="100"/>
      <x:c r="J174" s="99" t="n">
        <x:v>5</x:v>
      </x:c>
      <x:c r="K174" s="100" t="n">
        <x:v>0.015873015873015872</x:v>
      </x:c>
      <x:c r="L174" s="99" t="n">
        <x:v>13</x:v>
      </x:c>
      <x:c r="M174" s="100" t="n">
        <x:v>-3.5784196853637695</x:v>
      </x:c>
    </x:row>
    <x:row r="175">
      <x:c r="A175" s="38" t="str">
        <x:v>Q005::B077YHWWG8_review_3517064</x:v>
      </x:c>
      <x:c r="B175" s="38" t="str">
        <x:v>Q005</x:v>
      </x:c>
      <x:c r="C175" s="38" t="str">
        <x:v>B077YHWWG8_review_3517064</x:v>
      </x:c>
      <x:c r="D175" s="38" t="str">
        <x:v>B077YHWWG8</x:v>
      </x:c>
      <x:c r="E175" s="38" t="str">
        <x:v>dense; hybrid_rrf; cross_encoder</x:v>
      </x:c>
      <x:c r="F175" s="99"/>
      <x:c r="G175" s="100"/>
      <x:c r="H175" s="99" t="n">
        <x:v>4</x:v>
      </x:c>
      <x:c r="I175" s="100" t="n">
        <x:v>0.7446354031562805</x:v>
      </x:c>
      <x:c r="J175" s="99" t="n">
        <x:v>8</x:v>
      </x:c>
      <x:c r="K175" s="100" t="n">
        <x:v>0.015625</x:v>
      </x:c>
      <x:c r="L175" s="99" t="n">
        <x:v>7</x:v>
      </x:c>
      <x:c r="M175" s="100" t="n">
        <x:v>0.03699930012226105</x:v>
      </x:c>
    </x:row>
    <x:row r="176">
      <x:c r="A176" s="38" t="str">
        <x:v>Q005::B0BHHM69NF_review_691879</x:v>
      </x:c>
      <x:c r="B176" s="38" t="str">
        <x:v>Q005</x:v>
      </x:c>
      <x:c r="C176" s="38" t="str">
        <x:v>B0BHHM69NF_review_691879</x:v>
      </x:c>
      <x:c r="D176" s="38" t="str">
        <x:v>B0BHHM69NF</x:v>
      </x:c>
      <x:c r="E176" s="38" t="str">
        <x:v>dense</x:v>
      </x:c>
      <x:c r="F176" s="99"/>
      <x:c r="G176" s="100"/>
      <x:c r="H176" s="99" t="n">
        <x:v>17</x:v>
      </x:c>
      <x:c r="I176" s="100" t="n">
        <x:v>0.7328273057937622</x:v>
      </x:c>
      <x:c r="J176" s="99"/>
      <x:c r="K176" s="100"/>
      <x:c r="L176" s="99"/>
      <x:c r="M176" s="100"/>
    </x:row>
    <x:row r="177">
      <x:c r="A177" s="38" t="str">
        <x:v>Q005::B003VWXWWC_review_2534612</x:v>
      </x:c>
      <x:c r="B177" s="38" t="str">
        <x:v>Q005</x:v>
      </x:c>
      <x:c r="C177" s="38" t="str">
        <x:v>B003VWXWWC_review_2534612</x:v>
      </x:c>
      <x:c r="D177" s="38" t="str">
        <x:v>B003VWXWWC</x:v>
      </x:c>
      <x:c r="E177" s="38" t="str">
        <x:v>dense; hybrid_rrf; cross_encoder</x:v>
      </x:c>
      <x:c r="F177" s="99"/>
      <x:c r="G177" s="100"/>
      <x:c r="H177" s="99" t="n">
        <x:v>7</x:v>
      </x:c>
      <x:c r="I177" s="100" t="n">
        <x:v>0.7422144412994385</x:v>
      </x:c>
      <x:c r="J177" s="99" t="n">
        <x:v>13</x:v>
      </x:c>
      <x:c r="K177" s="100" t="n">
        <x:v>0.014925373134328358</x:v>
      </x:c>
      <x:c r="L177" s="99" t="n">
        <x:v>9</x:v>
      </x:c>
      <x:c r="M177" s="100" t="n">
        <x:v>-0.07655263692140579</x:v>
      </x:c>
    </x:row>
    <x:row r="178">
      <x:c r="A178" s="38" t="str">
        <x:v>Q005::B006HIKIG0_review_48618</x:v>
      </x:c>
      <x:c r="B178" s="38" t="str">
        <x:v>Q005</x:v>
      </x:c>
      <x:c r="C178" s="38" t="str">
        <x:v>B006HIKIG0_review_48618</x:v>
      </x:c>
      <x:c r="D178" s="38" t="str">
        <x:v>B006HIKIG0</x:v>
      </x:c>
      <x:c r="E178" s="38" t="str">
        <x:v>bm25; hybrid_rrf; cross_encoder</x:v>
      </x:c>
      <x:c r="F178" s="99" t="n">
        <x:v>6</x:v>
      </x:c>
      <x:c r="G178" s="100" t="n">
        <x:v>31.908427485999006</x:v>
      </x:c>
      <x:c r="H178" s="99"/>
      <x:c r="I178" s="100"/>
      <x:c r="J178" s="99" t="n">
        <x:v>11</x:v>
      </x:c>
      <x:c r="K178" s="100" t="n">
        <x:v>0.015151515151515152</x:v>
      </x:c>
      <x:c r="L178" s="99" t="n">
        <x:v>4</x:v>
      </x:c>
      <x:c r="M178" s="100" t="n">
        <x:v>0.31833457946777344</x:v>
      </x:c>
    </x:row>
    <x:row r="179">
      <x:c r="A179" s="38" t="str">
        <x:v>Q005::B091BJ4CKX_review_2269173</x:v>
      </x:c>
      <x:c r="B179" s="38" t="str">
        <x:v>Q005</x:v>
      </x:c>
      <x:c r="C179" s="38" t="str">
        <x:v>B091BJ4CKX_review_2269173</x:v>
      </x:c>
      <x:c r="D179" s="38" t="str">
        <x:v>B091BJ4CKX</x:v>
      </x:c>
      <x:c r="E179" s="38" t="str">
        <x:v>dense; hybrid_rrf; cross_encoder</x:v>
      </x:c>
      <x:c r="F179" s="99"/>
      <x:c r="G179" s="100"/>
      <x:c r="H179" s="99" t="n">
        <x:v>6</x:v>
      </x:c>
      <x:c r="I179" s="100" t="n">
        <x:v>0.74261873960495</x:v>
      </x:c>
      <x:c r="J179" s="99" t="n">
        <x:v>12</x:v>
      </x:c>
      <x:c r="K179" s="100" t="n">
        <x:v>0.015151515151515152</x:v>
      </x:c>
      <x:c r="L179" s="99" t="n">
        <x:v>20</x:v>
      </x:c>
      <x:c r="M179" s="100" t="n">
        <x:v>-5.016058921813965</x:v>
      </x:c>
    </x:row>
    <x:row r="180">
      <x:c r="A180" s="38" t="str">
        <x:v>Q005::B008YQR8IY_review_4056290</x:v>
      </x:c>
      <x:c r="B180" s="38" t="str">
        <x:v>Q005</x:v>
      </x:c>
      <x:c r="C180" s="38" t="str">
        <x:v>B008YQR8IY_review_4056290</x:v>
      </x:c>
      <x:c r="D180" s="38" t="str">
        <x:v>B008YQR8IY</x:v>
      </x:c>
      <x:c r="E180" s="38" t="str">
        <x:v>bm25</x:v>
      </x:c>
      <x:c r="F180" s="99" t="n">
        <x:v>15</x:v>
      </x:c>
      <x:c r="G180" s="100" t="n">
        <x:v>30.789731441455356</x:v>
      </x:c>
      <x:c r="H180" s="99"/>
      <x:c r="I180" s="100"/>
      <x:c r="J180" s="99"/>
      <x:c r="K180" s="100"/>
      <x:c r="L180" s="99"/>
      <x:c r="M180" s="100"/>
    </x:row>
    <x:row r="181">
      <x:c r="A181" s="38" t="str">
        <x:v>Q005::B07BNBHRN3_review_3409773</x:v>
      </x:c>
      <x:c r="B181" s="38" t="str">
        <x:v>Q005</x:v>
      </x:c>
      <x:c r="C181" s="38" t="str">
        <x:v>B07BNBHRN3_review_3409773</x:v>
      </x:c>
      <x:c r="D181" s="38" t="str">
        <x:v>B07BNBHRN3</x:v>
      </x:c>
      <x:c r="E181" s="38" t="str">
        <x:v>bm25</x:v>
      </x:c>
      <x:c r="F181" s="99" t="n">
        <x:v>16</x:v>
      </x:c>
      <x:c r="G181" s="100" t="n">
        <x:v>30.696557739145483</x:v>
      </x:c>
      <x:c r="H181" s="99"/>
      <x:c r="I181" s="100"/>
      <x:c r="J181" s="99"/>
      <x:c r="K181" s="100"/>
      <x:c r="L181" s="99"/>
      <x:c r="M181" s="100"/>
    </x:row>
    <x:row r="182">
      <x:c r="A182" s="38" t="str">
        <x:v>Q005::B0013AHADQ_review_2517926</x:v>
      </x:c>
      <x:c r="B182" s="38" t="str">
        <x:v>Q005</x:v>
      </x:c>
      <x:c r="C182" s="38" t="str">
        <x:v>B0013AHADQ_review_2517926</x:v>
      </x:c>
      <x:c r="D182" s="38" t="str">
        <x:v>B0013AHADQ</x:v>
      </x:c>
      <x:c r="E182" s="38" t="str">
        <x:v>bm25; hybrid_rrf; cross_encoder</x:v>
      </x:c>
      <x:c r="F182" s="99" t="n">
        <x:v>5</x:v>
      </x:c>
      <x:c r="G182" s="100" t="n">
        <x:v>32.20280828703763</x:v>
      </x:c>
      <x:c r="H182" s="99"/>
      <x:c r="I182" s="100"/>
      <x:c r="J182" s="99" t="n">
        <x:v>9</x:v>
      </x:c>
      <x:c r="K182" s="100" t="n">
        <x:v>0.015384615384615385</x:v>
      </x:c>
      <x:c r="L182" s="99" t="n">
        <x:v>11</x:v>
      </x:c>
      <x:c r="M182" s="100" t="n">
        <x:v>-1.042234182357788</x:v>
      </x:c>
    </x:row>
    <x:row r="183">
      <x:c r="A183" s="38" t="str">
        <x:v>Q005::B00358XT5W_review_3040368</x:v>
      </x:c>
      <x:c r="B183" s="38" t="str">
        <x:v>Q005</x:v>
      </x:c>
      <x:c r="C183" s="38" t="str">
        <x:v>B00358XT5W_review_3040368</x:v>
      </x:c>
      <x:c r="D183" s="38" t="str">
        <x:v>B00358XT5W</x:v>
      </x:c>
      <x:c r="E183" s="38" t="str">
        <x:v>bm25</x:v>
      </x:c>
      <x:c r="F183" s="99" t="n">
        <x:v>14</x:v>
      </x:c>
      <x:c r="G183" s="100" t="n">
        <x:v>30.858275739143522</x:v>
      </x:c>
      <x:c r="H183" s="99"/>
      <x:c r="I183" s="100"/>
      <x:c r="J183" s="99"/>
      <x:c r="K183" s="100"/>
      <x:c r="L183" s="99"/>
      <x:c r="M183" s="100"/>
    </x:row>
    <x:row r="184">
      <x:c r="A184" s="38" t="str">
        <x:v>Q005::B0BHHM69NF_review_691847</x:v>
      </x:c>
      <x:c r="B184" s="38" t="str">
        <x:v>Q005</x:v>
      </x:c>
      <x:c r="C184" s="38" t="str">
        <x:v>B0BHHM69NF_review_691847</x:v>
      </x:c>
      <x:c r="D184" s="38" t="str">
        <x:v>B0BHHM69NF</x:v>
      </x:c>
      <x:c r="E184" s="38" t="str">
        <x:v>dense; hybrid_rrf; cross_encoder</x:v>
      </x:c>
      <x:c r="F184" s="99"/>
      <x:c r="G184" s="100"/>
      <x:c r="H184" s="99" t="n">
        <x:v>1</x:v>
      </x:c>
      <x:c r="I184" s="100" t="n">
        <x:v>0.7462162971496582</x:v>
      </x:c>
      <x:c r="J184" s="99" t="n">
        <x:v>2</x:v>
      </x:c>
      <x:c r="K184" s="100" t="n">
        <x:v>0.01639344262295082</x:v>
      </x:c>
      <x:c r="L184" s="99" t="n">
        <x:v>2</x:v>
      </x:c>
      <x:c r="M184" s="100" t="n">
        <x:v>2.439671516418457</x:v>
      </x:c>
    </x:row>
    <x:row r="185">
      <x:c r="A185" s="38" t="str">
        <x:v>Q005::B0BHHM69NF_review_691835</x:v>
      </x:c>
      <x:c r="B185" s="38" t="str">
        <x:v>Q005</x:v>
      </x:c>
      <x:c r="C185" s="38" t="str">
        <x:v>B0BHHM69NF_review_691835</x:v>
      </x:c>
      <x:c r="D185" s="38" t="str">
        <x:v>B0BHHM69NF</x:v>
      </x:c>
      <x:c r="E185" s="38" t="str">
        <x:v>dense</x:v>
      </x:c>
      <x:c r="F185" s="99"/>
      <x:c r="G185" s="100"/>
      <x:c r="H185" s="99" t="n">
        <x:v>14</x:v>
      </x:c>
      <x:c r="I185" s="100" t="n">
        <x:v>0.7338294982910156</x:v>
      </x:c>
      <x:c r="J185" s="99"/>
      <x:c r="K185" s="100"/>
      <x:c r="L185" s="99"/>
      <x:c r="M185" s="100"/>
    </x:row>
    <x:row r="186">
      <x:c r="A186" s="38" t="str">
        <x:v>Q005::B098RP15P4_review_161107</x:v>
      </x:c>
      <x:c r="B186" s="38" t="str">
        <x:v>Q005</x:v>
      </x:c>
      <x:c r="C186" s="38" t="str">
        <x:v>B098RP15P4_review_161107</x:v>
      </x:c>
      <x:c r="D186" s="38" t="str">
        <x:v>B098RP15P4</x:v>
      </x:c>
      <x:c r="E186" s="38" t="str">
        <x:v>dense</x:v>
      </x:c>
      <x:c r="F186" s="99"/>
      <x:c r="G186" s="100"/>
      <x:c r="H186" s="99" t="n">
        <x:v>18</x:v>
      </x:c>
      <x:c r="I186" s="100" t="n">
        <x:v>0.7322863936424255</x:v>
      </x:c>
      <x:c r="J186" s="99"/>
      <x:c r="K186" s="100"/>
      <x:c r="L186" s="99"/>
      <x:c r="M186" s="100"/>
    </x:row>
    <x:row r="187">
      <x:c r="A187" s="38" t="str">
        <x:v>Q005::B00AYA7NAQ_review_3450301</x:v>
      </x:c>
      <x:c r="B187" s="38" t="str">
        <x:v>Q005</x:v>
      </x:c>
      <x:c r="C187" s="38" t="str">
        <x:v>B00AYA7NAQ_review_3450301</x:v>
      </x:c>
      <x:c r="D187" s="38" t="str">
        <x:v>B00AYA7NAQ</x:v>
      </x:c>
      <x:c r="E187" s="38" t="str">
        <x:v>dense</x:v>
      </x:c>
      <x:c r="F187" s="99"/>
      <x:c r="G187" s="100"/>
      <x:c r="H187" s="99" t="n">
        <x:v>11</x:v>
      </x:c>
      <x:c r="I187" s="100" t="n">
        <x:v>0.7351760864257812</x:v>
      </x:c>
      <x:c r="J187" s="99"/>
      <x:c r="K187" s="100"/>
      <x:c r="L187" s="99"/>
      <x:c r="M187" s="100"/>
    </x:row>
    <x:row r="188">
      <x:c r="A188" s="38" t="str">
        <x:v>Q005::B07NTW86G2_review_1377937</x:v>
      </x:c>
      <x:c r="B188" s="38" t="str">
        <x:v>Q005</x:v>
      </x:c>
      <x:c r="C188" s="38" t="str">
        <x:v>B07NTW86G2_review_1377937</x:v>
      </x:c>
      <x:c r="D188" s="38" t="str">
        <x:v>B07NTW86G2</x:v>
      </x:c>
      <x:c r="E188" s="38" t="str">
        <x:v>bm25</x:v>
      </x:c>
      <x:c r="F188" s="99" t="n">
        <x:v>13</x:v>
      </x:c>
      <x:c r="G188" s="100" t="n">
        <x:v>31.02738769902159</x:v>
      </x:c>
      <x:c r="H188" s="99"/>
      <x:c r="I188" s="100"/>
      <x:c r="J188" s="99"/>
      <x:c r="K188" s="100"/>
      <x:c r="L188" s="99"/>
      <x:c r="M188" s="100"/>
    </x:row>
    <x:row r="189">
      <x:c r="A189" s="38" t="str">
        <x:v>Q005::B000BFW6JM_review_949736</x:v>
      </x:c>
      <x:c r="B189" s="38" t="str">
        <x:v>Q005</x:v>
      </x:c>
      <x:c r="C189" s="38" t="str">
        <x:v>B000BFW6JM_review_949736</x:v>
      </x:c>
      <x:c r="D189" s="38" t="str">
        <x:v>B000BFW6JM</x:v>
      </x:c>
      <x:c r="E189" s="38" t="str">
        <x:v>bm25</x:v>
      </x:c>
      <x:c r="F189" s="99" t="n">
        <x:v>20</x:v>
      </x:c>
      <x:c r="G189" s="100" t="n">
        <x:v>30.595842272928486</x:v>
      </x:c>
      <x:c r="H189" s="99"/>
      <x:c r="I189" s="100"/>
      <x:c r="J189" s="99"/>
      <x:c r="K189" s="100"/>
      <x:c r="L189" s="99"/>
      <x:c r="M189" s="100"/>
    </x:row>
    <x:row r="190">
      <x:c r="A190" s="38" t="str">
        <x:v>Q005::B00123WDQ8_review_1544501</x:v>
      </x:c>
      <x:c r="B190" s="38" t="str">
        <x:v>Q005</x:v>
      </x:c>
      <x:c r="C190" s="38" t="str">
        <x:v>B00123WDQ8_review_1544501</x:v>
      </x:c>
      <x:c r="D190" s="38" t="str">
        <x:v>B00123WDQ8</x:v>
      </x:c>
      <x:c r="E190" s="38" t="str">
        <x:v>dense; hybrid_rrf; cross_encoder</x:v>
      </x:c>
      <x:c r="F190" s="99"/>
      <x:c r="G190" s="100"/>
      <x:c r="H190" s="99" t="n">
        <x:v>8</x:v>
      </x:c>
      <x:c r="I190" s="100" t="n">
        <x:v>0.7403031587600708</x:v>
      </x:c>
      <x:c r="J190" s="99" t="n">
        <x:v>15</x:v>
      </x:c>
      <x:c r="K190" s="100" t="n">
        <x:v>0.014705882352941176</x:v>
      </x:c>
      <x:c r="L190" s="99" t="n">
        <x:v>16</x:v>
      </x:c>
      <x:c r="M190" s="100" t="n">
        <x:v>-4.38079833984375</x:v>
      </x:c>
    </x:row>
    <x:row r="191">
      <x:c r="A191" s="38" t="str">
        <x:v>Q005::B00J0NFLMA_review_4188880</x:v>
      </x:c>
      <x:c r="B191" s="38" t="str">
        <x:v>Q005</x:v>
      </x:c>
      <x:c r="C191" s="38" t="str">
        <x:v>B00J0NFLMA_review_4188880</x:v>
      </x:c>
      <x:c r="D191" s="38" t="str">
        <x:v>B00J0NFLMA</x:v>
      </x:c>
      <x:c r="E191" s="38" t="str">
        <x:v>bm25; hybrid_rrf; cross_encoder</x:v>
      </x:c>
      <x:c r="F191" s="99" t="n">
        <x:v>1</x:v>
      </x:c>
      <x:c r="G191" s="100" t="n">
        <x:v>37.767181442265354</x:v>
      </x:c>
      <x:c r="H191" s="99"/>
      <x:c r="I191" s="100"/>
      <x:c r="J191" s="99" t="n">
        <x:v>1</x:v>
      </x:c>
      <x:c r="K191" s="100" t="n">
        <x:v>0.01639344262295082</x:v>
      </x:c>
      <x:c r="L191" s="99" t="n">
        <x:v>3</x:v>
      </x:c>
      <x:c r="M191" s="100" t="n">
        <x:v>0.41555893421173096</x:v>
      </x:c>
    </x:row>
    <x:row r="192">
      <x:c r="A192" s="38" t="str">
        <x:v>Q005::B091BJ4CKX_review_2269182</x:v>
      </x:c>
      <x:c r="B192" s="38" t="str">
        <x:v>Q005</x:v>
      </x:c>
      <x:c r="C192" s="38" t="str">
        <x:v>B091BJ4CKX_review_2269182</x:v>
      </x:c>
      <x:c r="D192" s="38" t="str">
        <x:v>B091BJ4CKX</x:v>
      </x:c>
      <x:c r="E192" s="38" t="str">
        <x:v>dense; hybrid_rrf; cross_encoder</x:v>
      </x:c>
      <x:c r="F192" s="99"/>
      <x:c r="G192" s="100"/>
      <x:c r="H192" s="99" t="n">
        <x:v>5</x:v>
      </x:c>
      <x:c r="I192" s="100" t="n">
        <x:v>0.7442234754562378</x:v>
      </x:c>
      <x:c r="J192" s="99" t="n">
        <x:v>10</x:v>
      </x:c>
      <x:c r="K192" s="100" t="n">
        <x:v>0.015384615384615385</x:v>
      </x:c>
      <x:c r="L192" s="99" t="n">
        <x:v>14</x:v>
      </x:c>
      <x:c r="M192" s="100" t="n">
        <x:v>-4.169521331787109</x:v>
      </x:c>
    </x:row>
    <x:row r="193">
      <x:c r="A193" s="38" t="str">
        <x:v>Q005::B0055PKSCK_review_2543008</x:v>
      </x:c>
      <x:c r="B193" s="38" t="str">
        <x:v>Q005</x:v>
      </x:c>
      <x:c r="C193" s="38" t="str">
        <x:v>B0055PKSCK_review_2543008</x:v>
      </x:c>
      <x:c r="D193" s="38" t="str">
        <x:v>B0055PKSCK</x:v>
      </x:c>
      <x:c r="E193" s="38" t="str">
        <x:v>bm25; hybrid_rrf; cross_encoder</x:v>
      </x:c>
      <x:c r="F193" s="99" t="n">
        <x:v>7</x:v>
      </x:c>
      <x:c r="G193" s="100" t="n">
        <x:v>31.764436907590692</x:v>
      </x:c>
      <x:c r="H193" s="99"/>
      <x:c r="I193" s="100"/>
      <x:c r="J193" s="99" t="n">
        <x:v>14</x:v>
      </x:c>
      <x:c r="K193" s="100" t="n">
        <x:v>0.014925373134328358</x:v>
      </x:c>
      <x:c r="L193" s="99" t="n">
        <x:v>19</x:v>
      </x:c>
      <x:c r="M193" s="100" t="n">
        <x:v>-4.974384307861328</x:v>
      </x:c>
    </x:row>
    <x:row r="194">
      <x:c r="A194" s="38" t="str">
        <x:v>Q005::B0BHHM69NF_review_691853</x:v>
      </x:c>
      <x:c r="B194" s="38" t="str">
        <x:v>Q005</x:v>
      </x:c>
      <x:c r="C194" s="38" t="str">
        <x:v>B0BHHM69NF_review_691853</x:v>
      </x:c>
      <x:c r="D194" s="38" t="str">
        <x:v>B0BHHM69NF</x:v>
      </x:c>
      <x:c r="E194" s="38" t="str">
        <x:v>dense; hybrid_rrf; cross_encoder</x:v>
      </x:c>
      <x:c r="F194" s="99"/>
      <x:c r="G194" s="100"/>
      <x:c r="H194" s="99" t="n">
        <x:v>10</x:v>
      </x:c>
      <x:c r="I194" s="100" t="n">
        <x:v>0.7365436553955078</x:v>
      </x:c>
      <x:c r="J194" s="99" t="n">
        <x:v>20</x:v>
      </x:c>
      <x:c r="K194" s="100" t="n">
        <x:v>0.014285714285714285</x:v>
      </x:c>
      <x:c r="L194" s="99" t="n">
        <x:v>5</x:v>
      </x:c>
      <x:c r="M194" s="100" t="n">
        <x:v>0.153726726770401</x:v>
      </x:c>
    </x:row>
    <x:row r="195">
      <x:c r="A195" s="38" t="str">
        <x:v>Q005::B0BGBH4RGT_review_3153886</x:v>
      </x:c>
      <x:c r="B195" s="38" t="str">
        <x:v>Q005</x:v>
      </x:c>
      <x:c r="C195" s="38" t="str">
        <x:v>B0BGBH4RGT_review_3153886</x:v>
      </x:c>
      <x:c r="D195" s="38" t="str">
        <x:v>B0BGBH4RGT</x:v>
      </x:c>
      <x:c r="E195" s="38" t="str">
        <x:v>bm25</x:v>
      </x:c>
      <x:c r="F195" s="99" t="n">
        <x:v>11</x:v>
      </x:c>
      <x:c r="G195" s="100" t="n">
        <x:v>31.278413780963504</x:v>
      </x:c>
      <x:c r="H195" s="99"/>
      <x:c r="I195" s="100"/>
      <x:c r="J195" s="99"/>
      <x:c r="K195" s="100"/>
      <x:c r="L195" s="99"/>
      <x:c r="M195" s="100"/>
    </x:row>
    <x:row r="196">
      <x:c r="A196" s="38" t="str">
        <x:v>Q005::B0035JL41M_review_3006394</x:v>
      </x:c>
      <x:c r="B196" s="38" t="str">
        <x:v>Q005</x:v>
      </x:c>
      <x:c r="C196" s="38" t="str">
        <x:v>B0035JL41M_review_3006394</x:v>
      </x:c>
      <x:c r="D196" s="38" t="str">
        <x:v>B0035JL41M</x:v>
      </x:c>
      <x:c r="E196" s="38" t="str">
        <x:v>bm25; hybrid_rrf; cross_encoder</x:v>
      </x:c>
      <x:c r="F196" s="99" t="n">
        <x:v>8</x:v>
      </x:c>
      <x:c r="G196" s="100" t="n">
        <x:v>31.718902557029978</x:v>
      </x:c>
      <x:c r="H196" s="99"/>
      <x:c r="I196" s="100"/>
      <x:c r="J196" s="99" t="n">
        <x:v>16</x:v>
      </x:c>
      <x:c r="K196" s="100" t="n">
        <x:v>0.014705882352941176</x:v>
      </x:c>
      <x:c r="L196" s="99" t="n">
        <x:v>17</x:v>
      </x:c>
      <x:c r="M196" s="100" t="n">
        <x:v>-4.571582794189453</x:v>
      </x:c>
    </x:row>
    <x:row r="197">
      <x:c r="A197" s="38" t="str">
        <x:v>Q005::B00SET896Q_review_3975826</x:v>
      </x:c>
      <x:c r="B197" s="38" t="str">
        <x:v>Q005</x:v>
      </x:c>
      <x:c r="C197" s="38" t="str">
        <x:v>B00SET896Q_review_3975826</x:v>
      </x:c>
      <x:c r="D197" s="38" t="str">
        <x:v>B00SET896Q</x:v>
      </x:c>
      <x:c r="E197" s="38" t="str">
        <x:v>dense; hybrid_rrf; cross_encoder</x:v>
      </x:c>
      <x:c r="F197" s="99"/>
      <x:c r="G197" s="100"/>
      <x:c r="H197" s="99" t="n">
        <x:v>2</x:v>
      </x:c>
      <x:c r="I197" s="100" t="n">
        <x:v>0.7461826801300049</x:v>
      </x:c>
      <x:c r="J197" s="99" t="n">
        <x:v>4</x:v>
      </x:c>
      <x:c r="K197" s="100" t="n">
        <x:v>0.016129032258064516</x:v>
      </x:c>
      <x:c r="L197" s="99" t="n">
        <x:v>18</x:v>
      </x:c>
      <x:c r="M197" s="100" t="n">
        <x:v>-4.679981231689453</x:v>
      </x:c>
    </x:row>
    <x:row r="198">
      <x:c r="A198" s="38" t="str">
        <x:v>Q006::B0044T2ST4_review_3064466</x:v>
      </x:c>
      <x:c r="B198" s="38" t="str">
        <x:v>Q006</x:v>
      </x:c>
      <x:c r="C198" s="38" t="str">
        <x:v>B0044T2ST4_review_3064466</x:v>
      </x:c>
      <x:c r="D198" s="38" t="str">
        <x:v>B0044T2ST4</x:v>
      </x:c>
      <x:c r="E198" s="38" t="str">
        <x:v>bm25</x:v>
      </x:c>
      <x:c r="F198" s="99" t="n">
        <x:v>20</x:v>
      </x:c>
      <x:c r="G198" s="100" t="n">
        <x:v>29.2766601226862</x:v>
      </x:c>
      <x:c r="H198" s="99"/>
      <x:c r="I198" s="100"/>
      <x:c r="J198" s="99"/>
      <x:c r="K198" s="100"/>
      <x:c r="L198" s="99"/>
      <x:c r="M198" s="100"/>
    </x:row>
    <x:row r="199">
      <x:c r="A199" s="38" t="str">
        <x:v>Q006::B004LUY65U_review_29404</x:v>
      </x:c>
      <x:c r="B199" s="38" t="str">
        <x:v>Q006</x:v>
      </x:c>
      <x:c r="C199" s="38" t="str">
        <x:v>B004LUY65U_review_29404</x:v>
      </x:c>
      <x:c r="D199" s="38" t="str">
        <x:v>B004LUY65U</x:v>
      </x:c>
      <x:c r="E199" s="38" t="str">
        <x:v>dense; hybrid_rrf; cross_encoder</x:v>
      </x:c>
      <x:c r="F199" s="99"/>
      <x:c r="G199" s="100"/>
      <x:c r="H199" s="99" t="n">
        <x:v>8</x:v>
      </x:c>
      <x:c r="I199" s="100" t="n">
        <x:v>0.7518066167831421</x:v>
      </x:c>
      <x:c r="J199" s="99" t="n">
        <x:v>14</x:v>
      </x:c>
      <x:c r="K199" s="100" t="n">
        <x:v>0.014705882352941176</x:v>
      </x:c>
      <x:c r="L199" s="99" t="n">
        <x:v>8</x:v>
      </x:c>
      <x:c r="M199" s="100" t="n">
        <x:v>3.064361095428467</x:v>
      </x:c>
    </x:row>
    <x:row r="200">
      <x:c r="A200" s="38" t="str">
        <x:v>Q006::B01LT692RK_review_234881</x:v>
      </x:c>
      <x:c r="B200" s="38" t="str">
        <x:v>Q006</x:v>
      </x:c>
      <x:c r="C200" s="38" t="str">
        <x:v>B01LT692RK_review_234881</x:v>
      </x:c>
      <x:c r="D200" s="38" t="str">
        <x:v>B01LT692RK</x:v>
      </x:c>
      <x:c r="E200" s="38" t="str">
        <x:v>dense; hybrid_rrf; cross_encoder</x:v>
      </x:c>
      <x:c r="F200" s="99"/>
      <x:c r="G200" s="100"/>
      <x:c r="H200" s="99" t="n">
        <x:v>3</x:v>
      </x:c>
      <x:c r="I200" s="100" t="n">
        <x:v>0.7618155479431152</x:v>
      </x:c>
      <x:c r="J200" s="99" t="n">
        <x:v>5</x:v>
      </x:c>
      <x:c r="K200" s="100" t="n">
        <x:v>0.015873015873015872</x:v>
      </x:c>
      <x:c r="L200" s="99" t="n">
        <x:v>2</x:v>
      </x:c>
      <x:c r="M200" s="100" t="n">
        <x:v>4.535671234130859</x:v>
      </x:c>
    </x:row>
    <x:row r="201">
      <x:c r="A201" s="38" t="str">
        <x:v>Q006::B01MYBI5KR_review_3827213</x:v>
      </x:c>
      <x:c r="B201" s="38" t="str">
        <x:v>Q006</x:v>
      </x:c>
      <x:c r="C201" s="38" t="str">
        <x:v>B01MYBI5KR_review_3827213</x:v>
      </x:c>
      <x:c r="D201" s="38" t="str">
        <x:v>B01MYBI5KR</x:v>
      </x:c>
      <x:c r="E201" s="38" t="str">
        <x:v>bm25; hybrid_rrf; cross_encoder</x:v>
      </x:c>
      <x:c r="F201" s="99" t="n">
        <x:v>3</x:v>
      </x:c>
      <x:c r="G201" s="100" t="n">
        <x:v>31.213965405087222</x:v>
      </x:c>
      <x:c r="H201" s="99"/>
      <x:c r="I201" s="100"/>
      <x:c r="J201" s="99" t="n">
        <x:v>6</x:v>
      </x:c>
      <x:c r="K201" s="100" t="n">
        <x:v>0.015873015873015872</x:v>
      </x:c>
      <x:c r="L201" s="99" t="n">
        <x:v>9</x:v>
      </x:c>
      <x:c r="M201" s="100" t="n">
        <x:v>2.740842819213867</x:v>
      </x:c>
    </x:row>
    <x:row r="202">
      <x:c r="A202" s="38" t="str">
        <x:v>Q006::B003WIYMA6_review_1892835</x:v>
      </x:c>
      <x:c r="B202" s="38" t="str">
        <x:v>Q006</x:v>
      </x:c>
      <x:c r="C202" s="38" t="str">
        <x:v>B003WIYMA6_review_1892835</x:v>
      </x:c>
      <x:c r="D202" s="38" t="str">
        <x:v>B003WIYMA6</x:v>
      </x:c>
      <x:c r="E202" s="38" t="str">
        <x:v>dense</x:v>
      </x:c>
      <x:c r="F202" s="99"/>
      <x:c r="G202" s="100"/>
      <x:c r="H202" s="99" t="n">
        <x:v>14</x:v>
      </x:c>
      <x:c r="I202" s="100" t="n">
        <x:v>0.740617036819458</x:v>
      </x:c>
      <x:c r="J202" s="99"/>
      <x:c r="K202" s="100"/>
      <x:c r="L202" s="99"/>
      <x:c r="M202" s="100"/>
    </x:row>
    <x:row r="203">
      <x:c r="A203" s="38" t="str">
        <x:v>Q006::B0039NMF6C_review_3984995</x:v>
      </x:c>
      <x:c r="B203" s="38" t="str">
        <x:v>Q006</x:v>
      </x:c>
      <x:c r="C203" s="38" t="str">
        <x:v>B0039NMF6C_review_3984995</x:v>
      </x:c>
      <x:c r="D203" s="38" t="str">
        <x:v>B0039NMF6C</x:v>
      </x:c>
      <x:c r="E203" s="38" t="str">
        <x:v>dense</x:v>
      </x:c>
      <x:c r="F203" s="99"/>
      <x:c r="G203" s="100"/>
      <x:c r="H203" s="99" t="n">
        <x:v>17</x:v>
      </x:c>
      <x:c r="I203" s="100" t="n">
        <x:v>0.7383883595466614</x:v>
      </x:c>
      <x:c r="J203" s="99"/>
      <x:c r="K203" s="100"/>
      <x:c r="L203" s="99"/>
      <x:c r="M203" s="100"/>
    </x:row>
    <x:row r="204">
      <x:c r="A204" s="38" t="str">
        <x:v>Q006::B006LX2NWI_review_3565149</x:v>
      </x:c>
      <x:c r="B204" s="38" t="str">
        <x:v>Q006</x:v>
      </x:c>
      <x:c r="C204" s="38" t="str">
        <x:v>B006LX2NWI_review_3565149</x:v>
      </x:c>
      <x:c r="D204" s="38" t="str">
        <x:v>B006LX2NWI</x:v>
      </x:c>
      <x:c r="E204" s="38" t="str">
        <x:v>bm25; hybrid_rrf; cross_encoder</x:v>
      </x:c>
      <x:c r="F204" s="99" t="n">
        <x:v>6</x:v>
      </x:c>
      <x:c r="G204" s="100" t="n">
        <x:v>30.836753028055416</x:v>
      </x:c>
      <x:c r="H204" s="99"/>
      <x:c r="I204" s="100"/>
      <x:c r="J204" s="99" t="n">
        <x:v>10</x:v>
      </x:c>
      <x:c r="K204" s="100" t="n">
        <x:v>0.015151515151515152</x:v>
      </x:c>
      <x:c r="L204" s="99" t="n">
        <x:v>11</x:v>
      </x:c>
      <x:c r="M204" s="100" t="n">
        <x:v>2.0508463382720947</x:v>
      </x:c>
    </x:row>
    <x:row r="205">
      <x:c r="A205" s="38" t="str">
        <x:v>Q006::B002BDUAU4_review_2419450</x:v>
      </x:c>
      <x:c r="B205" s="38" t="str">
        <x:v>Q006</x:v>
      </x:c>
      <x:c r="C205" s="38" t="str">
        <x:v>B002BDUAU4_review_2419450</x:v>
      </x:c>
      <x:c r="D205" s="38" t="str">
        <x:v>B002BDUAU4</x:v>
      </x:c>
      <x:c r="E205" s="38" t="str">
        <x:v>bm25; hybrid_rrf; cross_encoder</x:v>
      </x:c>
      <x:c r="F205" s="99" t="n">
        <x:v>9</x:v>
      </x:c>
      <x:c r="G205" s="100" t="n">
        <x:v>30.273667476274156</x:v>
      </x:c>
      <x:c r="H205" s="99"/>
      <x:c r="I205" s="100"/>
      <x:c r="J205" s="99" t="n">
        <x:v>16</x:v>
      </x:c>
      <x:c r="K205" s="100" t="n">
        <x:v>0.014492753623188406</x:v>
      </x:c>
      <x:c r="L205" s="99" t="n">
        <x:v>10</x:v>
      </x:c>
      <x:c r="M205" s="100" t="n">
        <x:v>2.658874750137329</x:v>
      </x:c>
    </x:row>
    <x:row r="206">
      <x:c r="A206" s="38" t="str">
        <x:v>Q006::B01LT692RK_review_234905</x:v>
      </x:c>
      <x:c r="B206" s="38" t="str">
        <x:v>Q006</x:v>
      </x:c>
      <x:c r="C206" s="38" t="str">
        <x:v>B01LT692RK_review_234905</x:v>
      </x:c>
      <x:c r="D206" s="38" t="str">
        <x:v>B01LT692RK</x:v>
      </x:c>
      <x:c r="E206" s="38" t="str">
        <x:v>dense; hybrid_rrf; cross_encoder</x:v>
      </x:c>
      <x:c r="F206" s="99"/>
      <x:c r="G206" s="100"/>
      <x:c r="H206" s="99" t="n">
        <x:v>5</x:v>
      </x:c>
      <x:c r="I206" s="100" t="n">
        <x:v>0.757179856300354</x:v>
      </x:c>
      <x:c r="J206" s="99" t="n">
        <x:v>9</x:v>
      </x:c>
      <x:c r="K206" s="100" t="n">
        <x:v>0.015384615384615385</x:v>
      </x:c>
      <x:c r="L206" s="99" t="n">
        <x:v>5</x:v>
      </x:c>
      <x:c r="M206" s="100" t="n">
        <x:v>3.856212854385376</x:v>
      </x:c>
    </x:row>
    <x:row r="207">
      <x:c r="A207" s="38" t="str">
        <x:v>Q006::B002SJ38M8_review_1624089</x:v>
      </x:c>
      <x:c r="B207" s="38" t="str">
        <x:v>Q006</x:v>
      </x:c>
      <x:c r="C207" s="38" t="str">
        <x:v>B002SJ38M8_review_1624089</x:v>
      </x:c>
      <x:c r="D207" s="38" t="str">
        <x:v>B002SJ38M8</x:v>
      </x:c>
      <x:c r="E207" s="38" t="str">
        <x:v>bm25; hybrid_rrf; cross_encoder</x:v>
      </x:c>
      <x:c r="F207" s="99" t="n">
        <x:v>1</x:v>
      </x:c>
      <x:c r="G207" s="100" t="n">
        <x:v>31.4817462534819</x:v>
      </x:c>
      <x:c r="H207" s="99"/>
      <x:c r="I207" s="100"/>
      <x:c r="J207" s="99" t="n">
        <x:v>2</x:v>
      </x:c>
      <x:c r="K207" s="100" t="n">
        <x:v>0.01639344262295082</x:v>
      </x:c>
      <x:c r="L207" s="99" t="n">
        <x:v>7</x:v>
      </x:c>
      <x:c r="M207" s="100" t="n">
        <x:v>3.462845802307129</x:v>
      </x:c>
    </x:row>
    <x:row r="208">
      <x:c r="A208" s="38" t="str">
        <x:v>Q006::B0BHSWS8NV_review_3286892</x:v>
      </x:c>
      <x:c r="B208" s="38" t="str">
        <x:v>Q006</x:v>
      </x:c>
      <x:c r="C208" s="38" t="str">
        <x:v>B0BHSWS8NV_review_3286892</x:v>
      </x:c>
      <x:c r="D208" s="38" t="str">
        <x:v>B0BHSWS8NV</x:v>
      </x:c>
      <x:c r="E208" s="38" t="str">
        <x:v>bm25; hybrid_rrf; cross_encoder</x:v>
      </x:c>
      <x:c r="F208" s="99" t="n">
        <x:v>2</x:v>
      </x:c>
      <x:c r="G208" s="100" t="n">
        <x:v>31.39428790498507</x:v>
      </x:c>
      <x:c r="H208" s="99"/>
      <x:c r="I208" s="100"/>
      <x:c r="J208" s="99" t="n">
        <x:v>4</x:v>
      </x:c>
      <x:c r="K208" s="100" t="n">
        <x:v>0.016129032258064516</x:v>
      </x:c>
      <x:c r="L208" s="99" t="n">
        <x:v>17</x:v>
      </x:c>
      <x:c r="M208" s="100" t="n">
        <x:v>-1.0997228622436523</x:v>
      </x:c>
    </x:row>
    <x:row r="209">
      <x:c r="A209" s="38" t="str">
        <x:v>Q006::B07RGJRVH7_review_601024</x:v>
      </x:c>
      <x:c r="B209" s="38" t="str">
        <x:v>Q006</x:v>
      </x:c>
      <x:c r="C209" s="38" t="str">
        <x:v>B07RGJRVH7_review_601024</x:v>
      </x:c>
      <x:c r="D209" s="38" t="str">
        <x:v>B07RGJRVH7</x:v>
      </x:c>
      <x:c r="E209" s="38" t="str">
        <x:v>bm25</x:v>
      </x:c>
      <x:c r="F209" s="99" t="n">
        <x:v>15</x:v>
      </x:c>
      <x:c r="G209" s="100" t="n">
        <x:v>29.52383584608745</x:v>
      </x:c>
      <x:c r="H209" s="99"/>
      <x:c r="I209" s="100"/>
      <x:c r="J209" s="99"/>
      <x:c r="K209" s="100"/>
      <x:c r="L209" s="99"/>
      <x:c r="M209" s="100"/>
    </x:row>
    <x:row r="210">
      <x:c r="A210" s="38" t="str">
        <x:v>Q006::B0C6KBMYM5_review_88775</x:v>
      </x:c>
      <x:c r="B210" s="38" t="str">
        <x:v>Q006</x:v>
      </x:c>
      <x:c r="C210" s="38" t="str">
        <x:v>B0C6KBMYM5_review_88775</x:v>
      </x:c>
      <x:c r="D210" s="38" t="str">
        <x:v>B0C6KBMYM5</x:v>
      </x:c>
      <x:c r="E210" s="38" t="str">
        <x:v>bm25</x:v>
      </x:c>
      <x:c r="F210" s="99" t="n">
        <x:v>13</x:v>
      </x:c>
      <x:c r="G210" s="100" t="n">
        <x:v>29.68332719761798</x:v>
      </x:c>
      <x:c r="H210" s="99"/>
      <x:c r="I210" s="100"/>
      <x:c r="J210" s="99"/>
      <x:c r="K210" s="100"/>
      <x:c r="L210" s="99"/>
      <x:c r="M210" s="100"/>
    </x:row>
    <x:row r="211">
      <x:c r="A211" s="38" t="str">
        <x:v>Q006::B01EOQZE9W_review_3279261</x:v>
      </x:c>
      <x:c r="B211" s="38" t="str">
        <x:v>Q006</x:v>
      </x:c>
      <x:c r="C211" s="38" t="str">
        <x:v>B01EOQZE9W_review_3279261</x:v>
      </x:c>
      <x:c r="D211" s="38" t="str">
        <x:v>B01EOQZE9W</x:v>
      </x:c>
      <x:c r="E211" s="38" t="str">
        <x:v>bm25; hybrid_rrf; cross_encoder</x:v>
      </x:c>
      <x:c r="F211" s="99" t="n">
        <x:v>5</x:v>
      </x:c>
      <x:c r="G211" s="100" t="n">
        <x:v>31.052332539094678</x:v>
      </x:c>
      <x:c r="H211" s="99"/>
      <x:c r="I211" s="100"/>
      <x:c r="J211" s="99" t="n">
        <x:v>8</x:v>
      </x:c>
      <x:c r="K211" s="100" t="n">
        <x:v>0.015384615384615385</x:v>
      </x:c>
      <x:c r="L211" s="99" t="n">
        <x:v>19</x:v>
      </x:c>
      <x:c r="M211" s="100" t="n">
        <x:v>-3.1374473571777344</x:v>
      </x:c>
    </x:row>
    <x:row r="212">
      <x:c r="A212" s="38" t="str">
        <x:v>Q006::B002PK154S_review_106266</x:v>
      </x:c>
      <x:c r="B212" s="38" t="str">
        <x:v>Q006</x:v>
      </x:c>
      <x:c r="C212" s="38" t="str">
        <x:v>B002PK154S_review_106266</x:v>
      </x:c>
      <x:c r="D212" s="38" t="str">
        <x:v>B002PK154S</x:v>
      </x:c>
      <x:c r="E212" s="38" t="str">
        <x:v>bm25; hybrid_rrf; cross_encoder</x:v>
      </x:c>
      <x:c r="F212" s="99" t="n">
        <x:v>7</x:v>
      </x:c>
      <x:c r="G212" s="100" t="n">
        <x:v>30.76624035324179</x:v>
      </x:c>
      <x:c r="H212" s="99"/>
      <x:c r="I212" s="100"/>
      <x:c r="J212" s="99" t="n">
        <x:v>12</x:v>
      </x:c>
      <x:c r="K212" s="100" t="n">
        <x:v>0.014925373134328358</x:v>
      </x:c>
      <x:c r="L212" s="99" t="n">
        <x:v>6</x:v>
      </x:c>
      <x:c r="M212" s="100" t="n">
        <x:v>3.563404083251953</x:v>
      </x:c>
    </x:row>
    <x:row r="213">
      <x:c r="A213" s="38" t="str">
        <x:v>Q006::B0029PQFT4_review_3457886</x:v>
      </x:c>
      <x:c r="B213" s="38" t="str">
        <x:v>Q006</x:v>
      </x:c>
      <x:c r="C213" s="38" t="str">
        <x:v>B0029PQFT4_review_3457886</x:v>
      </x:c>
      <x:c r="D213" s="38" t="str">
        <x:v>B0029PQFT4</x:v>
      </x:c>
      <x:c r="E213" s="38" t="str">
        <x:v>bm25</x:v>
      </x:c>
      <x:c r="F213" s="99" t="n">
        <x:v>17</x:v>
      </x:c>
      <x:c r="G213" s="100" t="n">
        <x:v>29.415426380773447</x:v>
      </x:c>
      <x:c r="H213" s="99"/>
      <x:c r="I213" s="100"/>
      <x:c r="J213" s="99"/>
      <x:c r="K213" s="100"/>
      <x:c r="L213" s="99"/>
      <x:c r="M213" s="100"/>
    </x:row>
    <x:row r="214">
      <x:c r="A214" s="38" t="str">
        <x:v>Q006::B08HWCGDL8_review_1823664</x:v>
      </x:c>
      <x:c r="B214" s="38" t="str">
        <x:v>Q006</x:v>
      </x:c>
      <x:c r="C214" s="38" t="str">
        <x:v>B08HWCGDL8_review_1823664</x:v>
      </x:c>
      <x:c r="D214" s="38" t="str">
        <x:v>B08HWCGDL8</x:v>
      </x:c>
      <x:c r="E214" s="38" t="str">
        <x:v>bm25; hybrid_rrf; cross_encoder</x:v>
      </x:c>
      <x:c r="F214" s="99" t="n">
        <x:v>8</x:v>
      </x:c>
      <x:c r="G214" s="100" t="n">
        <x:v>30.438101357593432</x:v>
      </x:c>
      <x:c r="H214" s="99"/>
      <x:c r="I214" s="100"/>
      <x:c r="J214" s="99" t="n">
        <x:v>15</x:v>
      </x:c>
      <x:c r="K214" s="100" t="n">
        <x:v>0.014705882352941176</x:v>
      </x:c>
      <x:c r="L214" s="99" t="n">
        <x:v>15</x:v>
      </x:c>
      <x:c r="M214" s="100" t="n">
        <x:v>0.43299388885498047</x:v>
      </x:c>
    </x:row>
    <x:row r="215">
      <x:c r="A215" s="38" t="str">
        <x:v>Q006::B09VSQ1148_review_3659601</x:v>
      </x:c>
      <x:c r="B215" s="38" t="str">
        <x:v>Q006</x:v>
      </x:c>
      <x:c r="C215" s="38" t="str">
        <x:v>B09VSQ1148_review_3659601</x:v>
      </x:c>
      <x:c r="D215" s="38" t="str">
        <x:v>B09VSQ1148</x:v>
      </x:c>
      <x:c r="E215" s="38" t="str">
        <x:v>bm25</x:v>
      </x:c>
      <x:c r="F215" s="99" t="n">
        <x:v>19</x:v>
      </x:c>
      <x:c r="G215" s="100" t="n">
        <x:v>29.313638969041328</x:v>
      </x:c>
      <x:c r="H215" s="99"/>
      <x:c r="I215" s="100"/>
      <x:c r="J215" s="99"/>
      <x:c r="K215" s="100"/>
      <x:c r="L215" s="99"/>
      <x:c r="M215" s="100"/>
    </x:row>
    <x:row r="216">
      <x:c r="A216" s="38" t="str">
        <x:v>Q006::B003WIYMA6_review_1892850</x:v>
      </x:c>
      <x:c r="B216" s="38" t="str">
        <x:v>Q006</x:v>
      </x:c>
      <x:c r="C216" s="38" t="str">
        <x:v>B003WIYMA6_review_1892850</x:v>
      </x:c>
      <x:c r="D216" s="38" t="str">
        <x:v>B003WIYMA6</x:v>
      </x:c>
      <x:c r="E216" s="38" t="str">
        <x:v>dense; hybrid_rrf; cross_encoder</x:v>
      </x:c>
      <x:c r="F216" s="99"/>
      <x:c r="G216" s="100"/>
      <x:c r="H216" s="99" t="n">
        <x:v>7</x:v>
      </x:c>
      <x:c r="I216" s="100" t="n">
        <x:v>0.7535606026649475</x:v>
      </x:c>
      <x:c r="J216" s="99" t="n">
        <x:v>13</x:v>
      </x:c>
      <x:c r="K216" s="100" t="n">
        <x:v>0.014925373134328358</x:v>
      </x:c>
      <x:c r="L216" s="99" t="n">
        <x:v>12</x:v>
      </x:c>
      <x:c r="M216" s="100" t="n">
        <x:v>1.266021490097046</x:v>
      </x:c>
    </x:row>
    <x:row r="217">
      <x:c r="A217" s="38" t="str">
        <x:v>Q006::B0039NMF6C_review_3985025</x:v>
      </x:c>
      <x:c r="B217" s="38" t="str">
        <x:v>Q006</x:v>
      </x:c>
      <x:c r="C217" s="38" t="str">
        <x:v>B0039NMF6C_review_3985025</x:v>
      </x:c>
      <x:c r="D217" s="38" t="str">
        <x:v>B0039NMF6C</x:v>
      </x:c>
      <x:c r="E217" s="38" t="str">
        <x:v>dense; hybrid_rrf; cross_encoder</x:v>
      </x:c>
      <x:c r="F217" s="99"/>
      <x:c r="G217" s="100"/>
      <x:c r="H217" s="99" t="n">
        <x:v>11</x:v>
      </x:c>
      <x:c r="I217" s="100" t="n">
        <x:v>0.7445523738861084</x:v>
      </x:c>
      <x:c r="J217" s="99" t="n">
        <x:v>20</x:v>
      </x:c>
      <x:c r="K217" s="100" t="n">
        <x:v>0.014084507042253521</x:v>
      </x:c>
      <x:c r="L217" s="99" t="n">
        <x:v>14</x:v>
      </x:c>
      <x:c r="M217" s="100" t="n">
        <x:v>0.628816545009613</x:v>
      </x:c>
    </x:row>
    <x:row r="218">
      <x:c r="A218" s="38" t="str">
        <x:v>Q006::B0034H2YNM_review_736310</x:v>
      </x:c>
      <x:c r="B218" s="38" t="str">
        <x:v>Q006</x:v>
      </x:c>
      <x:c r="C218" s="38" t="str">
        <x:v>B0034H2YNM_review_736310</x:v>
      </x:c>
      <x:c r="D218" s="38" t="str">
        <x:v>B0034H2YNM</x:v>
      </x:c>
      <x:c r="E218" s="38" t="str">
        <x:v>dense; hybrid_rrf; cross_encoder</x:v>
      </x:c>
      <x:c r="F218" s="99"/>
      <x:c r="G218" s="100"/>
      <x:c r="H218" s="99" t="n">
        <x:v>9</x:v>
      </x:c>
      <x:c r="I218" s="100" t="n">
        <x:v>0.7496776580810547</x:v>
      </x:c>
      <x:c r="J218" s="99" t="n">
        <x:v>17</x:v>
      </x:c>
      <x:c r="K218" s="100" t="n">
        <x:v>0.014492753623188406</x:v>
      </x:c>
      <x:c r="L218" s="99" t="n">
        <x:v>13</x:v>
      </x:c>
      <x:c r="M218" s="100" t="n">
        <x:v>0.6808394193649292</x:v>
      </x:c>
    </x:row>
    <x:row r="219">
      <x:c r="A219" s="38" t="str">
        <x:v>Q006::B071QY55YZ_review_2669274</x:v>
      </x:c>
      <x:c r="B219" s="38" t="str">
        <x:v>Q006</x:v>
      </x:c>
      <x:c r="C219" s="38" t="str">
        <x:v>B071QY55YZ_review_2669274</x:v>
      </x:c>
      <x:c r="D219" s="38" t="str">
        <x:v>B071QY55YZ</x:v>
      </x:c>
      <x:c r="E219" s="38" t="str">
        <x:v>bm25</x:v>
      </x:c>
      <x:c r="F219" s="99" t="n">
        <x:v>14</x:v>
      </x:c>
      <x:c r="G219" s="100" t="n">
        <x:v>29.590212009885</x:v>
      </x:c>
      <x:c r="H219" s="99"/>
      <x:c r="I219" s="100"/>
      <x:c r="J219" s="99"/>
      <x:c r="K219" s="100"/>
      <x:c r="L219" s="99"/>
      <x:c r="M219" s="100"/>
    </x:row>
    <x:row r="220">
      <x:c r="A220" s="38" t="str">
        <x:v>Q006::B00BM1PWTU_review_1850179</x:v>
      </x:c>
      <x:c r="B220" s="38" t="str">
        <x:v>Q006</x:v>
      </x:c>
      <x:c r="C220" s="38" t="str">
        <x:v>B00BM1PWTU_review_1850179</x:v>
      </x:c>
      <x:c r="D220" s="38" t="str">
        <x:v>B00BM1PWTU</x:v>
      </x:c>
      <x:c r="E220" s="38" t="str">
        <x:v>dense; hybrid_rrf; cross_encoder</x:v>
      </x:c>
      <x:c r="F220" s="99"/>
      <x:c r="G220" s="100"/>
      <x:c r="H220" s="99" t="n">
        <x:v>10</x:v>
      </x:c>
      <x:c r="I220" s="100" t="n">
        <x:v>0.7486644983291626</x:v>
      </x:c>
      <x:c r="J220" s="99" t="n">
        <x:v>19</x:v>
      </x:c>
      <x:c r="K220" s="100" t="n">
        <x:v>0.014285714285714285</x:v>
      </x:c>
      <x:c r="L220" s="99" t="n">
        <x:v>18</x:v>
      </x:c>
      <x:c r="M220" s="100" t="n">
        <x:v>-2.214287281036377</x:v>
      </x:c>
    </x:row>
    <x:row r="221">
      <x:c r="A221" s="38" t="str">
        <x:v>Q006::B0039NMF6C_review_3985015</x:v>
      </x:c>
      <x:c r="B221" s="38" t="str">
        <x:v>Q006</x:v>
      </x:c>
      <x:c r="C221" s="38" t="str">
        <x:v>B0039NMF6C_review_3985015</x:v>
      </x:c>
      <x:c r="D221" s="38" t="str">
        <x:v>B0039NMF6C</x:v>
      </x:c>
      <x:c r="E221" s="38" t="str">
        <x:v>dense</x:v>
      </x:c>
      <x:c r="F221" s="99"/>
      <x:c r="G221" s="100"/>
      <x:c r="H221" s="99" t="n">
        <x:v>16</x:v>
      </x:c>
      <x:c r="I221" s="100" t="n">
        <x:v>0.7397732734680176</x:v>
      </x:c>
      <x:c r="J221" s="99"/>
      <x:c r="K221" s="100"/>
      <x:c r="L221" s="99"/>
      <x:c r="M221" s="100"/>
    </x:row>
    <x:row r="222">
      <x:c r="A222" s="38" t="str">
        <x:v>Q006::B003WIYMA6_review_1892834</x:v>
      </x:c>
      <x:c r="B222" s="38" t="str">
        <x:v>Q006</x:v>
      </x:c>
      <x:c r="C222" s="38" t="str">
        <x:v>B003WIYMA6_review_1892834</x:v>
      </x:c>
      <x:c r="D222" s="38" t="str">
        <x:v>B003WIYMA6</x:v>
      </x:c>
      <x:c r="E222" s="38" t="str">
        <x:v>dense</x:v>
      </x:c>
      <x:c r="F222" s="99"/>
      <x:c r="G222" s="100"/>
      <x:c r="H222" s="99" t="n">
        <x:v>20</x:v>
      </x:c>
      <x:c r="I222" s="100" t="n">
        <x:v>0.7373900413513184</x:v>
      </x:c>
      <x:c r="J222" s="99"/>
      <x:c r="K222" s="100"/>
      <x:c r="L222" s="99"/>
      <x:c r="M222" s="100"/>
    </x:row>
    <x:row r="223">
      <x:c r="A223" s="38" t="str">
        <x:v>Q006::B07QR73VNB_review_3710992</x:v>
      </x:c>
      <x:c r="B223" s="38" t="str">
        <x:v>Q006</x:v>
      </x:c>
      <x:c r="C223" s="38" t="str">
        <x:v>B07QR73VNB_review_3710992</x:v>
      </x:c>
      <x:c r="D223" s="38" t="str">
        <x:v>B07QR73VNB</x:v>
      </x:c>
      <x:c r="E223" s="38" t="str">
        <x:v>dense</x:v>
      </x:c>
      <x:c r="F223" s="99"/>
      <x:c r="G223" s="100"/>
      <x:c r="H223" s="99" t="n">
        <x:v>15</x:v>
      </x:c>
      <x:c r="I223" s="100" t="n">
        <x:v>0.7402492761611938</x:v>
      </x:c>
      <x:c r="J223" s="99"/>
      <x:c r="K223" s="100"/>
      <x:c r="L223" s="99"/>
      <x:c r="M223" s="100"/>
    </x:row>
    <x:row r="224">
      <x:c r="A224" s="38" t="str">
        <x:v>Q006::B01LT692RK_review_234900</x:v>
      </x:c>
      <x:c r="B224" s="38" t="str">
        <x:v>Q006</x:v>
      </x:c>
      <x:c r="C224" s="38" t="str">
        <x:v>B01LT692RK_review_234900</x:v>
      </x:c>
      <x:c r="D224" s="38" t="str">
        <x:v>B01LT692RK</x:v>
      </x:c>
      <x:c r="E224" s="38" t="str">
        <x:v>dense; hybrid_rrf; cross_encoder</x:v>
      </x:c>
      <x:c r="F224" s="99"/>
      <x:c r="G224" s="100"/>
      <x:c r="H224" s="99" t="n">
        <x:v>2</x:v>
      </x:c>
      <x:c r="I224" s="100" t="n">
        <x:v>0.7684452533721924</x:v>
      </x:c>
      <x:c r="J224" s="99" t="n">
        <x:v>3</x:v>
      </x:c>
      <x:c r="K224" s="100" t="n">
        <x:v>0.016129032258064516</x:v>
      </x:c>
      <x:c r="L224" s="99" t="n">
        <x:v>4</x:v>
      </x:c>
      <x:c r="M224" s="100" t="n">
        <x:v>4.236245155334473</x:v>
      </x:c>
    </x:row>
    <x:row r="225">
      <x:c r="A225" s="38" t="str">
        <x:v>Q006::B00RBDBNQ4_review_1446336</x:v>
      </x:c>
      <x:c r="B225" s="38" t="str">
        <x:v>Q006</x:v>
      </x:c>
      <x:c r="C225" s="38" t="str">
        <x:v>B00RBDBNQ4_review_1446336</x:v>
      </x:c>
      <x:c r="D225" s="38" t="str">
        <x:v>B00RBDBNQ4</x:v>
      </x:c>
      <x:c r="E225" s="38" t="str">
        <x:v>dense</x:v>
      </x:c>
      <x:c r="F225" s="99"/>
      <x:c r="G225" s="100"/>
      <x:c r="H225" s="99" t="n">
        <x:v>13</x:v>
      </x:c>
      <x:c r="I225" s="100" t="n">
        <x:v>0.7415550351142883</x:v>
      </x:c>
      <x:c r="J225" s="99"/>
      <x:c r="K225" s="100"/>
      <x:c r="L225" s="99"/>
      <x:c r="M225" s="100"/>
    </x:row>
    <x:row r="226">
      <x:c r="A226" s="38" t="str">
        <x:v>Q006::B09TY8SF5J_review_4118310</x:v>
      </x:c>
      <x:c r="B226" s="38" t="str">
        <x:v>Q006</x:v>
      </x:c>
      <x:c r="C226" s="38" t="str">
        <x:v>B09TY8SF5J_review_4118310</x:v>
      </x:c>
      <x:c r="D226" s="38" t="str">
        <x:v>B09TY8SF5J</x:v>
      </x:c>
      <x:c r="E226" s="38" t="str">
        <x:v>dense</x:v>
      </x:c>
      <x:c r="F226" s="99"/>
      <x:c r="G226" s="100"/>
      <x:c r="H226" s="99" t="n">
        <x:v>12</x:v>
      </x:c>
      <x:c r="I226" s="100" t="n">
        <x:v>0.7428970336914062</x:v>
      </x:c>
      <x:c r="J226" s="99"/>
      <x:c r="K226" s="100"/>
      <x:c r="L226" s="99"/>
      <x:c r="M226" s="100"/>
    </x:row>
    <x:row r="227">
      <x:c r="A227" s="38" t="str">
        <x:v>Q006::B07QWWWN8N_review_3254713</x:v>
      </x:c>
      <x:c r="B227" s="38" t="str">
        <x:v>Q006</x:v>
      </x:c>
      <x:c r="C227" s="38" t="str">
        <x:v>B07QWWWN8N_review_3254713</x:v>
      </x:c>
      <x:c r="D227" s="38" t="str">
        <x:v>B07QWWWN8N</x:v>
      </x:c>
      <x:c r="E227" s="38" t="str">
        <x:v>bm25</x:v>
      </x:c>
      <x:c r="F227" s="99" t="n">
        <x:v>11</x:v>
      </x:c>
      <x:c r="G227" s="100" t="n">
        <x:v>29.906774322451128</x:v>
      </x:c>
      <x:c r="H227" s="99"/>
      <x:c r="I227" s="100"/>
      <x:c r="J227" s="99"/>
      <x:c r="K227" s="100"/>
      <x:c r="L227" s="99"/>
      <x:c r="M227" s="100"/>
    </x:row>
    <x:row r="228">
      <x:c r="A228" s="38" t="str">
        <x:v>Q006::B002OEBIMO_review_2513011</x:v>
      </x:c>
      <x:c r="B228" s="38" t="str">
        <x:v>Q006</x:v>
      </x:c>
      <x:c r="C228" s="38" t="str">
        <x:v>B002OEBIMO_review_2513011</x:v>
      </x:c>
      <x:c r="D228" s="38" t="str">
        <x:v>B002OEBIMO</x:v>
      </x:c>
      <x:c r="E228" s="38" t="str">
        <x:v>dense; hybrid_rrf; cross_encoder</x:v>
      </x:c>
      <x:c r="F228" s="99"/>
      <x:c r="G228" s="100"/>
      <x:c r="H228" s="99" t="n">
        <x:v>4</x:v>
      </x:c>
      <x:c r="I228" s="100" t="n">
        <x:v>0.759957492351532</x:v>
      </x:c>
      <x:c r="J228" s="99" t="n">
        <x:v>7</x:v>
      </x:c>
      <x:c r="K228" s="100" t="n">
        <x:v>0.015625</x:v>
      </x:c>
      <x:c r="L228" s="99" t="n">
        <x:v>16</x:v>
      </x:c>
      <x:c r="M228" s="100" t="n">
        <x:v>0.265470415353775</x:v>
      </x:c>
    </x:row>
    <x:row r="229">
      <x:c r="A229" s="38" t="str">
        <x:v>Q006::B01LT692RK_review_234865</x:v>
      </x:c>
      <x:c r="B229" s="38" t="str">
        <x:v>Q006</x:v>
      </x:c>
      <x:c r="C229" s="38" t="str">
        <x:v>B01LT692RK_review_234865</x:v>
      </x:c>
      <x:c r="D229" s="38" t="str">
        <x:v>B01LT692RK</x:v>
      </x:c>
      <x:c r="E229" s="38" t="str">
        <x:v>bm25; dense; hybrid_rrf; cross_encoder</x:v>
      </x:c>
      <x:c r="F229" s="99" t="n">
        <x:v>4</x:v>
      </x:c>
      <x:c r="G229" s="100" t="n">
        <x:v>31.136088136713283</x:v>
      </x:c>
      <x:c r="H229" s="99" t="n">
        <x:v>1</x:v>
      </x:c>
      <x:c r="I229" s="100" t="n">
        <x:v>0.7735898494720459</x:v>
      </x:c>
      <x:c r="J229" s="99" t="n">
        <x:v>1</x:v>
      </x:c>
      <x:c r="K229" s="100" t="n">
        <x:v>0.032018442622950824</x:v>
      </x:c>
      <x:c r="L229" s="99" t="n">
        <x:v>1</x:v>
      </x:c>
      <x:c r="M229" s="100" t="n">
        <x:v>5.734180450439453</x:v>
      </x:c>
    </x:row>
    <x:row r="230">
      <x:c r="A230" s="38" t="str">
        <x:v>Q006::B01LT692RK_review_234942</x:v>
      </x:c>
      <x:c r="B230" s="38" t="str">
        <x:v>Q006</x:v>
      </x:c>
      <x:c r="C230" s="38" t="str">
        <x:v>B01LT692RK_review_234942</x:v>
      </x:c>
      <x:c r="D230" s="38" t="str">
        <x:v>B01LT692RK</x:v>
      </x:c>
      <x:c r="E230" s="38" t="str">
        <x:v>dense; hybrid_rrf; cross_encoder</x:v>
      </x:c>
      <x:c r="F230" s="99"/>
      <x:c r="G230" s="100"/>
      <x:c r="H230" s="99" t="n">
        <x:v>6</x:v>
      </x:c>
      <x:c r="I230" s="100" t="n">
        <x:v>0.7538877725601196</x:v>
      </x:c>
      <x:c r="J230" s="99" t="n">
        <x:v>11</x:v>
      </x:c>
      <x:c r="K230" s="100" t="n">
        <x:v>0.015151515151515152</x:v>
      </x:c>
      <x:c r="L230" s="99" t="n">
        <x:v>3</x:v>
      </x:c>
      <x:c r="M230" s="100" t="n">
        <x:v>4.3003950119018555</x:v>
      </x:c>
    </x:row>
    <x:row r="231">
      <x:c r="A231" s="38" t="str">
        <x:v>Q006::B001QTXLDM_review_1000633</x:v>
      </x:c>
      <x:c r="B231" s="38" t="str">
        <x:v>Q006</x:v>
      </x:c>
      <x:c r="C231" s="38" t="str">
        <x:v>B001QTXLDM_review_1000633</x:v>
      </x:c>
      <x:c r="D231" s="38" t="str">
        <x:v>B001QTXLDM</x:v>
      </x:c>
      <x:c r="E231" s="38" t="str">
        <x:v>dense</x:v>
      </x:c>
      <x:c r="F231" s="99"/>
      <x:c r="G231" s="100"/>
      <x:c r="H231" s="99" t="n">
        <x:v>18</x:v>
      </x:c>
      <x:c r="I231" s="100" t="n">
        <x:v>0.7376720905303955</x:v>
      </x:c>
      <x:c r="J231" s="99"/>
      <x:c r="K231" s="100"/>
      <x:c r="L231" s="99"/>
      <x:c r="M231" s="100"/>
    </x:row>
    <x:row r="232">
      <x:c r="A232" s="38" t="str">
        <x:v>Q006::B0010TVLP8_review_4068476</x:v>
      </x:c>
      <x:c r="B232" s="38" t="str">
        <x:v>Q006</x:v>
      </x:c>
      <x:c r="C232" s="38" t="str">
        <x:v>B0010TVLP8_review_4068476</x:v>
      </x:c>
      <x:c r="D232" s="38" t="str">
        <x:v>B0010TVLP8</x:v>
      </x:c>
      <x:c r="E232" s="38" t="str">
        <x:v>bm25</x:v>
      </x:c>
      <x:c r="F232" s="99" t="n">
        <x:v>12</x:v>
      </x:c>
      <x:c r="G232" s="100" t="n">
        <x:v>29.755224500509392</x:v>
      </x:c>
      <x:c r="H232" s="99"/>
      <x:c r="I232" s="100"/>
      <x:c r="J232" s="99"/>
      <x:c r="K232" s="100"/>
      <x:c r="L232" s="99"/>
      <x:c r="M232" s="100"/>
    </x:row>
    <x:row r="233">
      <x:c r="A233" s="38" t="str">
        <x:v>Q006::B000YGIPES_review_685247</x:v>
      </x:c>
      <x:c r="B233" s="38" t="str">
        <x:v>Q006</x:v>
      </x:c>
      <x:c r="C233" s="38" t="str">
        <x:v>B000YGIPES_review_685247</x:v>
      </x:c>
      <x:c r="D233" s="38" t="str">
        <x:v>B000YGIPES</x:v>
      </x:c>
      <x:c r="E233" s="38" t="str">
        <x:v>bm25; hybrid_rrf; cross_encoder</x:v>
      </x:c>
      <x:c r="F233" s="99" t="n">
        <x:v>10</x:v>
      </x:c>
      <x:c r="G233" s="100" t="n">
        <x:v>30.134281156659817</x:v>
      </x:c>
      <x:c r="H233" s="99"/>
      <x:c r="I233" s="100"/>
      <x:c r="J233" s="99" t="n">
        <x:v>18</x:v>
      </x:c>
      <x:c r="K233" s="100" t="n">
        <x:v>0.014285714285714285</x:v>
      </x:c>
      <x:c r="L233" s="99" t="n">
        <x:v>20</x:v>
      </x:c>
      <x:c r="M233" s="100" t="n">
        <x:v>-5.353560924530029</x:v>
      </x:c>
    </x:row>
    <x:row r="234">
      <x:c r="A234" s="38" t="str">
        <x:v>Q006::B006LX2Q6G_review_1532693</x:v>
      </x:c>
      <x:c r="B234" s="38" t="str">
        <x:v>Q006</x:v>
      </x:c>
      <x:c r="C234" s="38" t="str">
        <x:v>B006LX2Q6G_review_1532693</x:v>
      </x:c>
      <x:c r="D234" s="38" t="str">
        <x:v>B006LX2Q6G</x:v>
      </x:c>
      <x:c r="E234" s="38" t="str">
        <x:v>bm25</x:v>
      </x:c>
      <x:c r="F234" s="99" t="n">
        <x:v>18</x:v>
      </x:c>
      <x:c r="G234" s="100" t="n">
        <x:v>29.365131636220212</x:v>
      </x:c>
      <x:c r="H234" s="99"/>
      <x:c r="I234" s="100"/>
      <x:c r="J234" s="99"/>
      <x:c r="K234" s="100"/>
      <x:c r="L234" s="99"/>
      <x:c r="M234" s="100"/>
    </x:row>
    <x:row r="235">
      <x:c r="A235" s="38" t="str">
        <x:v>Q006::B0083S3N3W_review_3080739</x:v>
      </x:c>
      <x:c r="B235" s="38" t="str">
        <x:v>Q006</x:v>
      </x:c>
      <x:c r="C235" s="38" t="str">
        <x:v>B0083S3N3W_review_3080739</x:v>
      </x:c>
      <x:c r="D235" s="38" t="str">
        <x:v>B0083S3N3W</x:v>
      </x:c>
      <x:c r="E235" s="38" t="str">
        <x:v>bm25</x:v>
      </x:c>
      <x:c r="F235" s="99" t="n">
        <x:v>16</x:v>
      </x:c>
      <x:c r="G235" s="100" t="n">
        <x:v>29.450072968968797</x:v>
      </x:c>
      <x:c r="H235" s="99"/>
      <x:c r="I235" s="100"/>
      <x:c r="J235" s="99"/>
      <x:c r="K235" s="100"/>
      <x:c r="L235" s="99"/>
      <x:c r="M235" s="100"/>
    </x:row>
    <x:row r="236">
      <x:c r="A236" s="38" t="str">
        <x:v>Q006::B0039NMF6C_review_3985007</x:v>
      </x:c>
      <x:c r="B236" s="38" t="str">
        <x:v>Q006</x:v>
      </x:c>
      <x:c r="C236" s="38" t="str">
        <x:v>B0039NMF6C_review_3985007</x:v>
      </x:c>
      <x:c r="D236" s="38" t="str">
        <x:v>B0039NMF6C</x:v>
      </x:c>
      <x:c r="E236" s="38" t="str">
        <x:v>dense</x:v>
      </x:c>
      <x:c r="F236" s="99"/>
      <x:c r="G236" s="100"/>
      <x:c r="H236" s="99" t="n">
        <x:v>19</x:v>
      </x:c>
      <x:c r="I236" s="100" t="n">
        <x:v>0.7375960946083069</x:v>
      </x:c>
      <x:c r="J236" s="99"/>
      <x:c r="K236" s="100"/>
      <x:c r="L236" s="99"/>
      <x:c r="M236" s="100"/>
    </x:row>
    <x:row r="237">
      <x:c r="A237" s="38" t="str">
        <x:v>Q007::B00YR6BMS2_review_3715383</x:v>
      </x:c>
      <x:c r="B237" s="38" t="str">
        <x:v>Q007</x:v>
      </x:c>
      <x:c r="C237" s="38" t="str">
        <x:v>B00YR6BMS2_review_3715383</x:v>
      </x:c>
      <x:c r="D237" s="38" t="str">
        <x:v>B00YR6BMS2</x:v>
      </x:c>
      <x:c r="E237" s="38" t="str">
        <x:v>bm25; dense; hybrid_rrf; cross_encoder</x:v>
      </x:c>
      <x:c r="F237" s="99" t="n">
        <x:v>14</x:v>
      </x:c>
      <x:c r="G237" s="100" t="n">
        <x:v>26.09926057000547</x:v>
      </x:c>
      <x:c r="H237" s="99" t="n">
        <x:v>1</x:v>
      </x:c>
      <x:c r="I237" s="100" t="n">
        <x:v>0.7865054607391357</x:v>
      </x:c>
      <x:c r="J237" s="99" t="n">
        <x:v>1</x:v>
      </x:c>
      <x:c r="K237" s="100" t="n">
        <x:v>0.029906956136464335</x:v>
      </x:c>
      <x:c r="L237" s="99" t="n">
        <x:v>1</x:v>
      </x:c>
      <x:c r="M237" s="100" t="n">
        <x:v>3.0367534160614014</x:v>
      </x:c>
    </x:row>
    <x:row r="238">
      <x:c r="A238" s="38" t="str">
        <x:v>Q007::B072FBN83F_review_2938287</x:v>
      </x:c>
      <x:c r="B238" s="38" t="str">
        <x:v>Q007</x:v>
      </x:c>
      <x:c r="C238" s="38" t="str">
        <x:v>B072FBN83F_review_2938287</x:v>
      </x:c>
      <x:c r="D238" s="38" t="str">
        <x:v>B072FBN83F</x:v>
      </x:c>
      <x:c r="E238" s="38" t="str">
        <x:v>bm25</x:v>
      </x:c>
      <x:c r="F238" s="99" t="n">
        <x:v>16</x:v>
      </x:c>
      <x:c r="G238" s="100" t="n">
        <x:v>26.032032496824655</x:v>
      </x:c>
      <x:c r="H238" s="99"/>
      <x:c r="I238" s="100"/>
      <x:c r="J238" s="99"/>
      <x:c r="K238" s="100"/>
      <x:c r="L238" s="99"/>
      <x:c r="M238" s="100"/>
    </x:row>
    <x:row r="239">
      <x:c r="A239" s="38" t="str">
        <x:v>Q007::B009QG7YPS_review_2754009</x:v>
      </x:c>
      <x:c r="B239" s="38" t="str">
        <x:v>Q007</x:v>
      </x:c>
      <x:c r="C239" s="38" t="str">
        <x:v>B009QG7YPS_review_2754009</x:v>
      </x:c>
      <x:c r="D239" s="38" t="str">
        <x:v>B009QG7YPS</x:v>
      </x:c>
      <x:c r="E239" s="38" t="str">
        <x:v>bm25</x:v>
      </x:c>
      <x:c r="F239" s="99" t="n">
        <x:v>20</x:v>
      </x:c>
      <x:c r="G239" s="100" t="n">
        <x:v>25.915160401545297</x:v>
      </x:c>
      <x:c r="H239" s="99"/>
      <x:c r="I239" s="100"/>
      <x:c r="J239" s="99"/>
      <x:c r="K239" s="100"/>
      <x:c r="L239" s="99"/>
      <x:c r="M239" s="100"/>
    </x:row>
    <x:row r="240">
      <x:c r="A240" s="38" t="str">
        <x:v>Q007::B07QRC1Z94_review_4022292</x:v>
      </x:c>
      <x:c r="B240" s="38" t="str">
        <x:v>Q007</x:v>
      </x:c>
      <x:c r="C240" s="38" t="str">
        <x:v>B07QRC1Z94_review_4022292</x:v>
      </x:c>
      <x:c r="D240" s="38" t="str">
        <x:v>B07QRC1Z94</x:v>
      </x:c>
      <x:c r="E240" s="38" t="str">
        <x:v>bm25; hybrid_rrf; cross_encoder</x:v>
      </x:c>
      <x:c r="F240" s="99" t="n">
        <x:v>1</x:v>
      </x:c>
      <x:c r="G240" s="100" t="n">
        <x:v>28.91335509359707</x:v>
      </x:c>
      <x:c r="H240" s="99"/>
      <x:c r="I240" s="100"/>
      <x:c r="J240" s="99" t="n">
        <x:v>2</x:v>
      </x:c>
      <x:c r="K240" s="100" t="n">
        <x:v>0.01639344262295082</x:v>
      </x:c>
      <x:c r="L240" s="99" t="n">
        <x:v>12</x:v>
      </x:c>
      <x:c r="M240" s="100" t="n">
        <x:v>-0.9977462291717529</x:v>
      </x:c>
    </x:row>
    <x:row r="241">
      <x:c r="A241" s="38" t="str">
        <x:v>Q007::B008R7EWF2_review_3250834</x:v>
      </x:c>
      <x:c r="B241" s="38" t="str">
        <x:v>Q007</x:v>
      </x:c>
      <x:c r="C241" s="38" t="str">
        <x:v>B008R7EWF2_review_3250834</x:v>
      </x:c>
      <x:c r="D241" s="38" t="str">
        <x:v>B008R7EWF2</x:v>
      </x:c>
      <x:c r="E241" s="38" t="str">
        <x:v>bm25; hybrid_rrf; cross_encoder</x:v>
      </x:c>
      <x:c r="F241" s="99" t="n">
        <x:v>4</x:v>
      </x:c>
      <x:c r="G241" s="100" t="n">
        <x:v>27.5026364853123</x:v>
      </x:c>
      <x:c r="H241" s="99"/>
      <x:c r="I241" s="100"/>
      <x:c r="J241" s="99" t="n">
        <x:v>7</x:v>
      </x:c>
      <x:c r="K241" s="100" t="n">
        <x:v>0.015625</x:v>
      </x:c>
      <x:c r="L241" s="99" t="n">
        <x:v>13</x:v>
      </x:c>
      <x:c r="M241" s="100" t="n">
        <x:v>-1.7353293895721436</x:v>
      </x:c>
    </x:row>
    <x:row r="242">
      <x:c r="A242" s="38" t="str">
        <x:v>Q007::B0041RRVOG_review_167925</x:v>
      </x:c>
      <x:c r="B242" s="38" t="str">
        <x:v>Q007</x:v>
      </x:c>
      <x:c r="C242" s="38" t="str">
        <x:v>B0041RRVOG_review_167925</x:v>
      </x:c>
      <x:c r="D242" s="38" t="str">
        <x:v>B0041RRVOG</x:v>
      </x:c>
      <x:c r="E242" s="38" t="str">
        <x:v>dense</x:v>
      </x:c>
      <x:c r="F242" s="99"/>
      <x:c r="G242" s="100"/>
      <x:c r="H242" s="99" t="n">
        <x:v>17</x:v>
      </x:c>
      <x:c r="I242" s="100" t="n">
        <x:v>0.7509216070175171</x:v>
      </x:c>
      <x:c r="J242" s="99"/>
      <x:c r="K242" s="100"/>
      <x:c r="L242" s="99"/>
      <x:c r="M242" s="100"/>
    </x:row>
    <x:row r="243">
      <x:c r="A243" s="38" t="str">
        <x:v>Q007::B014E9543U_review_3577642</x:v>
      </x:c>
      <x:c r="B243" s="38" t="str">
        <x:v>Q007</x:v>
      </x:c>
      <x:c r="C243" s="38" t="str">
        <x:v>B014E9543U_review_3577642</x:v>
      </x:c>
      <x:c r="D243" s="38" t="str">
        <x:v>B014E9543U</x:v>
      </x:c>
      <x:c r="E243" s="38" t="str">
        <x:v>bm25; hybrid_rrf; cross_encoder</x:v>
      </x:c>
      <x:c r="F243" s="99" t="n">
        <x:v>2</x:v>
      </x:c>
      <x:c r="G243" s="100" t="n">
        <x:v>28.014386568925488</x:v>
      </x:c>
      <x:c r="H243" s="99"/>
      <x:c r="I243" s="100"/>
      <x:c r="J243" s="99" t="n">
        <x:v>4</x:v>
      </x:c>
      <x:c r="K243" s="100" t="n">
        <x:v>0.016129032258064516</x:v>
      </x:c>
      <x:c r="L243" s="99" t="n">
        <x:v>18</x:v>
      </x:c>
      <x:c r="M243" s="100" t="n">
        <x:v>-3.874086856842041</x:v>
      </x:c>
    </x:row>
    <x:row r="244">
      <x:c r="A244" s="38" t="str">
        <x:v>Q007::B0C6QLPQQB_review_3059391</x:v>
      </x:c>
      <x:c r="B244" s="38" t="str">
        <x:v>Q007</x:v>
      </x:c>
      <x:c r="C244" s="38" t="str">
        <x:v>B0C6QLPQQB_review_3059391</x:v>
      </x:c>
      <x:c r="D244" s="38" t="str">
        <x:v>B0C6QLPQQB</x:v>
      </x:c>
      <x:c r="E244" s="38" t="str">
        <x:v>dense; hybrid_rrf; cross_encoder</x:v>
      </x:c>
      <x:c r="F244" s="99"/>
      <x:c r="G244" s="100"/>
      <x:c r="H244" s="99" t="n">
        <x:v>10</x:v>
      </x:c>
      <x:c r="I244" s="100" t="n">
        <x:v>0.7548810243606567</x:v>
      </x:c>
      <x:c r="J244" s="99" t="n">
        <x:v>20</x:v>
      </x:c>
      <x:c r="K244" s="100" t="n">
        <x:v>0.014285714285714285</x:v>
      </x:c>
      <x:c r="L244" s="99" t="n">
        <x:v>6</x:v>
      </x:c>
      <x:c r="M244" s="100" t="n">
        <x:v>0.627047598361969</x:v>
      </x:c>
    </x:row>
    <x:row r="245">
      <x:c r="A245" s="38" t="str">
        <x:v>Q007::B09B542W7Z_review_1207268</x:v>
      </x:c>
      <x:c r="B245" s="38" t="str">
        <x:v>Q007</x:v>
      </x:c>
      <x:c r="C245" s="38" t="str">
        <x:v>B09B542W7Z_review_1207268</x:v>
      </x:c>
      <x:c r="D245" s="38" t="str">
        <x:v>B09B542W7Z</x:v>
      </x:c>
      <x:c r="E245" s="38" t="str">
        <x:v>bm25</x:v>
      </x:c>
      <x:c r="F245" s="99" t="n">
        <x:v>17</x:v>
      </x:c>
      <x:c r="G245" s="100" t="n">
        <x:v>26.022884697624235</x:v>
      </x:c>
      <x:c r="H245" s="99"/>
      <x:c r="I245" s="100"/>
      <x:c r="J245" s="99"/>
      <x:c r="K245" s="100"/>
      <x:c r="L245" s="99"/>
      <x:c r="M245" s="100"/>
    </x:row>
    <x:row r="246">
      <x:c r="A246" s="38" t="str">
        <x:v>Q007::B01MDTUZ84_review_3305892</x:v>
      </x:c>
      <x:c r="B246" s="38" t="str">
        <x:v>Q007</x:v>
      </x:c>
      <x:c r="C246" s="38" t="str">
        <x:v>B01MDTUZ84_review_3305892</x:v>
      </x:c>
      <x:c r="D246" s="38" t="str">
        <x:v>B01MDTUZ84</x:v>
      </x:c>
      <x:c r="E246" s="38" t="str">
        <x:v>dense; hybrid_rrf; cross_encoder</x:v>
      </x:c>
      <x:c r="F246" s="99"/>
      <x:c r="G246" s="100"/>
      <x:c r="H246" s="99" t="n">
        <x:v>8</x:v>
      </x:c>
      <x:c r="I246" s="100" t="n">
        <x:v>0.7551413774490356</x:v>
      </x:c>
      <x:c r="J246" s="99" t="n">
        <x:v>15</x:v>
      </x:c>
      <x:c r="K246" s="100" t="n">
        <x:v>0.014705882352941176</x:v>
      </x:c>
      <x:c r="L246" s="99" t="n">
        <x:v>20</x:v>
      </x:c>
      <x:c r="M246" s="100" t="n">
        <x:v>-8.143887519836426</x:v>
      </x:c>
    </x:row>
    <x:row r="247">
      <x:c r="A247" s="38" t="str">
        <x:v>Q007::B07VGB9D9F_review_3309526</x:v>
      </x:c>
      <x:c r="B247" s="38" t="str">
        <x:v>Q007</x:v>
      </x:c>
      <x:c r="C247" s="38" t="str">
        <x:v>B07VGB9D9F_review_3309526</x:v>
      </x:c>
      <x:c r="D247" s="38" t="str">
        <x:v>B07VGB9D9F</x:v>
      </x:c>
      <x:c r="E247" s="38" t="str">
        <x:v>bm25; hybrid_rrf; cross_encoder</x:v>
      </x:c>
      <x:c r="F247" s="99" t="n">
        <x:v>10</x:v>
      </x:c>
      <x:c r="G247" s="100" t="n">
        <x:v>26.501234039040767</x:v>
      </x:c>
      <x:c r="H247" s="99"/>
      <x:c r="I247" s="100"/>
      <x:c r="J247" s="99" t="n">
        <x:v>19</x:v>
      </x:c>
      <x:c r="K247" s="100" t="n">
        <x:v>0.014285714285714285</x:v>
      </x:c>
      <x:c r="L247" s="99" t="n">
        <x:v>19</x:v>
      </x:c>
      <x:c r="M247" s="100" t="n">
        <x:v>-3.9529266357421875</x:v>
      </x:c>
    </x:row>
    <x:row r="248">
      <x:c r="A248" s="38" t="str">
        <x:v>Q007::B0942XJWB4_review_307229</x:v>
      </x:c>
      <x:c r="B248" s="38" t="str">
        <x:v>Q007</x:v>
      </x:c>
      <x:c r="C248" s="38" t="str">
        <x:v>B0942XJWB4_review_307229</x:v>
      </x:c>
      <x:c r="D248" s="38" t="str">
        <x:v>B0942XJWB4</x:v>
      </x:c>
      <x:c r="E248" s="38" t="str">
        <x:v>bm25; hybrid_rrf; cross_encoder</x:v>
      </x:c>
      <x:c r="F248" s="99" t="n">
        <x:v>9</x:v>
      </x:c>
      <x:c r="G248" s="100" t="n">
        <x:v>26.720338253357887</x:v>
      </x:c>
      <x:c r="H248" s="99"/>
      <x:c r="I248" s="100"/>
      <x:c r="J248" s="99" t="n">
        <x:v>18</x:v>
      </x:c>
      <x:c r="K248" s="100" t="n">
        <x:v>0.014492753623188406</x:v>
      </x:c>
      <x:c r="L248" s="99" t="n">
        <x:v>14</x:v>
      </x:c>
      <x:c r="M248" s="100" t="n">
        <x:v>-2.084643840789795</x:v>
      </x:c>
    </x:row>
    <x:row r="249">
      <x:c r="A249" s="38" t="str">
        <x:v>Q007::B015ZD6ZX2_review_2463866</x:v>
      </x:c>
      <x:c r="B249" s="38" t="str">
        <x:v>Q007</x:v>
      </x:c>
      <x:c r="C249" s="38" t="str">
        <x:v>B015ZD6ZX2_review_2463866</x:v>
      </x:c>
      <x:c r="D249" s="38" t="str">
        <x:v>B015ZD6ZX2</x:v>
      </x:c>
      <x:c r="E249" s="38" t="str">
        <x:v>dense</x:v>
      </x:c>
      <x:c r="F249" s="99"/>
      <x:c r="G249" s="100"/>
      <x:c r="H249" s="99" t="n">
        <x:v>13</x:v>
      </x:c>
      <x:c r="I249" s="100" t="n">
        <x:v>0.7534762024879456</x:v>
      </x:c>
      <x:c r="J249" s="99"/>
      <x:c r="K249" s="100"/>
      <x:c r="L249" s="99"/>
      <x:c r="M249" s="100"/>
    </x:row>
    <x:row r="250">
      <x:c r="A250" s="38" t="str">
        <x:v>Q007::B01N1UQU99_review_1427715</x:v>
      </x:c>
      <x:c r="B250" s="38" t="str">
        <x:v>Q007</x:v>
      </x:c>
      <x:c r="C250" s="38" t="str">
        <x:v>B01N1UQU99_review_1427715</x:v>
      </x:c>
      <x:c r="D250" s="38" t="str">
        <x:v>B01N1UQU99</x:v>
      </x:c>
      <x:c r="E250" s="38" t="str">
        <x:v>dense</x:v>
      </x:c>
      <x:c r="F250" s="99"/>
      <x:c r="G250" s="100"/>
      <x:c r="H250" s="99" t="n">
        <x:v>14</x:v>
      </x:c>
      <x:c r="I250" s="100" t="n">
        <x:v>0.7534621953964233</x:v>
      </x:c>
      <x:c r="J250" s="99"/>
      <x:c r="K250" s="100"/>
      <x:c r="L250" s="99"/>
      <x:c r="M250" s="100"/>
    </x:row>
    <x:row r="251">
      <x:c r="A251" s="38" t="str">
        <x:v>Q007::B07NJJ6KM3_review_62920</x:v>
      </x:c>
      <x:c r="B251" s="38" t="str">
        <x:v>Q007</x:v>
      </x:c>
      <x:c r="C251" s="38" t="str">
        <x:v>B07NJJ6KM3_review_62920</x:v>
      </x:c>
      <x:c r="D251" s="38" t="str">
        <x:v>B07NJJ6KM3</x:v>
      </x:c>
      <x:c r="E251" s="38" t="str">
        <x:v>bm25; hybrid_rrf; cross_encoder</x:v>
      </x:c>
      <x:c r="F251" s="99" t="n">
        <x:v>6</x:v>
      </x:c>
      <x:c r="G251" s="100" t="n">
        <x:v>27.126915633796486</x:v>
      </x:c>
      <x:c r="H251" s="99"/>
      <x:c r="I251" s="100"/>
      <x:c r="J251" s="99" t="n">
        <x:v>11</x:v>
      </x:c>
      <x:c r="K251" s="100" t="n">
        <x:v>0.015151515151515152</x:v>
      </x:c>
      <x:c r="L251" s="99" t="n">
        <x:v>3</x:v>
      </x:c>
      <x:c r="M251" s="100" t="n">
        <x:v>1.2114989757537842</x:v>
      </x:c>
    </x:row>
    <x:row r="252">
      <x:c r="A252" s="38" t="str">
        <x:v>Q007::B07WLVXPYP_review_2083173</x:v>
      </x:c>
      <x:c r="B252" s="38" t="str">
        <x:v>Q007</x:v>
      </x:c>
      <x:c r="C252" s="38" t="str">
        <x:v>B07WLVXPYP_review_2083173</x:v>
      </x:c>
      <x:c r="D252" s="38" t="str">
        <x:v>B07WLVXPYP</x:v>
      </x:c>
      <x:c r="E252" s="38" t="str">
        <x:v>dense; hybrid_rrf; cross_encoder</x:v>
      </x:c>
      <x:c r="F252" s="99"/>
      <x:c r="G252" s="100"/>
      <x:c r="H252" s="99" t="n">
        <x:v>6</x:v>
      </x:c>
      <x:c r="I252" s="100" t="n">
        <x:v>0.7581158876419067</x:v>
      </x:c>
      <x:c r="J252" s="99" t="n">
        <x:v>12</x:v>
      </x:c>
      <x:c r="K252" s="100" t="n">
        <x:v>0.015151515151515152</x:v>
      </x:c>
      <x:c r="L252" s="99" t="n">
        <x:v>7</x:v>
      </x:c>
      <x:c r="M252" s="100" t="n">
        <x:v>0.3240825831890106</x:v>
      </x:c>
    </x:row>
    <x:row r="253">
      <x:c r="A253" s="38" t="str">
        <x:v>Q007::B01578ZM6Q_review_200871</x:v>
      </x:c>
      <x:c r="B253" s="38" t="str">
        <x:v>Q007</x:v>
      </x:c>
      <x:c r="C253" s="38" t="str">
        <x:v>B01578ZM6Q_review_200871</x:v>
      </x:c>
      <x:c r="D253" s="38" t="str">
        <x:v>B01578ZM6Q</x:v>
      </x:c>
      <x:c r="E253" s="38" t="str">
        <x:v>dense</x:v>
      </x:c>
      <x:c r="F253" s="99"/>
      <x:c r="G253" s="100"/>
      <x:c r="H253" s="99" t="n">
        <x:v>11</x:v>
      </x:c>
      <x:c r="I253" s="100" t="n">
        <x:v>0.7535921335220337</x:v>
      </x:c>
      <x:c r="J253" s="99"/>
      <x:c r="K253" s="100"/>
      <x:c r="L253" s="99"/>
      <x:c r="M253" s="100"/>
    </x:row>
    <x:row r="254">
      <x:c r="A254" s="38" t="str">
        <x:v>Q007::B00O0W450A_review_2181772</x:v>
      </x:c>
      <x:c r="B254" s="38" t="str">
        <x:v>Q007</x:v>
      </x:c>
      <x:c r="C254" s="38" t="str">
        <x:v>B00O0W450A_review_2181772</x:v>
      </x:c>
      <x:c r="D254" s="38" t="str">
        <x:v>B00O0W450A</x:v>
      </x:c>
      <x:c r="E254" s="38" t="str">
        <x:v>dense; hybrid_rrf; cross_encoder</x:v>
      </x:c>
      <x:c r="F254" s="99"/>
      <x:c r="G254" s="100"/>
      <x:c r="H254" s="99" t="n">
        <x:v>9</x:v>
      </x:c>
      <x:c r="I254" s="100" t="n">
        <x:v>0.7549987435340881</x:v>
      </x:c>
      <x:c r="J254" s="99" t="n">
        <x:v>17</x:v>
      </x:c>
      <x:c r="K254" s="100" t="n">
        <x:v>0.014492753623188406</x:v>
      </x:c>
      <x:c r="L254" s="99" t="n">
        <x:v>11</x:v>
      </x:c>
      <x:c r="M254" s="100" t="n">
        <x:v>-0.8399683237075806</x:v>
      </x:c>
    </x:row>
    <x:row r="255">
      <x:c r="A255" s="38" t="str">
        <x:v>Q007::B01MTEDYKC_review_230688</x:v>
      </x:c>
      <x:c r="B255" s="38" t="str">
        <x:v>Q007</x:v>
      </x:c>
      <x:c r="C255" s="38" t="str">
        <x:v>B01MTEDYKC_review_230688</x:v>
      </x:c>
      <x:c r="D255" s="38" t="str">
        <x:v>B01MTEDYKC</x:v>
      </x:c>
      <x:c r="E255" s="38" t="str">
        <x:v>bm25</x:v>
      </x:c>
      <x:c r="F255" s="99" t="n">
        <x:v>12</x:v>
      </x:c>
      <x:c r="G255" s="100" t="n">
        <x:v>26.328243007711446</x:v>
      </x:c>
      <x:c r="H255" s="99"/>
      <x:c r="I255" s="100"/>
      <x:c r="J255" s="99"/>
      <x:c r="K255" s="100"/>
      <x:c r="L255" s="99"/>
      <x:c r="M255" s="100"/>
    </x:row>
    <x:row r="256">
      <x:c r="A256" s="38" t="str">
        <x:v>Q007::B07439FYQX_review_1873044</x:v>
      </x:c>
      <x:c r="B256" s="38" t="str">
        <x:v>Q007</x:v>
      </x:c>
      <x:c r="C256" s="38" t="str">
        <x:v>B07439FYQX_review_1873044</x:v>
      </x:c>
      <x:c r="D256" s="38" t="str">
        <x:v>B07439FYQX</x:v>
      </x:c>
      <x:c r="E256" s="38" t="str">
        <x:v>dense</x:v>
      </x:c>
      <x:c r="F256" s="99"/>
      <x:c r="G256" s="100"/>
      <x:c r="H256" s="99" t="n">
        <x:v>20</x:v>
      </x:c>
      <x:c r="I256" s="100" t="n">
        <x:v>0.7483349442481995</x:v>
      </x:c>
      <x:c r="J256" s="99"/>
      <x:c r="K256" s="100"/>
      <x:c r="L256" s="99"/>
      <x:c r="M256" s="100"/>
    </x:row>
    <x:row r="257">
      <x:c r="A257" s="38" t="str">
        <x:v>Q007::B0765Z4D5Z_review_812545</x:v>
      </x:c>
      <x:c r="B257" s="38" t="str">
        <x:v>Q007</x:v>
      </x:c>
      <x:c r="C257" s="38" t="str">
        <x:v>B0765Z4D5Z_review_812545</x:v>
      </x:c>
      <x:c r="D257" s="38" t="str">
        <x:v>B0765Z4D5Z</x:v>
      </x:c>
      <x:c r="E257" s="38" t="str">
        <x:v>dense; hybrid_rrf; cross_encoder</x:v>
      </x:c>
      <x:c r="F257" s="99"/>
      <x:c r="G257" s="100"/>
      <x:c r="H257" s="99" t="n">
        <x:v>7</x:v>
      </x:c>
      <x:c r="I257" s="100" t="n">
        <x:v>0.7563290596008301</x:v>
      </x:c>
      <x:c r="J257" s="99" t="n">
        <x:v>14</x:v>
      </x:c>
      <x:c r="K257" s="100" t="n">
        <x:v>0.014925373134328358</x:v>
      </x:c>
      <x:c r="L257" s="99" t="n">
        <x:v>15</x:v>
      </x:c>
      <x:c r="M257" s="100" t="n">
        <x:v>-2.3913705348968506</x:v>
      </x:c>
    </x:row>
    <x:row r="258">
      <x:c r="A258" s="38" t="str">
        <x:v>Q007::B01F1A7S6W_review_3200218</x:v>
      </x:c>
      <x:c r="B258" s="38" t="str">
        <x:v>Q007</x:v>
      </x:c>
      <x:c r="C258" s="38" t="str">
        <x:v>B01F1A7S6W_review_3200218</x:v>
      </x:c>
      <x:c r="D258" s="38" t="str">
        <x:v>B01F1A7S6W</x:v>
      </x:c>
      <x:c r="E258" s="38" t="str">
        <x:v>dense</x:v>
      </x:c>
      <x:c r="F258" s="99"/>
      <x:c r="G258" s="100"/>
      <x:c r="H258" s="99" t="n">
        <x:v>16</x:v>
      </x:c>
      <x:c r="I258" s="100" t="n">
        <x:v>0.751416027545929</x:v>
      </x:c>
      <x:c r="J258" s="99"/>
      <x:c r="K258" s="100"/>
      <x:c r="L258" s="99"/>
      <x:c r="M258" s="100"/>
    </x:row>
    <x:row r="259">
      <x:c r="A259" s="38" t="str">
        <x:v>Q007::B0C4M669GQ_review_112946</x:v>
      </x:c>
      <x:c r="B259" s="38" t="str">
        <x:v>Q007</x:v>
      </x:c>
      <x:c r="C259" s="38" t="str">
        <x:v>B0C4M669GQ_review_112946</x:v>
      </x:c>
      <x:c r="D259" s="38" t="str">
        <x:v>B0C4M669GQ</x:v>
      </x:c>
      <x:c r="E259" s="38" t="str">
        <x:v>dense</x:v>
      </x:c>
      <x:c r="F259" s="99"/>
      <x:c r="G259" s="100"/>
      <x:c r="H259" s="99" t="n">
        <x:v>15</x:v>
      </x:c>
      <x:c r="I259" s="100" t="n">
        <x:v>0.7524620890617371</x:v>
      </x:c>
      <x:c r="J259" s="99"/>
      <x:c r="K259" s="100"/>
      <x:c r="L259" s="99"/>
      <x:c r="M259" s="100"/>
    </x:row>
    <x:row r="260">
      <x:c r="A260" s="38" t="str">
        <x:v>Q007::B01J4XXACI_review_3509853</x:v>
      </x:c>
      <x:c r="B260" s="38" t="str">
        <x:v>Q007</x:v>
      </x:c>
      <x:c r="C260" s="38" t="str">
        <x:v>B01J4XXACI_review_3509853</x:v>
      </x:c>
      <x:c r="D260" s="38" t="str">
        <x:v>B01J4XXACI</x:v>
      </x:c>
      <x:c r="E260" s="38" t="str">
        <x:v>dense</x:v>
      </x:c>
      <x:c r="F260" s="99"/>
      <x:c r="G260" s="100"/>
      <x:c r="H260" s="99" t="n">
        <x:v>19</x:v>
      </x:c>
      <x:c r="I260" s="100" t="n">
        <x:v>0.7504222393035889</x:v>
      </x:c>
      <x:c r="J260" s="99"/>
      <x:c r="K260" s="100"/>
      <x:c r="L260" s="99"/>
      <x:c r="M260" s="100"/>
    </x:row>
    <x:row r="261">
      <x:c r="A261" s="38" t="str">
        <x:v>Q007::B071JBX9GN_review_1844813</x:v>
      </x:c>
      <x:c r="B261" s="38" t="str">
        <x:v>Q007</x:v>
      </x:c>
      <x:c r="C261" s="38" t="str">
        <x:v>B071JBX9GN_review_1844813</x:v>
      </x:c>
      <x:c r="D261" s="38" t="str">
        <x:v>B071JBX9GN</x:v>
      </x:c>
      <x:c r="E261" s="38" t="str">
        <x:v>bm25</x:v>
      </x:c>
      <x:c r="F261" s="99" t="n">
        <x:v>13</x:v>
      </x:c>
      <x:c r="G261" s="100" t="n">
        <x:v>26.137836982325858</x:v>
      </x:c>
      <x:c r="H261" s="99"/>
      <x:c r="I261" s="100"/>
      <x:c r="J261" s="99"/>
      <x:c r="K261" s="100"/>
      <x:c r="L261" s="99"/>
      <x:c r="M261" s="100"/>
    </x:row>
    <x:row r="262">
      <x:c r="A262" s="38" t="str">
        <x:v>Q007::B00BKRMMUS_review_3674381</x:v>
      </x:c>
      <x:c r="B262" s="38" t="str">
        <x:v>Q007</x:v>
      </x:c>
      <x:c r="C262" s="38" t="str">
        <x:v>B00BKRMMUS_review_3674381</x:v>
      </x:c>
      <x:c r="D262" s="38" t="str">
        <x:v>B00BKRMMUS</x:v>
      </x:c>
      <x:c r="E262" s="38" t="str">
        <x:v>dense; hybrid_rrf; cross_encoder</x:v>
      </x:c>
      <x:c r="F262" s="99"/>
      <x:c r="G262" s="100"/>
      <x:c r="H262" s="99" t="n">
        <x:v>5</x:v>
      </x:c>
      <x:c r="I262" s="100" t="n">
        <x:v>0.7582105398178101</x:v>
      </x:c>
      <x:c r="J262" s="99" t="n">
        <x:v>10</x:v>
      </x:c>
      <x:c r="K262" s="100" t="n">
        <x:v>0.015384615384615385</x:v>
      </x:c>
      <x:c r="L262" s="99" t="n">
        <x:v>17</x:v>
      </x:c>
      <x:c r="M262" s="100" t="n">
        <x:v>-2.853675365447998</x:v>
      </x:c>
    </x:row>
    <x:row r="263">
      <x:c r="A263" s="38" t="str">
        <x:v>Q007::B00IMTQ4BK_review_984542</x:v>
      </x:c>
      <x:c r="B263" s="38" t="str">
        <x:v>Q007</x:v>
      </x:c>
      <x:c r="C263" s="38" t="str">
        <x:v>B00IMTQ4BK_review_984542</x:v>
      </x:c>
      <x:c r="D263" s="38" t="str">
        <x:v>B00IMTQ4BK</x:v>
      </x:c>
      <x:c r="E263" s="38" t="str">
        <x:v>bm25</x:v>
      </x:c>
      <x:c r="F263" s="99" t="n">
        <x:v>11</x:v>
      </x:c>
      <x:c r="G263" s="100" t="n">
        <x:v>26.35249236401055</x:v>
      </x:c>
      <x:c r="H263" s="99"/>
      <x:c r="I263" s="100"/>
      <x:c r="J263" s="99"/>
      <x:c r="K263" s="100"/>
      <x:c r="L263" s="99"/>
      <x:c r="M263" s="100"/>
    </x:row>
    <x:row r="264">
      <x:c r="A264" s="38" t="str">
        <x:v>Q007::B07XW2X742_review_2289119</x:v>
      </x:c>
      <x:c r="B264" s="38" t="str">
        <x:v>Q007</x:v>
      </x:c>
      <x:c r="C264" s="38" t="str">
        <x:v>B07XW2X742_review_2289119</x:v>
      </x:c>
      <x:c r="D264" s="38" t="str">
        <x:v>B07XW2X742</x:v>
      </x:c>
      <x:c r="E264" s="38" t="str">
        <x:v>dense; hybrid_rrf; cross_encoder</x:v>
      </x:c>
      <x:c r="F264" s="99"/>
      <x:c r="G264" s="100"/>
      <x:c r="H264" s="99" t="n">
        <x:v>4</x:v>
      </x:c>
      <x:c r="I264" s="100" t="n">
        <x:v>0.7607170939445496</x:v>
      </x:c>
      <x:c r="J264" s="99" t="n">
        <x:v>8</x:v>
      </x:c>
      <x:c r="K264" s="100" t="n">
        <x:v>0.015625</x:v>
      </x:c>
      <x:c r="L264" s="99" t="n">
        <x:v>16</x:v>
      </x:c>
      <x:c r="M264" s="100" t="n">
        <x:v>-2.6612279415130615</x:v>
      </x:c>
    </x:row>
    <x:row r="265">
      <x:c r="A265" s="38" t="str">
        <x:v>Q007::B0C6TM5XBP_review_4013479</x:v>
      </x:c>
      <x:c r="B265" s="38" t="str">
        <x:v>Q007</x:v>
      </x:c>
      <x:c r="C265" s="38" t="str">
        <x:v>B0C6TM5XBP_review_4013479</x:v>
      </x:c>
      <x:c r="D265" s="38" t="str">
        <x:v>B0C6TM5XBP</x:v>
      </x:c>
      <x:c r="E265" s="38" t="str">
        <x:v>bm25; hybrid_rrf; cross_encoder</x:v>
      </x:c>
      <x:c r="F265" s="99" t="n">
        <x:v>8</x:v>
      </x:c>
      <x:c r="G265" s="100" t="n">
        <x:v>26.79178605813609</x:v>
      </x:c>
      <x:c r="H265" s="99"/>
      <x:c r="I265" s="100"/>
      <x:c r="J265" s="99" t="n">
        <x:v>16</x:v>
      </x:c>
      <x:c r="K265" s="100" t="n">
        <x:v>0.014705882352941176</x:v>
      </x:c>
      <x:c r="L265" s="99" t="n">
        <x:v>10</x:v>
      </x:c>
      <x:c r="M265" s="100" t="n">
        <x:v>-0.7462027072906494</x:v>
      </x:c>
    </x:row>
    <x:row r="266">
      <x:c r="A266" s="38" t="str">
        <x:v>Q007::B0C4YP84GN_review_1080043</x:v>
      </x:c>
      <x:c r="B266" s="38" t="str">
        <x:v>Q007</x:v>
      </x:c>
      <x:c r="C266" s="38" t="str">
        <x:v>B0C4YP84GN_review_1080043</x:v>
      </x:c>
      <x:c r="D266" s="38" t="str">
        <x:v>B0C4YP84GN</x:v>
      </x:c>
      <x:c r="E266" s="38" t="str">
        <x:v>bm25</x:v>
      </x:c>
      <x:c r="F266" s="99" t="n">
        <x:v>19</x:v>
      </x:c>
      <x:c r="G266" s="100" t="n">
        <x:v>25.980989877355068</x:v>
      </x:c>
      <x:c r="H266" s="99"/>
      <x:c r="I266" s="100"/>
      <x:c r="J266" s="99"/>
      <x:c r="K266" s="100"/>
      <x:c r="L266" s="99"/>
      <x:c r="M266" s="100"/>
    </x:row>
    <x:row r="267">
      <x:c r="A267" s="38" t="str">
        <x:v>Q007::B09BK8L642_review_1071514</x:v>
      </x:c>
      <x:c r="B267" s="38" t="str">
        <x:v>Q007</x:v>
      </x:c>
      <x:c r="C267" s="38" t="str">
        <x:v>B09BK8L642_review_1071514</x:v>
      </x:c>
      <x:c r="D267" s="38" t="str">
        <x:v>B09BK8L642</x:v>
      </x:c>
      <x:c r="E267" s="38" t="str">
        <x:v>bm25; hybrid_rrf; cross_encoder</x:v>
      </x:c>
      <x:c r="F267" s="99" t="n">
        <x:v>3</x:v>
      </x:c>
      <x:c r="G267" s="100" t="n">
        <x:v>27.956728072439443</x:v>
      </x:c>
      <x:c r="H267" s="99"/>
      <x:c r="I267" s="100"/>
      <x:c r="J267" s="99" t="n">
        <x:v>6</x:v>
      </x:c>
      <x:c r="K267" s="100" t="n">
        <x:v>0.015873015873015872</x:v>
      </x:c>
      <x:c r="L267" s="99" t="n">
        <x:v>2</x:v>
      </x:c>
      <x:c r="M267" s="100" t="n">
        <x:v>2.3476693630218506</x:v>
      </x:c>
    </x:row>
    <x:row r="268">
      <x:c r="A268" s="38" t="str">
        <x:v>Q007::B0793GW74J_review_3121584</x:v>
      </x:c>
      <x:c r="B268" s="38" t="str">
        <x:v>Q007</x:v>
      </x:c>
      <x:c r="C268" s="38" t="str">
        <x:v>B0793GW74J_review_3121584</x:v>
      </x:c>
      <x:c r="D268" s="38" t="str">
        <x:v>B0793GW74J</x:v>
      </x:c>
      <x:c r="E268" s="38" t="str">
        <x:v>bm25</x:v>
      </x:c>
      <x:c r="F268" s="99" t="n">
        <x:v>15</x:v>
      </x:c>
      <x:c r="G268" s="100" t="n">
        <x:v>26.049685469539288</x:v>
      </x:c>
      <x:c r="H268" s="99"/>
      <x:c r="I268" s="100"/>
      <x:c r="J268" s="99"/>
      <x:c r="K268" s="100"/>
      <x:c r="L268" s="99"/>
      <x:c r="M268" s="100"/>
    </x:row>
    <x:row r="269">
      <x:c r="A269" s="38" t="str">
        <x:v>Q007::B00KG2RRYE_review_269668</x:v>
      </x:c>
      <x:c r="B269" s="38" t="str">
        <x:v>Q007</x:v>
      </x:c>
      <x:c r="C269" s="38" t="str">
        <x:v>B00KG2RRYE_review_269668</x:v>
      </x:c>
      <x:c r="D269" s="38" t="str">
        <x:v>B00KG2RRYE</x:v>
      </x:c>
      <x:c r="E269" s="38" t="str">
        <x:v>bm25; hybrid_rrf; cross_encoder</x:v>
      </x:c>
      <x:c r="F269" s="99" t="n">
        <x:v>7</x:v>
      </x:c>
      <x:c r="G269" s="100" t="n">
        <x:v>27.03631606252214</x:v>
      </x:c>
      <x:c r="H269" s="99"/>
      <x:c r="I269" s="100"/>
      <x:c r="J269" s="99" t="n">
        <x:v>13</x:v>
      </x:c>
      <x:c r="K269" s="100" t="n">
        <x:v>0.014925373134328358</x:v>
      </x:c>
      <x:c r="L269" s="99" t="n">
        <x:v>9</x:v>
      </x:c>
      <x:c r="M269" s="100" t="n">
        <x:v>-0.4411558508872986</x:v>
      </x:c>
    </x:row>
    <x:row r="270">
      <x:c r="A270" s="38" t="str">
        <x:v>Q007::B0BTHRQYCH_review_519193</x:v>
      </x:c>
      <x:c r="B270" s="38" t="str">
        <x:v>Q007</x:v>
      </x:c>
      <x:c r="C270" s="38" t="str">
        <x:v>B0BTHRQYCH_review_519193</x:v>
      </x:c>
      <x:c r="D270" s="38" t="str">
        <x:v>B0BTHRQYCH</x:v>
      </x:c>
      <x:c r="E270" s="38" t="str">
        <x:v>dense</x:v>
      </x:c>
      <x:c r="F270" s="99"/>
      <x:c r="G270" s="100"/>
      <x:c r="H270" s="99" t="n">
        <x:v>12</x:v>
      </x:c>
      <x:c r="I270" s="100" t="n">
        <x:v>0.7535232901573181</x:v>
      </x:c>
      <x:c r="J270" s="99"/>
      <x:c r="K270" s="100"/>
      <x:c r="L270" s="99"/>
      <x:c r="M270" s="100"/>
    </x:row>
    <x:row r="271">
      <x:c r="A271" s="38" t="str">
        <x:v>Q007::B00YR6BMS2_review_3715381</x:v>
      </x:c>
      <x:c r="B271" s="38" t="str">
        <x:v>Q007</x:v>
      </x:c>
      <x:c r="C271" s="38" t="str">
        <x:v>B00YR6BMS2_review_3715381</x:v>
      </x:c>
      <x:c r="D271" s="38" t="str">
        <x:v>B00YR6BMS2</x:v>
      </x:c>
      <x:c r="E271" s="38" t="str">
        <x:v>dense; hybrid_rrf; cross_encoder</x:v>
      </x:c>
      <x:c r="F271" s="99"/>
      <x:c r="G271" s="100"/>
      <x:c r="H271" s="99" t="n">
        <x:v>2</x:v>
      </x:c>
      <x:c r="I271" s="100" t="n">
        <x:v>0.768214225769043</x:v>
      </x:c>
      <x:c r="J271" s="99" t="n">
        <x:v>3</x:v>
      </x:c>
      <x:c r="K271" s="100" t="n">
        <x:v>0.016129032258064516</x:v>
      </x:c>
      <x:c r="L271" s="99" t="n">
        <x:v>8</x:v>
      </x:c>
      <x:c r="M271" s="100" t="n">
        <x:v>-0.41487205028533936</x:v>
      </x:c>
    </x:row>
    <x:row r="272">
      <x:c r="A272" s="38" t="str">
        <x:v>Q007::B086QZHNTY_review_3892226</x:v>
      </x:c>
      <x:c r="B272" s="38" t="str">
        <x:v>Q007</x:v>
      </x:c>
      <x:c r="C272" s="38" t="str">
        <x:v>B086QZHNTY_review_3892226</x:v>
      </x:c>
      <x:c r="D272" s="38" t="str">
        <x:v>B086QZHNTY</x:v>
      </x:c>
      <x:c r="E272" s="38" t="str">
        <x:v>dense</x:v>
      </x:c>
      <x:c r="F272" s="99"/>
      <x:c r="G272" s="100"/>
      <x:c r="H272" s="99" t="n">
        <x:v>18</x:v>
      </x:c>
      <x:c r="I272" s="100" t="n">
        <x:v>0.7505428194999695</x:v>
      </x:c>
      <x:c r="J272" s="99"/>
      <x:c r="K272" s="100"/>
      <x:c r="L272" s="99"/>
      <x:c r="M272" s="100"/>
    </x:row>
    <x:row r="273">
      <x:c r="A273" s="38" t="str">
        <x:v>Q007::B00VQJ084W_review_3221219</x:v>
      </x:c>
      <x:c r="B273" s="38" t="str">
        <x:v>Q007</x:v>
      </x:c>
      <x:c r="C273" s="38" t="str">
        <x:v>B00VQJ084W_review_3221219</x:v>
      </x:c>
      <x:c r="D273" s="38" t="str">
        <x:v>B00VQJ084W</x:v>
      </x:c>
      <x:c r="E273" s="38" t="str">
        <x:v>bm25</x:v>
      </x:c>
      <x:c r="F273" s="99" t="n">
        <x:v>18</x:v>
      </x:c>
      <x:c r="G273" s="100" t="n">
        <x:v>26.005506042120498</x:v>
      </x:c>
      <x:c r="H273" s="99"/>
      <x:c r="I273" s="100"/>
      <x:c r="J273" s="99"/>
      <x:c r="K273" s="100"/>
      <x:c r="L273" s="99"/>
      <x:c r="M273" s="100"/>
    </x:row>
    <x:row r="274">
      <x:c r="A274" s="38" t="str">
        <x:v>Q007::B004G60ARC_review_3380640</x:v>
      </x:c>
      <x:c r="B274" s="38" t="str">
        <x:v>Q007</x:v>
      </x:c>
      <x:c r="C274" s="38" t="str">
        <x:v>B004G60ARC_review_3380640</x:v>
      </x:c>
      <x:c r="D274" s="38" t="str">
        <x:v>B004G60ARC</x:v>
      </x:c>
      <x:c r="E274" s="38" t="str">
        <x:v>bm25; hybrid_rrf; cross_encoder</x:v>
      </x:c>
      <x:c r="F274" s="99" t="n">
        <x:v>5</x:v>
      </x:c>
      <x:c r="G274" s="100" t="n">
        <x:v>27.182081208513168</x:v>
      </x:c>
      <x:c r="H274" s="99"/>
      <x:c r="I274" s="100"/>
      <x:c r="J274" s="99" t="n">
        <x:v>9</x:v>
      </x:c>
      <x:c r="K274" s="100" t="n">
        <x:v>0.015384615384615385</x:v>
      </x:c>
      <x:c r="L274" s="99" t="n">
        <x:v>5</x:v>
      </x:c>
      <x:c r="M274" s="100" t="n">
        <x:v>0.7610025405883789</x:v>
      </x:c>
    </x:row>
    <x:row r="275">
      <x:c r="A275" s="38" t="str">
        <x:v>Q007::B0150Q1Y2G_review_1879815</x:v>
      </x:c>
      <x:c r="B275" s="38" t="str">
        <x:v>Q007</x:v>
      </x:c>
      <x:c r="C275" s="38" t="str">
        <x:v>B0150Q1Y2G_review_1879815</x:v>
      </x:c>
      <x:c r="D275" s="38" t="str">
        <x:v>B0150Q1Y2G</x:v>
      </x:c>
      <x:c r="E275" s="38" t="str">
        <x:v>dense; hybrid_rrf; cross_encoder</x:v>
      </x:c>
      <x:c r="F275" s="99"/>
      <x:c r="G275" s="100"/>
      <x:c r="H275" s="99" t="n">
        <x:v>3</x:v>
      </x:c>
      <x:c r="I275" s="100" t="n">
        <x:v>0.7651826739311218</x:v>
      </x:c>
      <x:c r="J275" s="99" t="n">
        <x:v>5</x:v>
      </x:c>
      <x:c r="K275" s="100" t="n">
        <x:v>0.015873015873015872</x:v>
      </x:c>
      <x:c r="L275" s="99" t="n">
        <x:v>4</x:v>
      </x:c>
      <x:c r="M275" s="100" t="n">
        <x:v>1.1196757555007935</x:v>
      </x:c>
    </x:row>
    <x:row r="276">
      <x:c r="A276" s="38" t="str">
        <x:v>Q008::B0019HYZZO_review_978845</x:v>
      </x:c>
      <x:c r="B276" s="38" t="str">
        <x:v>Q008</x:v>
      </x:c>
      <x:c r="C276" s="38" t="str">
        <x:v>B0019HYZZO_review_978845</x:v>
      </x:c>
      <x:c r="D276" s="38" t="str">
        <x:v>B0019HYZZO</x:v>
      </x:c>
      <x:c r="E276" s="38" t="str">
        <x:v>dense; hybrid_rrf; cross_encoder</x:v>
      </x:c>
      <x:c r="F276" s="99"/>
      <x:c r="G276" s="100"/>
      <x:c r="H276" s="99" t="n">
        <x:v>3</x:v>
      </x:c>
      <x:c r="I276" s="100" t="n">
        <x:v>0.7953017354011536</x:v>
      </x:c>
      <x:c r="J276" s="99" t="n">
        <x:v>5</x:v>
      </x:c>
      <x:c r="K276" s="100" t="n">
        <x:v>0.015873015873015872</x:v>
      </x:c>
      <x:c r="L276" s="99" t="n">
        <x:v>14</x:v>
      </x:c>
      <x:c r="M276" s="100" t="n">
        <x:v>2.291081190109253</x:v>
      </x:c>
    </x:row>
    <x:row r="277">
      <x:c r="A277" s="38" t="str">
        <x:v>Q008::B071HGTNJ2_review_2508360</x:v>
      </x:c>
      <x:c r="B277" s="38" t="str">
        <x:v>Q008</x:v>
      </x:c>
      <x:c r="C277" s="38" t="str">
        <x:v>B071HGTNJ2_review_2508360</x:v>
      </x:c>
      <x:c r="D277" s="38" t="str">
        <x:v>B071HGTNJ2</x:v>
      </x:c>
      <x:c r="E277" s="38" t="str">
        <x:v>bm25</x:v>
      </x:c>
      <x:c r="F277" s="99" t="n">
        <x:v>19</x:v>
      </x:c>
      <x:c r="G277" s="100" t="n">
        <x:v>32.268712687401504</x:v>
      </x:c>
      <x:c r="H277" s="99"/>
      <x:c r="I277" s="100"/>
      <x:c r="J277" s="99"/>
      <x:c r="K277" s="100"/>
      <x:c r="L277" s="99"/>
      <x:c r="M277" s="100"/>
    </x:row>
    <x:row r="278">
      <x:c r="A278" s="38" t="str">
        <x:v>Q008::B009VY1R9O_review_1888533</x:v>
      </x:c>
      <x:c r="B278" s="38" t="str">
        <x:v>Q008</x:v>
      </x:c>
      <x:c r="C278" s="38" t="str">
        <x:v>B009VY1R9O_review_1888533</x:v>
      </x:c>
      <x:c r="D278" s="38" t="str">
        <x:v>B009VY1R9O</x:v>
      </x:c>
      <x:c r="E278" s="38" t="str">
        <x:v>bm25; hybrid_rrf; cross_encoder</x:v>
      </x:c>
      <x:c r="F278" s="99" t="n">
        <x:v>4</x:v>
      </x:c>
      <x:c r="G278" s="100" t="n">
        <x:v>33.368178684621256</x:v>
      </x:c>
      <x:c r="H278" s="99"/>
      <x:c r="I278" s="100"/>
      <x:c r="J278" s="99" t="n">
        <x:v>7</x:v>
      </x:c>
      <x:c r="K278" s="100" t="n">
        <x:v>0.015625</x:v>
      </x:c>
      <x:c r="L278" s="99" t="n">
        <x:v>12</x:v>
      </x:c>
      <x:c r="M278" s="100" t="n">
        <x:v>3.300377368927002</x:v>
      </x:c>
    </x:row>
    <x:row r="279">
      <x:c r="A279" s="38" t="str">
        <x:v>Q008::B071HGTNJ2_review_2508353</x:v>
      </x:c>
      <x:c r="B279" s="38" t="str">
        <x:v>Q008</x:v>
      </x:c>
      <x:c r="C279" s="38" t="str">
        <x:v>B071HGTNJ2_review_2508353</x:v>
      </x:c>
      <x:c r="D279" s="38" t="str">
        <x:v>B071HGTNJ2</x:v>
      </x:c>
      <x:c r="E279" s="38" t="str">
        <x:v>bm25</x:v>
      </x:c>
      <x:c r="F279" s="99" t="n">
        <x:v>12</x:v>
      </x:c>
      <x:c r="G279" s="100" t="n">
        <x:v>32.427199741038166</x:v>
      </x:c>
      <x:c r="H279" s="99"/>
      <x:c r="I279" s="100"/>
      <x:c r="J279" s="99"/>
      <x:c r="K279" s="100"/>
      <x:c r="L279" s="99"/>
      <x:c r="M279" s="100"/>
    </x:row>
    <x:row r="280">
      <x:c r="A280" s="38" t="str">
        <x:v>Q008::B071HGTNJ2_review_2508348</x:v>
      </x:c>
      <x:c r="B280" s="38" t="str">
        <x:v>Q008</x:v>
      </x:c>
      <x:c r="C280" s="38" t="str">
        <x:v>B071HGTNJ2_review_2508348</x:v>
      </x:c>
      <x:c r="D280" s="38" t="str">
        <x:v>B071HGTNJ2</x:v>
      </x:c>
      <x:c r="E280" s="38" t="str">
        <x:v>bm25; hybrid_rrf; cross_encoder</x:v>
      </x:c>
      <x:c r="F280" s="99" t="n">
        <x:v>7</x:v>
      </x:c>
      <x:c r="G280" s="100" t="n">
        <x:v>33.15004667175449</x:v>
      </x:c>
      <x:c r="H280" s="99"/>
      <x:c r="I280" s="100"/>
      <x:c r="J280" s="99" t="n">
        <x:v>14</x:v>
      </x:c>
      <x:c r="K280" s="100" t="n">
        <x:v>0.014925373134328358</x:v>
      </x:c>
      <x:c r="L280" s="99" t="n">
        <x:v>1</x:v>
      </x:c>
      <x:c r="M280" s="100" t="n">
        <x:v>6.138888835906982</x:v>
      </x:c>
    </x:row>
    <x:row r="281">
      <x:c r="A281" s="38" t="str">
        <x:v>Q008::B00DU6RVIU_review_1282667</x:v>
      </x:c>
      <x:c r="B281" s="38" t="str">
        <x:v>Q008</x:v>
      </x:c>
      <x:c r="C281" s="38" t="str">
        <x:v>B00DU6RVIU_review_1282667</x:v>
      </x:c>
      <x:c r="D281" s="38" t="str">
        <x:v>B00DU6RVIU</x:v>
      </x:c>
      <x:c r="E281" s="38" t="str">
        <x:v>dense; hybrid_rrf; cross_encoder</x:v>
      </x:c>
      <x:c r="F281" s="99"/>
      <x:c r="G281" s="100"/>
      <x:c r="H281" s="99" t="n">
        <x:v>4</x:v>
      </x:c>
      <x:c r="I281" s="100" t="n">
        <x:v>0.7943300008773804</x:v>
      </x:c>
      <x:c r="J281" s="99" t="n">
        <x:v>8</x:v>
      </x:c>
      <x:c r="K281" s="100" t="n">
        <x:v>0.015625</x:v>
      </x:c>
      <x:c r="L281" s="99" t="n">
        <x:v>8</x:v>
      </x:c>
      <x:c r="M281" s="100" t="n">
        <x:v>4.316719055175781</x:v>
      </x:c>
    </x:row>
    <x:row r="282">
      <x:c r="A282" s="38" t="str">
        <x:v>Q008::B071HGTNJ2_review_2508356</x:v>
      </x:c>
      <x:c r="B282" s="38" t="str">
        <x:v>Q008</x:v>
      </x:c>
      <x:c r="C282" s="38" t="str">
        <x:v>B071HGTNJ2_review_2508356</x:v>
      </x:c>
      <x:c r="D282" s="38" t="str">
        <x:v>B071HGTNJ2</x:v>
      </x:c>
      <x:c r="E282" s="38" t="str">
        <x:v>bm25</x:v>
      </x:c>
      <x:c r="F282" s="99" t="n">
        <x:v>15</x:v>
      </x:c>
      <x:c r="G282" s="100" t="n">
        <x:v>32.3165551741999</x:v>
      </x:c>
      <x:c r="H282" s="99"/>
      <x:c r="I282" s="100"/>
      <x:c r="J282" s="99"/>
      <x:c r="K282" s="100"/>
      <x:c r="L282" s="99"/>
      <x:c r="M282" s="100"/>
    </x:row>
    <x:row r="283">
      <x:c r="A283" s="38" t="str">
        <x:v>Q008::B0041AF0BE_review_2363257</x:v>
      </x:c>
      <x:c r="B283" s="38" t="str">
        <x:v>Q008</x:v>
      </x:c>
      <x:c r="C283" s="38" t="str">
        <x:v>B0041AF0BE_review_2363257</x:v>
      </x:c>
      <x:c r="D283" s="38" t="str">
        <x:v>B0041AF0BE</x:v>
      </x:c>
      <x:c r="E283" s="38" t="str">
        <x:v>dense; hybrid_rrf; cross_encoder</x:v>
      </x:c>
      <x:c r="F283" s="99"/>
      <x:c r="G283" s="100"/>
      <x:c r="H283" s="99" t="n">
        <x:v>6</x:v>
      </x:c>
      <x:c r="I283" s="100" t="n">
        <x:v>0.789680004119873</x:v>
      </x:c>
      <x:c r="J283" s="99" t="n">
        <x:v>11</x:v>
      </x:c>
      <x:c r="K283" s="100" t="n">
        <x:v>0.015151515151515152</x:v>
      </x:c>
      <x:c r="L283" s="99" t="n">
        <x:v>17</x:v>
      </x:c>
      <x:c r="M283" s="100" t="n">
        <x:v>0.22095030546188354</x:v>
      </x:c>
    </x:row>
    <x:row r="284">
      <x:c r="A284" s="38" t="str">
        <x:v>Q008::B00KB8CLM6_review_418327</x:v>
      </x:c>
      <x:c r="B284" s="38" t="str">
        <x:v>Q008</x:v>
      </x:c>
      <x:c r="C284" s="38" t="str">
        <x:v>B00KB8CLM6_review_418327</x:v>
      </x:c>
      <x:c r="D284" s="38" t="str">
        <x:v>B00KB8CLM6</x:v>
      </x:c>
      <x:c r="E284" s="38" t="str">
        <x:v>dense</x:v>
      </x:c>
      <x:c r="F284" s="99"/>
      <x:c r="G284" s="100"/>
      <x:c r="H284" s="99" t="n">
        <x:v>13</x:v>
      </x:c>
      <x:c r="I284" s="100" t="n">
        <x:v>0.7842766046524048</x:v>
      </x:c>
      <x:c r="J284" s="99"/>
      <x:c r="K284" s="100"/>
      <x:c r="L284" s="99"/>
      <x:c r="M284" s="100"/>
    </x:row>
    <x:row r="285">
      <x:c r="A285" s="38" t="str">
        <x:v>Q008::B0163ZCJDQ_review_578170</x:v>
      </x:c>
      <x:c r="B285" s="38" t="str">
        <x:v>Q008</x:v>
      </x:c>
      <x:c r="C285" s="38" t="str">
        <x:v>B0163ZCJDQ_review_578170</x:v>
      </x:c>
      <x:c r="D285" s="38" t="str">
        <x:v>B0163ZCJDQ</x:v>
      </x:c>
      <x:c r="E285" s="38" t="str">
        <x:v>bm25; hybrid_rrf; cross_encoder</x:v>
      </x:c>
      <x:c r="F285" s="99" t="n">
        <x:v>3</x:v>
      </x:c>
      <x:c r="G285" s="100" t="n">
        <x:v>33.63073353742162</x:v>
      </x:c>
      <x:c r="H285" s="99"/>
      <x:c r="I285" s="100"/>
      <x:c r="J285" s="99" t="n">
        <x:v>6</x:v>
      </x:c>
      <x:c r="K285" s="100" t="n">
        <x:v>0.015873015873015872</x:v>
      </x:c>
      <x:c r="L285" s="99" t="n">
        <x:v>9</x:v>
      </x:c>
      <x:c r="M285" s="100" t="n">
        <x:v>3.935279369354248</x:v>
      </x:c>
    </x:row>
    <x:row r="286">
      <x:c r="A286" s="38" t="str">
        <x:v>Q008::B0924G76D8_review_3586544</x:v>
      </x:c>
      <x:c r="B286" s="38" t="str">
        <x:v>Q008</x:v>
      </x:c>
      <x:c r="C286" s="38" t="str">
        <x:v>B0924G76D8_review_3586544</x:v>
      </x:c>
      <x:c r="D286" s="38" t="str">
        <x:v>B0924G76D8</x:v>
      </x:c>
      <x:c r="E286" s="38" t="str">
        <x:v>bm25</x:v>
      </x:c>
      <x:c r="F286" s="99" t="n">
        <x:v>14</x:v>
      </x:c>
      <x:c r="G286" s="100" t="n">
        <x:v>32.412247984934176</x:v>
      </x:c>
      <x:c r="H286" s="99"/>
      <x:c r="I286" s="100"/>
      <x:c r="J286" s="99"/>
      <x:c r="K286" s="100"/>
      <x:c r="L286" s="99"/>
      <x:c r="M286" s="100"/>
    </x:row>
    <x:row r="287">
      <x:c r="A287" s="38" t="str">
        <x:v>Q008::B0192WNM9C_review_2912806</x:v>
      </x:c>
      <x:c r="B287" s="38" t="str">
        <x:v>Q008</x:v>
      </x:c>
      <x:c r="C287" s="38" t="str">
        <x:v>B0192WNM9C_review_2912806</x:v>
      </x:c>
      <x:c r="D287" s="38" t="str">
        <x:v>B0192WNM9C</x:v>
      </x:c>
      <x:c r="E287" s="38" t="str">
        <x:v>dense</x:v>
      </x:c>
      <x:c r="F287" s="99"/>
      <x:c r="G287" s="100"/>
      <x:c r="H287" s="99" t="n">
        <x:v>20</x:v>
      </x:c>
      <x:c r="I287" s="100" t="n">
        <x:v>0.7809629440307617</x:v>
      </x:c>
      <x:c r="J287" s="99"/>
      <x:c r="K287" s="100"/>
      <x:c r="L287" s="99"/>
      <x:c r="M287" s="100"/>
    </x:row>
    <x:row r="288">
      <x:c r="A288" s="38" t="str">
        <x:v>Q008::B071HGTNJ2_review_2508357</x:v>
      </x:c>
      <x:c r="B288" s="38" t="str">
        <x:v>Q008</x:v>
      </x:c>
      <x:c r="C288" s="38" t="str">
        <x:v>B071HGTNJ2_review_2508357</x:v>
      </x:c>
      <x:c r="D288" s="38" t="str">
        <x:v>B071HGTNJ2</x:v>
      </x:c>
      <x:c r="E288" s="38" t="str">
        <x:v>bm25; hybrid_rrf; cross_encoder</x:v>
      </x:c>
      <x:c r="F288" s="99" t="n">
        <x:v>8</x:v>
      </x:c>
      <x:c r="G288" s="100" t="n">
        <x:v>32.77300597986655</x:v>
      </x:c>
      <x:c r="H288" s="99"/>
      <x:c r="I288" s="100"/>
      <x:c r="J288" s="99" t="n">
        <x:v>16</x:v>
      </x:c>
      <x:c r="K288" s="100" t="n">
        <x:v>0.014705882352941176</x:v>
      </x:c>
      <x:c r="L288" s="99" t="n">
        <x:v>2</x:v>
      </x:c>
      <x:c r="M288" s="100" t="n">
        <x:v>5.233625411987305</x:v>
      </x:c>
    </x:row>
    <x:row r="289">
      <x:c r="A289" s="38" t="str">
        <x:v>Q008::B071HGTNJ2_review_2508351</x:v>
      </x:c>
      <x:c r="B289" s="38" t="str">
        <x:v>Q008</x:v>
      </x:c>
      <x:c r="C289" s="38" t="str">
        <x:v>B071HGTNJ2_review_2508351</x:v>
      </x:c>
      <x:c r="D289" s="38" t="str">
        <x:v>B071HGTNJ2</x:v>
      </x:c>
      <x:c r="E289" s="38" t="str">
        <x:v>bm25</x:v>
      </x:c>
      <x:c r="F289" s="99" t="n">
        <x:v>17</x:v>
      </x:c>
      <x:c r="G289" s="100" t="n">
        <x:v>32.28619608429048</x:v>
      </x:c>
      <x:c r="H289" s="99"/>
      <x:c r="I289" s="100"/>
      <x:c r="J289" s="99"/>
      <x:c r="K289" s="100"/>
      <x:c r="L289" s="99"/>
      <x:c r="M289" s="100"/>
    </x:row>
    <x:row r="290">
      <x:c r="A290" s="38" t="str">
        <x:v>Q008::B00KB8CPIQ_review_2495168</x:v>
      </x:c>
      <x:c r="B290" s="38" t="str">
        <x:v>Q008</x:v>
      </x:c>
      <x:c r="C290" s="38" t="str">
        <x:v>B00KB8CPIQ_review_2495168</x:v>
      </x:c>
      <x:c r="D290" s="38" t="str">
        <x:v>B00KB8CPIQ</x:v>
      </x:c>
      <x:c r="E290" s="38" t="str">
        <x:v>dense; hybrid_rrf; cross_encoder</x:v>
      </x:c>
      <x:c r="F290" s="99"/>
      <x:c r="G290" s="100"/>
      <x:c r="H290" s="99" t="n">
        <x:v>8</x:v>
      </x:c>
      <x:c r="I290" s="100" t="n">
        <x:v>0.7866023778915405</x:v>
      </x:c>
      <x:c r="J290" s="99" t="n">
        <x:v>15</x:v>
      </x:c>
      <x:c r="K290" s="100" t="n">
        <x:v>0.014705882352941176</x:v>
      </x:c>
      <x:c r="L290" s="99" t="n">
        <x:v>18</x:v>
      </x:c>
      <x:c r="M290" s="100" t="n">
        <x:v>0.1486133337020874</x:v>
      </x:c>
    </x:row>
    <x:row r="291">
      <x:c r="A291" s="38" t="str">
        <x:v>Q008::B07TM299F9_review_4157351</x:v>
      </x:c>
      <x:c r="B291" s="38" t="str">
        <x:v>Q008</x:v>
      </x:c>
      <x:c r="C291" s="38" t="str">
        <x:v>B07TM299F9_review_4157351</x:v>
      </x:c>
      <x:c r="D291" s="38" t="str">
        <x:v>B07TM299F9</x:v>
      </x:c>
      <x:c r="E291" s="38" t="str">
        <x:v>bm25</x:v>
      </x:c>
      <x:c r="F291" s="99" t="n">
        <x:v>13</x:v>
      </x:c>
      <x:c r="G291" s="100" t="n">
        <x:v>32.42125716534852</x:v>
      </x:c>
      <x:c r="H291" s="99"/>
      <x:c r="I291" s="100"/>
      <x:c r="J291" s="99"/>
      <x:c r="K291" s="100"/>
      <x:c r="L291" s="99"/>
      <x:c r="M291" s="100"/>
    </x:row>
    <x:row r="292">
      <x:c r="A292" s="38" t="str">
        <x:v>Q008::B0192WNM9C_review_2912801</x:v>
      </x:c>
      <x:c r="B292" s="38" t="str">
        <x:v>Q008</x:v>
      </x:c>
      <x:c r="C292" s="38" t="str">
        <x:v>B0192WNM9C_review_2912801</x:v>
      </x:c>
      <x:c r="D292" s="38" t="str">
        <x:v>B0192WNM9C</x:v>
      </x:c>
      <x:c r="E292" s="38" t="str">
        <x:v>dense</x:v>
      </x:c>
      <x:c r="F292" s="99"/>
      <x:c r="G292" s="100"/>
      <x:c r="H292" s="99" t="n">
        <x:v>11</x:v>
      </x:c>
      <x:c r="I292" s="100" t="n">
        <x:v>0.784700870513916</x:v>
      </x:c>
      <x:c r="J292" s="99"/>
      <x:c r="K292" s="100"/>
      <x:c r="L292" s="99"/>
      <x:c r="M292" s="100"/>
    </x:row>
    <x:row r="293">
      <x:c r="A293" s="38" t="str">
        <x:v>Q008::B0163ZCJDQ_review_578167</x:v>
      </x:c>
      <x:c r="B293" s="38" t="str">
        <x:v>Q008</x:v>
      </x:c>
      <x:c r="C293" s="38" t="str">
        <x:v>B0163ZCJDQ_review_578167</x:v>
      </x:c>
      <x:c r="D293" s="38" t="str">
        <x:v>B0163ZCJDQ</x:v>
      </x:c>
      <x:c r="E293" s="38" t="str">
        <x:v>bm25</x:v>
      </x:c>
      <x:c r="F293" s="99" t="n">
        <x:v>11</x:v>
      </x:c>
      <x:c r="G293" s="100" t="n">
        <x:v>32.62996046414408</x:v>
      </x:c>
      <x:c r="H293" s="99"/>
      <x:c r="I293" s="100"/>
      <x:c r="J293" s="99"/>
      <x:c r="K293" s="100"/>
      <x:c r="L293" s="99"/>
      <x:c r="M293" s="100"/>
    </x:row>
    <x:row r="294">
      <x:c r="A294" s="38" t="str">
        <x:v>Q008::B002PAQY76_review_2488767</x:v>
      </x:c>
      <x:c r="B294" s="38" t="str">
        <x:v>Q008</x:v>
      </x:c>
      <x:c r="C294" s="38" t="str">
        <x:v>B002PAQY76_review_2488767</x:v>
      </x:c>
      <x:c r="D294" s="38" t="str">
        <x:v>B002PAQY76</x:v>
      </x:c>
      <x:c r="E294" s="38" t="str">
        <x:v>bm25</x:v>
      </x:c>
      <x:c r="F294" s="99" t="n">
        <x:v>18</x:v>
      </x:c>
      <x:c r="G294" s="100" t="n">
        <x:v>32.27724508618064</x:v>
      </x:c>
      <x:c r="H294" s="99"/>
      <x:c r="I294" s="100"/>
      <x:c r="J294" s="99"/>
      <x:c r="K294" s="100"/>
      <x:c r="L294" s="99"/>
      <x:c r="M294" s="100"/>
    </x:row>
    <x:row r="295">
      <x:c r="A295" s="38" t="str">
        <x:v>Q008::B003JVKDJK_review_2649172</x:v>
      </x:c>
      <x:c r="B295" s="38" t="str">
        <x:v>Q008</x:v>
      </x:c>
      <x:c r="C295" s="38" t="str">
        <x:v>B003JVKDJK_review_2649172</x:v>
      </x:c>
      <x:c r="D295" s="38" t="str">
        <x:v>B003JVKDJK</x:v>
      </x:c>
      <x:c r="E295" s="38" t="str">
        <x:v>dense</x:v>
      </x:c>
      <x:c r="F295" s="99"/>
      <x:c r="G295" s="100"/>
      <x:c r="H295" s="99" t="n">
        <x:v>16</x:v>
      </x:c>
      <x:c r="I295" s="100" t="n">
        <x:v>0.7823629379272461</x:v>
      </x:c>
      <x:c r="J295" s="99"/>
      <x:c r="K295" s="100"/>
      <x:c r="L295" s="99"/>
      <x:c r="M295" s="100"/>
    </x:row>
    <x:row r="296">
      <x:c r="A296" s="38" t="str">
        <x:v>Q008::B0192WNM9C_review_2912787</x:v>
      </x:c>
      <x:c r="B296" s="38" t="str">
        <x:v>Q008</x:v>
      </x:c>
      <x:c r="C296" s="38" t="str">
        <x:v>B0192WNM9C_review_2912787</x:v>
      </x:c>
      <x:c r="D296" s="38" t="str">
        <x:v>B0192WNM9C</x:v>
      </x:c>
      <x:c r="E296" s="38" t="str">
        <x:v>dense; hybrid_rrf; cross_encoder</x:v>
      </x:c>
      <x:c r="F296" s="99"/>
      <x:c r="G296" s="100"/>
      <x:c r="H296" s="99" t="n">
        <x:v>9</x:v>
      </x:c>
      <x:c r="I296" s="100" t="n">
        <x:v>0.7851577997207642</x:v>
      </x:c>
      <x:c r="J296" s="99" t="n">
        <x:v>17</x:v>
      </x:c>
      <x:c r="K296" s="100" t="n">
        <x:v>0.014492753623188406</x:v>
      </x:c>
      <x:c r="L296" s="99" t="n">
        <x:v>5</x:v>
      </x:c>
      <x:c r="M296" s="100" t="n">
        <x:v>4.998443126678467</x:v>
      </x:c>
    </x:row>
    <x:row r="297">
      <x:c r="A297" s="38" t="str">
        <x:v>Q008::B004KJ6AHY_review_905961</x:v>
      </x:c>
      <x:c r="B297" s="38" t="str">
        <x:v>Q008</x:v>
      </x:c>
      <x:c r="C297" s="38" t="str">
        <x:v>B004KJ6AHY_review_905961</x:v>
      </x:c>
      <x:c r="D297" s="38" t="str">
        <x:v>B004KJ6AHY</x:v>
      </x:c>
      <x:c r="E297" s="38" t="str">
        <x:v>dense</x:v>
      </x:c>
      <x:c r="F297" s="99"/>
      <x:c r="G297" s="100"/>
      <x:c r="H297" s="99" t="n">
        <x:v>18</x:v>
      </x:c>
      <x:c r="I297" s="100" t="n">
        <x:v>0.7817134857177734</x:v>
      </x:c>
      <x:c r="J297" s="99"/>
      <x:c r="K297" s="100"/>
      <x:c r="L297" s="99"/>
      <x:c r="M297" s="100"/>
    </x:row>
    <x:row r="298">
      <x:c r="A298" s="38" t="str">
        <x:v>Q008::B006DKEQV0_review_1046702</x:v>
      </x:c>
      <x:c r="B298" s="38" t="str">
        <x:v>Q008</x:v>
      </x:c>
      <x:c r="C298" s="38" t="str">
        <x:v>B006DKEQV0_review_1046702</x:v>
      </x:c>
      <x:c r="D298" s="38" t="str">
        <x:v>B006DKEQV0</x:v>
      </x:c>
      <x:c r="E298" s="38" t="str">
        <x:v>dense; hybrid_rrf; cross_encoder</x:v>
      </x:c>
      <x:c r="F298" s="99"/>
      <x:c r="G298" s="100"/>
      <x:c r="H298" s="99" t="n">
        <x:v>10</x:v>
      </x:c>
      <x:c r="I298" s="100" t="n">
        <x:v>0.7849189639091492</x:v>
      </x:c>
      <x:c r="J298" s="99" t="n">
        <x:v>19</x:v>
      </x:c>
      <x:c r="K298" s="100" t="n">
        <x:v>0.014285714285714285</x:v>
      </x:c>
      <x:c r="L298" s="99" t="n">
        <x:v>19</x:v>
      </x:c>
      <x:c r="M298" s="100" t="n">
        <x:v>-0.009525004774332047</x:v>
      </x:c>
    </x:row>
    <x:row r="299">
      <x:c r="A299" s="38" t="str">
        <x:v>Q008::B0078IWS9I_review_117205</x:v>
      </x:c>
      <x:c r="B299" s="38" t="str">
        <x:v>Q008</x:v>
      </x:c>
      <x:c r="C299" s="38" t="str">
        <x:v>B0078IWS9I_review_117205</x:v>
      </x:c>
      <x:c r="D299" s="38" t="str">
        <x:v>B0078IWS9I</x:v>
      </x:c>
      <x:c r="E299" s="38" t="str">
        <x:v>dense; hybrid_rrf; cross_encoder</x:v>
      </x:c>
      <x:c r="F299" s="99"/>
      <x:c r="G299" s="100"/>
      <x:c r="H299" s="99" t="n">
        <x:v>2</x:v>
      </x:c>
      <x:c r="I299" s="100" t="n">
        <x:v>0.7963026165962219</x:v>
      </x:c>
      <x:c r="J299" s="99" t="n">
        <x:v>3</x:v>
      </x:c>
      <x:c r="K299" s="100" t="n">
        <x:v>0.016129032258064516</x:v>
      </x:c>
      <x:c r="L299" s="99" t="n">
        <x:v>20</x:v>
      </x:c>
      <x:c r="M299" s="100" t="n">
        <x:v>-0.7404723167419434</x:v>
      </x:c>
    </x:row>
    <x:row r="300">
      <x:c r="A300" s="38" t="str">
        <x:v>Q008::B071HGTNJ2_review_2508358</x:v>
      </x:c>
      <x:c r="B300" s="38" t="str">
        <x:v>Q008</x:v>
      </x:c>
      <x:c r="C300" s="38" t="str">
        <x:v>B071HGTNJ2_review_2508358</x:v>
      </x:c>
      <x:c r="D300" s="38" t="str">
        <x:v>B071HGTNJ2</x:v>
      </x:c>
      <x:c r="E300" s="38" t="str">
        <x:v>bm25; hybrid_rrf; cross_encoder</x:v>
      </x:c>
      <x:c r="F300" s="99" t="n">
        <x:v>9</x:v>
      </x:c>
      <x:c r="G300" s="100" t="n">
        <x:v>32.77300597986655</x:v>
      </x:c>
      <x:c r="H300" s="99"/>
      <x:c r="I300" s="100"/>
      <x:c r="J300" s="99" t="n">
        <x:v>18</x:v>
      </x:c>
      <x:c r="K300" s="100" t="n">
        <x:v>0.014492753623188406</x:v>
      </x:c>
      <x:c r="L300" s="99" t="n">
        <x:v>4</x:v>
      </x:c>
      <x:c r="M300" s="100" t="n">
        <x:v>5.07763147354126</x:v>
      </x:c>
    </x:row>
    <x:row r="301">
      <x:c r="A301" s="38" t="str">
        <x:v>Q008::B0078IWS9I_review_117195</x:v>
      </x:c>
      <x:c r="B301" s="38" t="str">
        <x:v>Q008</x:v>
      </x:c>
      <x:c r="C301" s="38" t="str">
        <x:v>B0078IWS9I_review_117195</x:v>
      </x:c>
      <x:c r="D301" s="38" t="str">
        <x:v>B0078IWS9I</x:v>
      </x:c>
      <x:c r="E301" s="38" t="str">
        <x:v>dense; hybrid_rrf; cross_encoder</x:v>
      </x:c>
      <x:c r="F301" s="99"/>
      <x:c r="G301" s="100"/>
      <x:c r="H301" s="99" t="n">
        <x:v>7</x:v>
      </x:c>
      <x:c r="I301" s="100" t="n">
        <x:v>0.7886903882026672</x:v>
      </x:c>
      <x:c r="J301" s="99" t="n">
        <x:v>13</x:v>
      </x:c>
      <x:c r="K301" s="100" t="n">
        <x:v>0.014925373134328358</x:v>
      </x:c>
      <x:c r="L301" s="99" t="n">
        <x:v>13</x:v>
      </x:c>
      <x:c r="M301" s="100" t="n">
        <x:v>2.4930224418640137</x:v>
      </x:c>
    </x:row>
    <x:row r="302">
      <x:c r="A302" s="38" t="str">
        <x:v>Q008::B071HGTNJ2_review_2508349</x:v>
      </x:c>
      <x:c r="B302" s="38" t="str">
        <x:v>Q008</x:v>
      </x:c>
      <x:c r="C302" s="38" t="str">
        <x:v>B071HGTNJ2_review_2508349</x:v>
      </x:c>
      <x:c r="D302" s="38" t="str">
        <x:v>B071HGTNJ2</x:v>
      </x:c>
      <x:c r="E302" s="38" t="str">
        <x:v>bm25</x:v>
      </x:c>
      <x:c r="F302" s="99" t="n">
        <x:v>16</x:v>
      </x:c>
      <x:c r="G302" s="100" t="n">
        <x:v>32.3019958724066</x:v>
      </x:c>
      <x:c r="H302" s="99"/>
      <x:c r="I302" s="100"/>
      <x:c r="J302" s="99"/>
      <x:c r="K302" s="100"/>
      <x:c r="L302" s="99"/>
      <x:c r="M302" s="100"/>
    </x:row>
    <x:row r="303">
      <x:c r="A303" s="38" t="str">
        <x:v>Q008::B00DU6RVIU_review_1282665</x:v>
      </x:c>
      <x:c r="B303" s="38" t="str">
        <x:v>Q008</x:v>
      </x:c>
      <x:c r="C303" s="38" t="str">
        <x:v>B00DU6RVIU_review_1282665</x:v>
      </x:c>
      <x:c r="D303" s="38" t="str">
        <x:v>B00DU6RVIU</x:v>
      </x:c>
      <x:c r="E303" s="38" t="str">
        <x:v>dense</x:v>
      </x:c>
      <x:c r="F303" s="99"/>
      <x:c r="G303" s="100"/>
      <x:c r="H303" s="99" t="n">
        <x:v>14</x:v>
      </x:c>
      <x:c r="I303" s="100" t="n">
        <x:v>0.7836339473724365</x:v>
      </x:c>
      <x:c r="J303" s="99"/>
      <x:c r="K303" s="100"/>
      <x:c r="L303" s="99"/>
      <x:c r="M303" s="100"/>
    </x:row>
    <x:row r="304">
      <x:c r="A304" s="38" t="str">
        <x:v>Q008::B07G5728W6_review_2707509</x:v>
      </x:c>
      <x:c r="B304" s="38" t="str">
        <x:v>Q008</x:v>
      </x:c>
      <x:c r="C304" s="38" t="str">
        <x:v>B07G5728W6_review_2707509</x:v>
      </x:c>
      <x:c r="D304" s="38" t="str">
        <x:v>B07G5728W6</x:v>
      </x:c>
      <x:c r="E304" s="38" t="str">
        <x:v>bm25</x:v>
      </x:c>
      <x:c r="F304" s="99" t="n">
        <x:v>20</x:v>
      </x:c>
      <x:c r="G304" s="100" t="n">
        <x:v>32.15927183176972</x:v>
      </x:c>
      <x:c r="H304" s="99"/>
      <x:c r="I304" s="100"/>
      <x:c r="J304" s="99"/>
      <x:c r="K304" s="100"/>
      <x:c r="L304" s="99"/>
      <x:c r="M304" s="100"/>
    </x:row>
    <x:row r="305">
      <x:c r="A305" s="38" t="str">
        <x:v>Q008::B07TM299F9_review_4157346</x:v>
      </x:c>
      <x:c r="B305" s="38" t="str">
        <x:v>Q008</x:v>
      </x:c>
      <x:c r="C305" s="38" t="str">
        <x:v>B07TM299F9_review_4157346</x:v>
      </x:c>
      <x:c r="D305" s="38" t="str">
        <x:v>B07TM299F9</x:v>
      </x:c>
      <x:c r="E305" s="38" t="str">
        <x:v>bm25; hybrid_rrf; cross_encoder</x:v>
      </x:c>
      <x:c r="F305" s="99" t="n">
        <x:v>6</x:v>
      </x:c>
      <x:c r="G305" s="100" t="n">
        <x:v>33.30027946197734</x:v>
      </x:c>
      <x:c r="H305" s="99"/>
      <x:c r="I305" s="100"/>
      <x:c r="J305" s="99" t="n">
        <x:v>12</x:v>
      </x:c>
      <x:c r="K305" s="100" t="n">
        <x:v>0.015151515151515152</x:v>
      </x:c>
      <x:c r="L305" s="99" t="n">
        <x:v>11</x:v>
      </x:c>
      <x:c r="M305" s="100" t="n">
        <x:v>3.4302496910095215</x:v>
      </x:c>
    </x:row>
    <x:row r="306">
      <x:c r="A306" s="38" t="str">
        <x:v>Q008::B00N13W1BY_review_2815059</x:v>
      </x:c>
      <x:c r="B306" s="38" t="str">
        <x:v>Q008</x:v>
      </x:c>
      <x:c r="C306" s="38" t="str">
        <x:v>B00N13W1BY_review_2815059</x:v>
      </x:c>
      <x:c r="D306" s="38" t="str">
        <x:v>B00N13W1BY</x:v>
      </x:c>
      <x:c r="E306" s="38" t="str">
        <x:v>bm25; hybrid_rrf; cross_encoder</x:v>
      </x:c>
      <x:c r="F306" s="99" t="n">
        <x:v>5</x:v>
      </x:c>
      <x:c r="G306" s="100" t="n">
        <x:v>33.30047934152295</x:v>
      </x:c>
      <x:c r="H306" s="99"/>
      <x:c r="I306" s="100"/>
      <x:c r="J306" s="99" t="n">
        <x:v>10</x:v>
      </x:c>
      <x:c r="K306" s="100" t="n">
        <x:v>0.015384615384615385</x:v>
      </x:c>
      <x:c r="L306" s="99" t="n">
        <x:v>15</x:v>
      </x:c>
      <x:c r="M306" s="100" t="n">
        <x:v>1.2292966842651367</x:v>
      </x:c>
    </x:row>
    <x:row r="307">
      <x:c r="A307" s="38" t="str">
        <x:v>Q008::B071HGTNJ2_review_2508359</x:v>
      </x:c>
      <x:c r="B307" s="38" t="str">
        <x:v>Q008</x:v>
      </x:c>
      <x:c r="C307" s="38" t="str">
        <x:v>B071HGTNJ2_review_2508359</x:v>
      </x:c>
      <x:c r="D307" s="38" t="str">
        <x:v>B071HGTNJ2</x:v>
      </x:c>
      <x:c r="E307" s="38" t="str">
        <x:v>bm25; hybrid_rrf; cross_encoder</x:v>
      </x:c>
      <x:c r="F307" s="99" t="n">
        <x:v>10</x:v>
      </x:c>
      <x:c r="G307" s="100" t="n">
        <x:v>32.77300597986655</x:v>
      </x:c>
      <x:c r="H307" s="99"/>
      <x:c r="I307" s="100"/>
      <x:c r="J307" s="99" t="n">
        <x:v>20</x:v>
      </x:c>
      <x:c r="K307" s="100" t="n">
        <x:v>0.014285714285714285</x:v>
      </x:c>
      <x:c r="L307" s="99" t="n">
        <x:v>6</x:v>
      </x:c>
      <x:c r="M307" s="100" t="n">
        <x:v>4.932231903076172</x:v>
      </x:c>
    </x:row>
    <x:row r="308">
      <x:c r="A308" s="38" t="str">
        <x:v>Q008::B00KESSKVY_review_775295</x:v>
      </x:c>
      <x:c r="B308" s="38" t="str">
        <x:v>Q008</x:v>
      </x:c>
      <x:c r="C308" s="38" t="str">
        <x:v>B00KESSKVY_review_775295</x:v>
      </x:c>
      <x:c r="D308" s="38" t="str">
        <x:v>B00KESSKVY</x:v>
      </x:c>
      <x:c r="E308" s="38" t="str">
        <x:v>dense</x:v>
      </x:c>
      <x:c r="F308" s="99"/>
      <x:c r="G308" s="100"/>
      <x:c r="H308" s="99" t="n">
        <x:v>12</x:v>
      </x:c>
      <x:c r="I308" s="100" t="n">
        <x:v>0.784458339214325</x:v>
      </x:c>
      <x:c r="J308" s="99"/>
      <x:c r="K308" s="100"/>
      <x:c r="L308" s="99"/>
      <x:c r="M308" s="100"/>
    </x:row>
    <x:row r="309">
      <x:c r="A309" s="38" t="str">
        <x:v>Q008::B0163ZCJDQ_review_578196</x:v>
      </x:c>
      <x:c r="B309" s="38" t="str">
        <x:v>Q008</x:v>
      </x:c>
      <x:c r="C309" s="38" t="str">
        <x:v>B0163ZCJDQ_review_578196</x:v>
      </x:c>
      <x:c r="D309" s="38" t="str">
        <x:v>B0163ZCJDQ</x:v>
      </x:c>
      <x:c r="E309" s="38" t="str">
        <x:v>dense</x:v>
      </x:c>
      <x:c r="F309" s="99"/>
      <x:c r="G309" s="100"/>
      <x:c r="H309" s="99" t="n">
        <x:v>15</x:v>
      </x:c>
      <x:c r="I309" s="100" t="n">
        <x:v>0.783062219619751</x:v>
      </x:c>
      <x:c r="J309" s="99"/>
      <x:c r="K309" s="100"/>
      <x:c r="L309" s="99"/>
      <x:c r="M309" s="100"/>
    </x:row>
    <x:row r="310">
      <x:c r="A310" s="38" t="str">
        <x:v>Q008::B00KB8CLM6_review_418325</x:v>
      </x:c>
      <x:c r="B310" s="38" t="str">
        <x:v>Q008</x:v>
      </x:c>
      <x:c r="C310" s="38" t="str">
        <x:v>B00KB8CLM6_review_418325</x:v>
      </x:c>
      <x:c r="D310" s="38" t="str">
        <x:v>B00KB8CLM6</x:v>
      </x:c>
      <x:c r="E310" s="38" t="str">
        <x:v>bm25; hybrid_rrf; cross_encoder</x:v>
      </x:c>
      <x:c r="F310" s="99" t="n">
        <x:v>1</x:v>
      </x:c>
      <x:c r="G310" s="100" t="n">
        <x:v>35.01846975859359</x:v>
      </x:c>
      <x:c r="H310" s="99"/>
      <x:c r="I310" s="100"/>
      <x:c r="J310" s="99" t="n">
        <x:v>1</x:v>
      </x:c>
      <x:c r="K310" s="100" t="n">
        <x:v>0.01639344262295082</x:v>
      </x:c>
      <x:c r="L310" s="99" t="n">
        <x:v>3</x:v>
      </x:c>
      <x:c r="M310" s="100" t="n">
        <x:v>5.174328804016113</x:v>
      </x:c>
    </x:row>
    <x:row r="311">
      <x:c r="A311" s="38" t="str">
        <x:v>Q008::B00ZSLVXDY_review_1899826</x:v>
      </x:c>
      <x:c r="B311" s="38" t="str">
        <x:v>Q008</x:v>
      </x:c>
      <x:c r="C311" s="38" t="str">
        <x:v>B00ZSLVXDY_review_1899826</x:v>
      </x:c>
      <x:c r="D311" s="38" t="str">
        <x:v>B00ZSLVXDY</x:v>
      </x:c>
      <x:c r="E311" s="38" t="str">
        <x:v>bm25; hybrid_rrf; cross_encoder</x:v>
      </x:c>
      <x:c r="F311" s="99" t="n">
        <x:v>2</x:v>
      </x:c>
      <x:c r="G311" s="100" t="n">
        <x:v>34.40301145819839</x:v>
      </x:c>
      <x:c r="H311" s="99"/>
      <x:c r="I311" s="100"/>
      <x:c r="J311" s="99" t="n">
        <x:v>4</x:v>
      </x:c>
      <x:c r="K311" s="100" t="n">
        <x:v>0.016129032258064516</x:v>
      </x:c>
      <x:c r="L311" s="99" t="n">
        <x:v>7</x:v>
      </x:c>
      <x:c r="M311" s="100" t="n">
        <x:v>4.737985610961914</x:v>
      </x:c>
    </x:row>
    <x:row r="312">
      <x:c r="A312" s="38" t="str">
        <x:v>Q008::B004KJ6AHY_review_905949</x:v>
      </x:c>
      <x:c r="B312" s="38" t="str">
        <x:v>Q008</x:v>
      </x:c>
      <x:c r="C312" s="38" t="str">
        <x:v>B004KJ6AHY_review_905949</x:v>
      </x:c>
      <x:c r="D312" s="38" t="str">
        <x:v>B004KJ6AHY</x:v>
      </x:c>
      <x:c r="E312" s="38" t="str">
        <x:v>dense; hybrid_rrf; cross_encoder</x:v>
      </x:c>
      <x:c r="F312" s="99"/>
      <x:c r="G312" s="100"/>
      <x:c r="H312" s="99" t="n">
        <x:v>5</x:v>
      </x:c>
      <x:c r="I312" s="100" t="n">
        <x:v>0.7928481101989746</x:v>
      </x:c>
      <x:c r="J312" s="99" t="n">
        <x:v>9</x:v>
      </x:c>
      <x:c r="K312" s="100" t="n">
        <x:v>0.015384615384615385</x:v>
      </x:c>
      <x:c r="L312" s="99" t="n">
        <x:v>16</x:v>
      </x:c>
      <x:c r="M312" s="100" t="n">
        <x:v>0.6301611661911011</x:v>
      </x:c>
    </x:row>
    <x:row r="313">
      <x:c r="A313" s="38" t="str">
        <x:v>Q008::B00KESSKVY_review_775299</x:v>
      </x:c>
      <x:c r="B313" s="38" t="str">
        <x:v>Q008</x:v>
      </x:c>
      <x:c r="C313" s="38" t="str">
        <x:v>B00KESSKVY_review_775299</x:v>
      </x:c>
      <x:c r="D313" s="38" t="str">
        <x:v>B00KESSKVY</x:v>
      </x:c>
      <x:c r="E313" s="38" t="str">
        <x:v>dense</x:v>
      </x:c>
      <x:c r="F313" s="99"/>
      <x:c r="G313" s="100"/>
      <x:c r="H313" s="99" t="n">
        <x:v>19</x:v>
      </x:c>
      <x:c r="I313" s="100" t="n">
        <x:v>0.7811712026596069</x:v>
      </x:c>
      <x:c r="J313" s="99"/>
      <x:c r="K313" s="100"/>
      <x:c r="L313" s="99"/>
      <x:c r="M313" s="100"/>
    </x:row>
    <x:row r="314">
      <x:c r="A314" s="38" t="str">
        <x:v>Q008::B0078IWS9I_review_117201</x:v>
      </x:c>
      <x:c r="B314" s="38" t="str">
        <x:v>Q008</x:v>
      </x:c>
      <x:c r="C314" s="38" t="str">
        <x:v>B0078IWS9I_review_117201</x:v>
      </x:c>
      <x:c r="D314" s="38" t="str">
        <x:v>B0078IWS9I</x:v>
      </x:c>
      <x:c r="E314" s="38" t="str">
        <x:v>dense</x:v>
      </x:c>
      <x:c r="F314" s="99"/>
      <x:c r="G314" s="100"/>
      <x:c r="H314" s="99" t="n">
        <x:v>17</x:v>
      </x:c>
      <x:c r="I314" s="100" t="n">
        <x:v>0.7818821668624878</x:v>
      </x:c>
      <x:c r="J314" s="99"/>
      <x:c r="K314" s="100"/>
      <x:c r="L314" s="99"/>
      <x:c r="M314" s="100"/>
    </x:row>
    <x:row r="315">
      <x:c r="A315" s="38" t="str">
        <x:v>Q008::B0192WNM9C_review_2912796</x:v>
      </x:c>
      <x:c r="B315" s="38" t="str">
        <x:v>Q008</x:v>
      </x:c>
      <x:c r="C315" s="38" t="str">
        <x:v>B0192WNM9C_review_2912796</x:v>
      </x:c>
      <x:c r="D315" s="38" t="str">
        <x:v>B0192WNM9C</x:v>
      </x:c>
      <x:c r="E315" s="38" t="str">
        <x:v>dense; hybrid_rrf; cross_encoder</x:v>
      </x:c>
      <x:c r="F315" s="99"/>
      <x:c r="G315" s="100"/>
      <x:c r="H315" s="99" t="n">
        <x:v>1</x:v>
      </x:c>
      <x:c r="I315" s="100" t="n">
        <x:v>0.797089159488678</x:v>
      </x:c>
      <x:c r="J315" s="99" t="n">
        <x:v>2</x:v>
      </x:c>
      <x:c r="K315" s="100" t="n">
        <x:v>0.01639344262295082</x:v>
      </x:c>
      <x:c r="L315" s="99" t="n">
        <x:v>10</x:v>
      </x:c>
      <x:c r="M315" s="100" t="n">
        <x:v>3.5184454917907715</x:v>
      </x:c>
    </x:row>
    <x:row r="316">
      <x:c r="A316" s="38" t="str">
        <x:v>Q009::B00A8CH5DU_review_3224791</x:v>
      </x:c>
      <x:c r="B316" s="38" t="str">
        <x:v>Q009</x:v>
      </x:c>
      <x:c r="C316" s="38" t="str">
        <x:v>B00A8CH5DU_review_3224791</x:v>
      </x:c>
      <x:c r="D316" s="38" t="str">
        <x:v>B00A8CH5DU</x:v>
      </x:c>
      <x:c r="E316" s="38" t="str">
        <x:v>dense; hybrid_rrf; cross_encoder</x:v>
      </x:c>
      <x:c r="F316" s="99"/>
      <x:c r="G316" s="100"/>
      <x:c r="H316" s="99" t="n">
        <x:v>8</x:v>
      </x:c>
      <x:c r="I316" s="100" t="n">
        <x:v>0.7082391977310181</x:v>
      </x:c>
      <x:c r="J316" s="99" t="n">
        <x:v>16</x:v>
      </x:c>
      <x:c r="K316" s="100" t="n">
        <x:v>0.014705882352941176</x:v>
      </x:c>
      <x:c r="L316" s="99" t="n">
        <x:v>10</x:v>
      </x:c>
      <x:c r="M316" s="100" t="n">
        <x:v>0.494753897190094</x:v>
      </x:c>
    </x:row>
    <x:row r="317">
      <x:c r="A317" s="38" t="str">
        <x:v>Q009::B088FQ5GQW_review_2171796</x:v>
      </x:c>
      <x:c r="B317" s="38" t="str">
        <x:v>Q009</x:v>
      </x:c>
      <x:c r="C317" s="38" t="str">
        <x:v>B088FQ5GQW_review_2171796</x:v>
      </x:c>
      <x:c r="D317" s="38" t="str">
        <x:v>B088FQ5GQW</x:v>
      </x:c>
      <x:c r="E317" s="38" t="str">
        <x:v>bm25; hybrid_rrf; cross_encoder</x:v>
      </x:c>
      <x:c r="F317" s="99" t="n">
        <x:v>2</x:v>
      </x:c>
      <x:c r="G317" s="100" t="n">
        <x:v>36.63685036024567</x:v>
      </x:c>
      <x:c r="H317" s="99"/>
      <x:c r="I317" s="100"/>
      <x:c r="J317" s="99" t="n">
        <x:v>5</x:v>
      </x:c>
      <x:c r="K317" s="100" t="n">
        <x:v>0.016129032258064516</x:v>
      </x:c>
      <x:c r="L317" s="99" t="n">
        <x:v>16</x:v>
      </x:c>
      <x:c r="M317" s="100" t="n">
        <x:v>-2.887894630432129</x:v>
      </x:c>
    </x:row>
    <x:row r="318">
      <x:c r="A318" s="38" t="str">
        <x:v>Q009::B07KSCG3XK_review_338767</x:v>
      </x:c>
      <x:c r="B318" s="38" t="str">
        <x:v>Q009</x:v>
      </x:c>
      <x:c r="C318" s="38" t="str">
        <x:v>B07KSCG3XK_review_338767</x:v>
      </x:c>
      <x:c r="D318" s="38" t="str">
        <x:v>B07KSCG3XK</x:v>
      </x:c>
      <x:c r="E318" s="38" t="str">
        <x:v>bm25</x:v>
      </x:c>
      <x:c r="F318" s="99" t="n">
        <x:v>18</x:v>
      </x:c>
      <x:c r="G318" s="100" t="n">
        <x:v>32.2100107798386</x:v>
      </x:c>
      <x:c r="H318" s="99"/>
      <x:c r="I318" s="100"/>
      <x:c r="J318" s="99"/>
      <x:c r="K318" s="100"/>
      <x:c r="L318" s="99"/>
      <x:c r="M318" s="100"/>
    </x:row>
    <x:row r="319">
      <x:c r="A319" s="38" t="str">
        <x:v>Q009::B08FWRZCV9_review_410662</x:v>
      </x:c>
      <x:c r="B319" s="38" t="str">
        <x:v>Q009</x:v>
      </x:c>
      <x:c r="C319" s="38" t="str">
        <x:v>B08FWRZCV9_review_410662</x:v>
      </x:c>
      <x:c r="D319" s="38" t="str">
        <x:v>B08FWRZCV9</x:v>
      </x:c>
      <x:c r="E319" s="38" t="str">
        <x:v>bm25; hybrid_rrf; cross_encoder</x:v>
      </x:c>
      <x:c r="F319" s="99" t="n">
        <x:v>4</x:v>
      </x:c>
      <x:c r="G319" s="100" t="n">
        <x:v>35.813402534636595</x:v>
      </x:c>
      <x:c r="H319" s="99"/>
      <x:c r="I319" s="100"/>
      <x:c r="J319" s="99" t="n">
        <x:v>9</x:v>
      </x:c>
      <x:c r="K319" s="100" t="n">
        <x:v>0.015625</x:v>
      </x:c>
      <x:c r="L319" s="99" t="n">
        <x:v>13</x:v>
      </x:c>
      <x:c r="M319" s="100" t="n">
        <x:v>-2.059640645980835</x:v>
      </x:c>
    </x:row>
    <x:row r="320">
      <x:c r="A320" s="38" t="str">
        <x:v>Q009::B007RFA3OE_review_2886123</x:v>
      </x:c>
      <x:c r="B320" s="38" t="str">
        <x:v>Q009</x:v>
      </x:c>
      <x:c r="C320" s="38" t="str">
        <x:v>B007RFA3OE_review_2886123</x:v>
      </x:c>
      <x:c r="D320" s="38" t="str">
        <x:v>B007RFA3OE</x:v>
      </x:c>
      <x:c r="E320" s="38" t="str">
        <x:v>dense</x:v>
      </x:c>
      <x:c r="F320" s="99"/>
      <x:c r="G320" s="100"/>
      <x:c r="H320" s="99" t="n">
        <x:v>12</x:v>
      </x:c>
      <x:c r="I320" s="100" t="n">
        <x:v>0.7051429748535156</x:v>
      </x:c>
      <x:c r="J320" s="99"/>
      <x:c r="K320" s="100"/>
      <x:c r="L320" s="99"/>
      <x:c r="M320" s="100"/>
    </x:row>
    <x:row r="321">
      <x:c r="A321" s="38" t="str">
        <x:v>Q009::B07F3RDJSC_review_3600922</x:v>
      </x:c>
      <x:c r="B321" s="38" t="str">
        <x:v>Q009</x:v>
      </x:c>
      <x:c r="C321" s="38" t="str">
        <x:v>B07F3RDJSC_review_3600922</x:v>
      </x:c>
      <x:c r="D321" s="38" t="str">
        <x:v>B07F3RDJSC</x:v>
      </x:c>
      <x:c r="E321" s="38" t="str">
        <x:v>bm25; dense; hybrid_rrf; cross_encoder</x:v>
      </x:c>
      <x:c r="F321" s="99" t="n">
        <x:v>16</x:v>
      </x:c>
      <x:c r="G321" s="100" t="n">
        <x:v>32.87273328405428</x:v>
      </x:c>
      <x:c r="H321" s="99" t="n">
        <x:v>17</x:v>
      </x:c>
      <x:c r="I321" s="100" t="n">
        <x:v>0.7009650468826294</x:v>
      </x:c>
      <x:c r="J321" s="99" t="n">
        <x:v>1</x:v>
      </x:c>
      <x:c r="K321" s="100" t="n">
        <x:v>0.026144907723855092</x:v>
      </x:c>
      <x:c r="L321" s="99" t="n">
        <x:v>11</x:v>
      </x:c>
      <x:c r="M321" s="100" t="n">
        <x:v>-0.06797273457050323</x:v>
      </x:c>
    </x:row>
    <x:row r="322">
      <x:c r="A322" s="38" t="str">
        <x:v>Q009::B08P6RTBGQ_review_3083426</x:v>
      </x:c>
      <x:c r="B322" s="38" t="str">
        <x:v>Q009</x:v>
      </x:c>
      <x:c r="C322" s="38" t="str">
        <x:v>B08P6RTBGQ_review_3083426</x:v>
      </x:c>
      <x:c r="D322" s="38" t="str">
        <x:v>B08P6RTBGQ</x:v>
      </x:c>
      <x:c r="E322" s="38" t="str">
        <x:v>bm25</x:v>
      </x:c>
      <x:c r="F322" s="99" t="n">
        <x:v>19</x:v>
      </x:c>
      <x:c r="G322" s="100" t="n">
        <x:v>32.17763588795469</x:v>
      </x:c>
      <x:c r="H322" s="99"/>
      <x:c r="I322" s="100"/>
      <x:c r="J322" s="99"/>
      <x:c r="K322" s="100"/>
      <x:c r="L322" s="99"/>
      <x:c r="M322" s="100"/>
    </x:row>
    <x:row r="323">
      <x:c r="A323" s="38" t="str">
        <x:v>Q009::B004MAM3DG_review_984116</x:v>
      </x:c>
      <x:c r="B323" s="38" t="str">
        <x:v>Q009</x:v>
      </x:c>
      <x:c r="C323" s="38" t="str">
        <x:v>B004MAM3DG_review_984116</x:v>
      </x:c>
      <x:c r="D323" s="38" t="str">
        <x:v>B004MAM3DG</x:v>
      </x:c>
      <x:c r="E323" s="38" t="str">
        <x:v>dense; hybrid_rrf; cross_encoder</x:v>
      </x:c>
      <x:c r="F323" s="99"/>
      <x:c r="G323" s="100"/>
      <x:c r="H323" s="99" t="n">
        <x:v>7</x:v>
      </x:c>
      <x:c r="I323" s="100" t="n">
        <x:v>0.7091437578201294</x:v>
      </x:c>
      <x:c r="J323" s="99" t="n">
        <x:v>14</x:v>
      </x:c>
      <x:c r="K323" s="100" t="n">
        <x:v>0.014925373134328358</x:v>
      </x:c>
      <x:c r="L323" s="99" t="n">
        <x:v>12</x:v>
      </x:c>
      <x:c r="M323" s="100" t="n">
        <x:v>-2.0330514907836914</x:v>
      </x:c>
    </x:row>
    <x:row r="324">
      <x:c r="A324" s="38" t="str">
        <x:v>Q009::B0075W8E4A_review_2963290</x:v>
      </x:c>
      <x:c r="B324" s="38" t="str">
        <x:v>Q009</x:v>
      </x:c>
      <x:c r="C324" s="38" t="str">
        <x:v>B0075W8E4A_review_2963290</x:v>
      </x:c>
      <x:c r="D324" s="38" t="str">
        <x:v>B0075W8E4A</x:v>
      </x:c>
      <x:c r="E324" s="38" t="str">
        <x:v>dense</x:v>
      </x:c>
      <x:c r="F324" s="99"/>
      <x:c r="G324" s="100"/>
      <x:c r="H324" s="99" t="n">
        <x:v>11</x:v>
      </x:c>
      <x:c r="I324" s="100" t="n">
        <x:v>0.7058547139167786</x:v>
      </x:c>
      <x:c r="J324" s="99"/>
      <x:c r="K324" s="100"/>
      <x:c r="L324" s="99"/>
      <x:c r="M324" s="100"/>
    </x:row>
    <x:row r="325">
      <x:c r="A325" s="38" t="str">
        <x:v>Q009::B08R9D82YJ_review_1678372</x:v>
      </x:c>
      <x:c r="B325" s="38" t="str">
        <x:v>Q009</x:v>
      </x:c>
      <x:c r="C325" s="38" t="str">
        <x:v>B08R9D82YJ_review_1678372</x:v>
      </x:c>
      <x:c r="D325" s="38" t="str">
        <x:v>B08R9D82YJ</x:v>
      </x:c>
      <x:c r="E325" s="38" t="str">
        <x:v>bm25; hybrid_rrf; cross_encoder</x:v>
      </x:c>
      <x:c r="F325" s="99" t="n">
        <x:v>8</x:v>
      </x:c>
      <x:c r="G325" s="100" t="n">
        <x:v>34.6630626276138</x:v>
      </x:c>
      <x:c r="H325" s="99"/>
      <x:c r="I325" s="100"/>
      <x:c r="J325" s="99" t="n">
        <x:v>17</x:v>
      </x:c>
      <x:c r="K325" s="100" t="n">
        <x:v>0.014705882352941176</x:v>
      </x:c>
      <x:c r="L325" s="99" t="n">
        <x:v>18</x:v>
      </x:c>
      <x:c r="M325" s="100" t="n">
        <x:v>-4.981845378875732</x:v>
      </x:c>
    </x:row>
    <x:row r="326">
      <x:c r="A326" s="38" t="str">
        <x:v>Q009::B07VDB92RK_review_1756748</x:v>
      </x:c>
      <x:c r="B326" s="38" t="str">
        <x:v>Q009</x:v>
      </x:c>
      <x:c r="C326" s="38" t="str">
        <x:v>B07VDB92RK_review_1756748</x:v>
      </x:c>
      <x:c r="D326" s="38" t="str">
        <x:v>B07VDB92RK</x:v>
      </x:c>
      <x:c r="E326" s="38" t="str">
        <x:v>dense</x:v>
      </x:c>
      <x:c r="F326" s="99"/>
      <x:c r="G326" s="100"/>
      <x:c r="H326" s="99" t="n">
        <x:v>16</x:v>
      </x:c>
      <x:c r="I326" s="100" t="n">
        <x:v>0.701548159122467</x:v>
      </x:c>
      <x:c r="J326" s="99"/>
      <x:c r="K326" s="100"/>
      <x:c r="L326" s="99"/>
      <x:c r="M326" s="100"/>
    </x:row>
    <x:row r="327">
      <x:c r="A327" s="38" t="str">
        <x:v>Q009::B00FJDUPX0_review_4051465</x:v>
      </x:c>
      <x:c r="B327" s="38" t="str">
        <x:v>Q009</x:v>
      </x:c>
      <x:c r="C327" s="38" t="str">
        <x:v>B00FJDUPX0_review_4051465</x:v>
      </x:c>
      <x:c r="D327" s="38" t="str">
        <x:v>B00FJDUPX0</x:v>
      </x:c>
      <x:c r="E327" s="38" t="str">
        <x:v>dense; hybrid_rrf; cross_encoder</x:v>
      </x:c>
      <x:c r="F327" s="99"/>
      <x:c r="G327" s="100"/>
      <x:c r="H327" s="99" t="n">
        <x:v>5</x:v>
      </x:c>
      <x:c r="I327" s="100" t="n">
        <x:v>0.7158843278884888</x:v>
      </x:c>
      <x:c r="J327" s="99" t="n">
        <x:v>11</x:v>
      </x:c>
      <x:c r="K327" s="100" t="n">
        <x:v>0.015384615384615385</x:v>
      </x:c>
      <x:c r="L327" s="99" t="n">
        <x:v>8</x:v>
      </x:c>
      <x:c r="M327" s="100" t="n">
        <x:v>2.0836572647094727</x:v>
      </x:c>
    </x:row>
    <x:row r="328">
      <x:c r="A328" s="38" t="str">
        <x:v>Q009::B07KSCG3XK_review_338759</x:v>
      </x:c>
      <x:c r="B328" s="38" t="str">
        <x:v>Q009</x:v>
      </x:c>
      <x:c r="C328" s="38" t="str">
        <x:v>B07KSCG3XK_review_338759</x:v>
      </x:c>
      <x:c r="D328" s="38" t="str">
        <x:v>B07KSCG3XK</x:v>
      </x:c>
      <x:c r="E328" s="38" t="str">
        <x:v>bm25</x:v>
      </x:c>
      <x:c r="F328" s="99" t="n">
        <x:v>20</x:v>
      </x:c>
      <x:c r="G328" s="100" t="n">
        <x:v>32.11525545087082</x:v>
      </x:c>
      <x:c r="H328" s="99"/>
      <x:c r="I328" s="100"/>
      <x:c r="J328" s="99"/>
      <x:c r="K328" s="100"/>
      <x:c r="L328" s="99"/>
      <x:c r="M328" s="100"/>
    </x:row>
    <x:row r="329">
      <x:c r="A329" s="38" t="str">
        <x:v>Q009::B00A8CH5DU_review_3224783</x:v>
      </x:c>
      <x:c r="B329" s="38" t="str">
        <x:v>Q009</x:v>
      </x:c>
      <x:c r="C329" s="38" t="str">
        <x:v>B00A8CH5DU_review_3224783</x:v>
      </x:c>
      <x:c r="D329" s="38" t="str">
        <x:v>B00A8CH5DU</x:v>
      </x:c>
      <x:c r="E329" s="38" t="str">
        <x:v>dense; hybrid_rrf; cross_encoder</x:v>
      </x:c>
      <x:c r="F329" s="99"/>
      <x:c r="G329" s="100"/>
      <x:c r="H329" s="99" t="n">
        <x:v>3</x:v>
      </x:c>
      <x:c r="I329" s="100" t="n">
        <x:v>0.718092143535614</x:v>
      </x:c>
      <x:c r="J329" s="99" t="n">
        <x:v>6</x:v>
      </x:c>
      <x:c r="K329" s="100" t="n">
        <x:v>0.015873015873015872</x:v>
      </x:c>
      <x:c r="L329" s="99" t="n">
        <x:v>4</x:v>
      </x:c>
      <x:c r="M329" s="100" t="n">
        <x:v>2.9567654132843018</x:v>
      </x:c>
    </x:row>
    <x:row r="330">
      <x:c r="A330" s="38" t="str">
        <x:v>Q009::B008O8F9J2_review_292551</x:v>
      </x:c>
      <x:c r="B330" s="38" t="str">
        <x:v>Q009</x:v>
      </x:c>
      <x:c r="C330" s="38" t="str">
        <x:v>B008O8F9J2_review_292551</x:v>
      </x:c>
      <x:c r="D330" s="38" t="str">
        <x:v>B008O8F9J2</x:v>
      </x:c>
      <x:c r="E330" s="38" t="str">
        <x:v>dense; hybrid_rrf; cross_encoder</x:v>
      </x:c>
      <x:c r="F330" s="99"/>
      <x:c r="G330" s="100"/>
      <x:c r="H330" s="99" t="n">
        <x:v>4</x:v>
      </x:c>
      <x:c r="I330" s="100" t="n">
        <x:v>0.7179552912712097</x:v>
      </x:c>
      <x:c r="J330" s="99" t="n">
        <x:v>8</x:v>
      </x:c>
      <x:c r="K330" s="100" t="n">
        <x:v>0.015625</x:v>
      </x:c>
      <x:c r="L330" s="99" t="n">
        <x:v>19</x:v>
      </x:c>
      <x:c r="M330" s="100" t="n">
        <x:v>-6.820140838623047</x:v>
      </x:c>
    </x:row>
    <x:row r="331">
      <x:c r="A331" s="38" t="str">
        <x:v>Q009::B00FJDUPX0_review_4051492</x:v>
      </x:c>
      <x:c r="B331" s="38" t="str">
        <x:v>Q009</x:v>
      </x:c>
      <x:c r="C331" s="38" t="str">
        <x:v>B00FJDUPX0_review_4051492</x:v>
      </x:c>
      <x:c r="D331" s="38" t="str">
        <x:v>B00FJDUPX0</x:v>
      </x:c>
      <x:c r="E331" s="38" t="str">
        <x:v>dense; hybrid_rrf; cross_encoder</x:v>
      </x:c>
      <x:c r="F331" s="99"/>
      <x:c r="G331" s="100"/>
      <x:c r="H331" s="99" t="n">
        <x:v>6</x:v>
      </x:c>
      <x:c r="I331" s="100" t="n">
        <x:v>0.7118947505950928</x:v>
      </x:c>
      <x:c r="J331" s="99" t="n">
        <x:v>13</x:v>
      </x:c>
      <x:c r="K331" s="100" t="n">
        <x:v>0.015151515151515152</x:v>
      </x:c>
      <x:c r="L331" s="99" t="n">
        <x:v>20</x:v>
      </x:c>
      <x:c r="M331" s="100" t="n">
        <x:v>-9.027992248535156</x:v>
      </x:c>
    </x:row>
    <x:row r="332">
      <x:c r="A332" s="38" t="str">
        <x:v>Q009::B006R9UURQ_review_309037</x:v>
      </x:c>
      <x:c r="B332" s="38" t="str">
        <x:v>Q009</x:v>
      </x:c>
      <x:c r="C332" s="38" t="str">
        <x:v>B006R9UURQ_review_309037</x:v>
      </x:c>
      <x:c r="D332" s="38" t="str">
        <x:v>B006R9UURQ</x:v>
      </x:c>
      <x:c r="E332" s="38" t="str">
        <x:v>dense</x:v>
      </x:c>
      <x:c r="F332" s="99"/>
      <x:c r="G332" s="100"/>
      <x:c r="H332" s="99" t="n">
        <x:v>20</x:v>
      </x:c>
      <x:c r="I332" s="100" t="n">
        <x:v>0.6987109780311584</x:v>
      </x:c>
      <x:c r="J332" s="99"/>
      <x:c r="K332" s="100"/>
      <x:c r="L332" s="99"/>
      <x:c r="M332" s="100"/>
    </x:row>
    <x:row r="333">
      <x:c r="A333" s="38" t="str">
        <x:v>Q009::B088FQ5GQW_review_2171824</x:v>
      </x:c>
      <x:c r="B333" s="38" t="str">
        <x:v>Q009</x:v>
      </x:c>
      <x:c r="C333" s="38" t="str">
        <x:v>B088FQ5GQW_review_2171824</x:v>
      </x:c>
      <x:c r="D333" s="38" t="str">
        <x:v>B088FQ5GQW</x:v>
      </x:c>
      <x:c r="E333" s="38" t="str">
        <x:v>bm25; hybrid_rrf; cross_encoder</x:v>
      </x:c>
      <x:c r="F333" s="99" t="n">
        <x:v>7</x:v>
      </x:c>
      <x:c r="G333" s="100" t="n">
        <x:v>34.74491712869948</x:v>
      </x:c>
      <x:c r="H333" s="99"/>
      <x:c r="I333" s="100"/>
      <x:c r="J333" s="99" t="n">
        <x:v>15</x:v>
      </x:c>
      <x:c r="K333" s="100" t="n">
        <x:v>0.014925373134328358</x:v>
      </x:c>
      <x:c r="L333" s="99" t="n">
        <x:v>17</x:v>
      </x:c>
      <x:c r="M333" s="100" t="n">
        <x:v>-4.902273178100586</x:v>
      </x:c>
    </x:row>
    <x:row r="334">
      <x:c r="A334" s="38" t="str">
        <x:v>Q009::B08BR939G5_review_2644204</x:v>
      </x:c>
      <x:c r="B334" s="38" t="str">
        <x:v>Q009</x:v>
      </x:c>
      <x:c r="C334" s="38" t="str">
        <x:v>B08BR939G5_review_2644204</x:v>
      </x:c>
      <x:c r="D334" s="38" t="str">
        <x:v>B08BR939G5</x:v>
      </x:c>
      <x:c r="E334" s="38" t="str">
        <x:v>bm25; hybrid_rrf; cross_encoder</x:v>
      </x:c>
      <x:c r="F334" s="99" t="n">
        <x:v>9</x:v>
      </x:c>
      <x:c r="G334" s="100" t="n">
        <x:v>34.26491800330958</x:v>
      </x:c>
      <x:c r="H334" s="99"/>
      <x:c r="I334" s="100"/>
      <x:c r="J334" s="99" t="n">
        <x:v>19</x:v>
      </x:c>
      <x:c r="K334" s="100" t="n">
        <x:v>0.014492753623188406</x:v>
      </x:c>
      <x:c r="L334" s="99" t="n">
        <x:v>15</x:v>
      </x:c>
      <x:c r="M334" s="100" t="n">
        <x:v>-2.202820062637329</x:v>
      </x:c>
    </x:row>
    <x:row r="335">
      <x:c r="A335" s="38" t="str">
        <x:v>Q009::B006FMLQU0_review_1141667</x:v>
      </x:c>
      <x:c r="B335" s="38" t="str">
        <x:v>Q009</x:v>
      </x:c>
      <x:c r="C335" s="38" t="str">
        <x:v>B006FMLQU0_review_1141667</x:v>
      </x:c>
      <x:c r="D335" s="38" t="str">
        <x:v>B006FMLQU0</x:v>
      </x:c>
      <x:c r="E335" s="38" t="str">
        <x:v>dense; hybrid_rrf; cross_encoder</x:v>
      </x:c>
      <x:c r="F335" s="99"/>
      <x:c r="G335" s="100"/>
      <x:c r="H335" s="99" t="n">
        <x:v>2</x:v>
      </x:c>
      <x:c r="I335" s="100" t="n">
        <x:v>0.7225466370582581</x:v>
      </x:c>
      <x:c r="J335" s="99" t="n">
        <x:v>4</x:v>
      </x:c>
      <x:c r="K335" s="100" t="n">
        <x:v>0.016129032258064516</x:v>
      </x:c>
      <x:c r="L335" s="99" t="n">
        <x:v>14</x:v>
      </x:c>
      <x:c r="M335" s="100" t="n">
        <x:v>-2.1583728790283203</x:v>
      </x:c>
    </x:row>
    <x:row r="336">
      <x:c r="A336" s="38" t="str">
        <x:v>Q009::B00A8CH5DU_review_3224786</x:v>
      </x:c>
      <x:c r="B336" s="38" t="str">
        <x:v>Q009</x:v>
      </x:c>
      <x:c r="C336" s="38" t="str">
        <x:v>B00A8CH5DU_review_3224786</x:v>
      </x:c>
      <x:c r="D336" s="38" t="str">
        <x:v>B00A8CH5DU</x:v>
      </x:c>
      <x:c r="E336" s="38" t="str">
        <x:v>dense; hybrid_rrf; cross_encoder</x:v>
      </x:c>
      <x:c r="F336" s="99"/>
      <x:c r="G336" s="100"/>
      <x:c r="H336" s="99" t="n">
        <x:v>1</x:v>
      </x:c>
      <x:c r="I336" s="100" t="n">
        <x:v>0.753086268901825</x:v>
      </x:c>
      <x:c r="J336" s="99" t="n">
        <x:v>2</x:v>
      </x:c>
      <x:c r="K336" s="100" t="n">
        <x:v>0.01639344262295082</x:v>
      </x:c>
      <x:c r="L336" s="99" t="n">
        <x:v>5</x:v>
      </x:c>
      <x:c r="M336" s="100" t="n">
        <x:v>2.727165699005127</x:v>
      </x:c>
    </x:row>
    <x:row r="337">
      <x:c r="A337" s="38" t="str">
        <x:v>Q009::B007ZT22CI_review_1083</x:v>
      </x:c>
      <x:c r="B337" s="38" t="str">
        <x:v>Q009</x:v>
      </x:c>
      <x:c r="C337" s="38" t="str">
        <x:v>B007ZT22CI_review_1083</x:v>
      </x:c>
      <x:c r="D337" s="38" t="str">
        <x:v>B007ZT22CI</x:v>
      </x:c>
      <x:c r="E337" s="38" t="str">
        <x:v>bm25; hybrid_rrf; cross_encoder</x:v>
      </x:c>
      <x:c r="F337" s="99" t="n">
        <x:v>5</x:v>
      </x:c>
      <x:c r="G337" s="100" t="n">
        <x:v>35.491073141785826</x:v>
      </x:c>
      <x:c r="H337" s="99"/>
      <x:c r="I337" s="100"/>
      <x:c r="J337" s="99" t="n">
        <x:v>10</x:v>
      </x:c>
      <x:c r="K337" s="100" t="n">
        <x:v>0.015384615384615385</x:v>
      </x:c>
      <x:c r="L337" s="99" t="n">
        <x:v>3</x:v>
      </x:c>
      <x:c r="M337" s="100" t="n">
        <x:v>3.941016674041748</x:v>
      </x:c>
    </x:row>
    <x:row r="338">
      <x:c r="A338" s="38" t="str">
        <x:v>Q009::B00A8CH5DU_review_3224785</x:v>
      </x:c>
      <x:c r="B338" s="38" t="str">
        <x:v>Q009</x:v>
      </x:c>
      <x:c r="C338" s="38" t="str">
        <x:v>B00A8CH5DU_review_3224785</x:v>
      </x:c>
      <x:c r="D338" s="38" t="str">
        <x:v>B00A8CH5DU</x:v>
      </x:c>
      <x:c r="E338" s="38" t="str">
        <x:v>dense; hybrid_rrf; cross_encoder</x:v>
      </x:c>
      <x:c r="F338" s="99"/>
      <x:c r="G338" s="100"/>
      <x:c r="H338" s="99" t="n">
        <x:v>10</x:v>
      </x:c>
      <x:c r="I338" s="100" t="n">
        <x:v>0.7059155702590942</x:v>
      </x:c>
      <x:c r="J338" s="99" t="n">
        <x:v>20</x:v>
      </x:c>
      <x:c r="K338" s="100" t="n">
        <x:v>0.014285714285714285</x:v>
      </x:c>
      <x:c r="L338" s="99" t="n">
        <x:v>6</x:v>
      </x:c>
      <x:c r="M338" s="100" t="n">
        <x:v>2.683650493621826</x:v>
      </x:c>
    </x:row>
    <x:row r="339">
      <x:c r="A339" s="38" t="str">
        <x:v>Q009::B007YC08C2_review_4077884</x:v>
      </x:c>
      <x:c r="B339" s="38" t="str">
        <x:v>Q009</x:v>
      </x:c>
      <x:c r="C339" s="38" t="str">
        <x:v>B007YC08C2_review_4077884</x:v>
      </x:c>
      <x:c r="D339" s="38" t="str">
        <x:v>B007YC08C2</x:v>
      </x:c>
      <x:c r="E339" s="38" t="str">
        <x:v>bm25</x:v>
      </x:c>
      <x:c r="F339" s="99" t="n">
        <x:v>15</x:v>
      </x:c>
      <x:c r="G339" s="100" t="n">
        <x:v>32.89299744128013</x:v>
      </x:c>
      <x:c r="H339" s="99"/>
      <x:c r="I339" s="100"/>
      <x:c r="J339" s="99"/>
      <x:c r="K339" s="100"/>
      <x:c r="L339" s="99"/>
      <x:c r="M339" s="100"/>
    </x:row>
    <x:row r="340">
      <x:c r="A340" s="38" t="str">
        <x:v>Q009::B08FXBVCDS_review_3487275</x:v>
      </x:c>
      <x:c r="B340" s="38" t="str">
        <x:v>Q009</x:v>
      </x:c>
      <x:c r="C340" s="38" t="str">
        <x:v>B08FXBVCDS_review_3487275</x:v>
      </x:c>
      <x:c r="D340" s="38" t="str">
        <x:v>B08FXBVCDS</x:v>
      </x:c>
      <x:c r="E340" s="38" t="str">
        <x:v>bm25</x:v>
      </x:c>
      <x:c r="F340" s="99" t="n">
        <x:v>14</x:v>
      </x:c>
      <x:c r="G340" s="100" t="n">
        <x:v>33.18146446423407</x:v>
      </x:c>
      <x:c r="H340" s="99"/>
      <x:c r="I340" s="100"/>
      <x:c r="J340" s="99"/>
      <x:c r="K340" s="100"/>
      <x:c r="L340" s="99"/>
      <x:c r="M340" s="100"/>
    </x:row>
    <x:row r="341">
      <x:c r="A341" s="38" t="str">
        <x:v>Q009::B00A8CH5DU_review_3224790</x:v>
      </x:c>
      <x:c r="B341" s="38" t="str">
        <x:v>Q009</x:v>
      </x:c>
      <x:c r="C341" s="38" t="str">
        <x:v>B00A8CH5DU_review_3224790</x:v>
      </x:c>
      <x:c r="D341" s="38" t="str">
        <x:v>B00A8CH5DU</x:v>
      </x:c>
      <x:c r="E341" s="38" t="str">
        <x:v>dense; hybrid_rrf; cross_encoder</x:v>
      </x:c>
      <x:c r="F341" s="99"/>
      <x:c r="G341" s="100"/>
      <x:c r="H341" s="99" t="n">
        <x:v>9</x:v>
      </x:c>
      <x:c r="I341" s="100" t="n">
        <x:v>0.707575261592865</x:v>
      </x:c>
      <x:c r="J341" s="99" t="n">
        <x:v>18</x:v>
      </x:c>
      <x:c r="K341" s="100" t="n">
        <x:v>0.014492753623188406</x:v>
      </x:c>
      <x:c r="L341" s="99" t="n">
        <x:v>7</x:v>
      </x:c>
      <x:c r="M341" s="100" t="n">
        <x:v>2.1753878593444824</x:v>
      </x:c>
    </x:row>
    <x:row r="342">
      <x:c r="A342" s="38" t="str">
        <x:v>Q009::B08929PZ5Q_review_1565434</x:v>
      </x:c>
      <x:c r="B342" s="38" t="str">
        <x:v>Q009</x:v>
      </x:c>
      <x:c r="C342" s="38" t="str">
        <x:v>B08929PZ5Q_review_1565434</x:v>
      </x:c>
      <x:c r="D342" s="38" t="str">
        <x:v>B08929PZ5Q</x:v>
      </x:c>
      <x:c r="E342" s="38" t="str">
        <x:v>bm25</x:v>
      </x:c>
      <x:c r="F342" s="99" t="n">
        <x:v>10</x:v>
      </x:c>
      <x:c r="G342" s="100" t="n">
        <x:v>34.13835159287719</x:v>
      </x:c>
      <x:c r="H342" s="99"/>
      <x:c r="I342" s="100"/>
      <x:c r="J342" s="99"/>
      <x:c r="K342" s="100"/>
      <x:c r="L342" s="99"/>
      <x:c r="M342" s="100"/>
    </x:row>
    <x:row r="343">
      <x:c r="A343" s="38" t="str">
        <x:v>Q009::B088FQ5GQW_review_2171809</x:v>
      </x:c>
      <x:c r="B343" s="38" t="str">
        <x:v>Q009</x:v>
      </x:c>
      <x:c r="C343" s="38" t="str">
        <x:v>B088FQ5GQW_review_2171809</x:v>
      </x:c>
      <x:c r="D343" s="38" t="str">
        <x:v>B088FQ5GQW</x:v>
      </x:c>
      <x:c r="E343" s="38" t="str">
        <x:v>bm25</x:v>
      </x:c>
      <x:c r="F343" s="99" t="n">
        <x:v>13</x:v>
      </x:c>
      <x:c r="G343" s="100" t="n">
        <x:v>33.79479340580546</x:v>
      </x:c>
      <x:c r="H343" s="99"/>
      <x:c r="I343" s="100"/>
      <x:c r="J343" s="99"/>
      <x:c r="K343" s="100"/>
      <x:c r="L343" s="99"/>
      <x:c r="M343" s="100"/>
    </x:row>
    <x:row r="344">
      <x:c r="A344" s="38" t="str">
        <x:v>Q009::B009TV9CT6_review_1830387</x:v>
      </x:c>
      <x:c r="B344" s="38" t="str">
        <x:v>Q009</x:v>
      </x:c>
      <x:c r="C344" s="38" t="str">
        <x:v>B009TV9CT6_review_1830387</x:v>
      </x:c>
      <x:c r="D344" s="38" t="str">
        <x:v>B009TV9CT6</x:v>
      </x:c>
      <x:c r="E344" s="38" t="str">
        <x:v>dense</x:v>
      </x:c>
      <x:c r="F344" s="99"/>
      <x:c r="G344" s="100"/>
      <x:c r="H344" s="99" t="n">
        <x:v>15</x:v>
      </x:c>
      <x:c r="I344" s="100" t="n">
        <x:v>0.7031176090240479</x:v>
      </x:c>
      <x:c r="J344" s="99"/>
      <x:c r="K344" s="100"/>
      <x:c r="L344" s="99"/>
      <x:c r="M344" s="100"/>
    </x:row>
    <x:row r="345">
      <x:c r="A345" s="38" t="str">
        <x:v>Q009::B0055D67HW_review_2841508</x:v>
      </x:c>
      <x:c r="B345" s="38" t="str">
        <x:v>Q009</x:v>
      </x:c>
      <x:c r="C345" s="38" t="str">
        <x:v>B0055D67HW_review_2841508</x:v>
      </x:c>
      <x:c r="D345" s="38" t="str">
        <x:v>B0055D67HW</x:v>
      </x:c>
      <x:c r="E345" s="38" t="str">
        <x:v>dense</x:v>
      </x:c>
      <x:c r="F345" s="99"/>
      <x:c r="G345" s="100"/>
      <x:c r="H345" s="99" t="n">
        <x:v>14</x:v>
      </x:c>
      <x:c r="I345" s="100" t="n">
        <x:v>0.7042983174324036</x:v>
      </x:c>
      <x:c r="J345" s="99"/>
      <x:c r="K345" s="100"/>
      <x:c r="L345" s="99"/>
      <x:c r="M345" s="100"/>
    </x:row>
    <x:row r="346">
      <x:c r="A346" s="38" t="str">
        <x:v>Q009::B087B18YLJ_review_499863</x:v>
      </x:c>
      <x:c r="B346" s="38" t="str">
        <x:v>Q009</x:v>
      </x:c>
      <x:c r="C346" s="38" t="str">
        <x:v>B087B18YLJ_review_499863</x:v>
      </x:c>
      <x:c r="D346" s="38" t="str">
        <x:v>B087B18YLJ</x:v>
      </x:c>
      <x:c r="E346" s="38" t="str">
        <x:v>bm25</x:v>
      </x:c>
      <x:c r="F346" s="99" t="n">
        <x:v>12</x:v>
      </x:c>
      <x:c r="G346" s="100" t="n">
        <x:v>33.878513526202305</x:v>
      </x:c>
      <x:c r="H346" s="99"/>
      <x:c r="I346" s="100"/>
      <x:c r="J346" s="99"/>
      <x:c r="K346" s="100"/>
      <x:c r="L346" s="99"/>
      <x:c r="M346" s="100"/>
    </x:row>
    <x:row r="347">
      <x:c r="A347" s="38" t="str">
        <x:v>Q009::B07VHJJCS1_review_2689426</x:v>
      </x:c>
      <x:c r="B347" s="38" t="str">
        <x:v>Q009</x:v>
      </x:c>
      <x:c r="C347" s="38" t="str">
        <x:v>B07VHJJCS1_review_2689426</x:v>
      </x:c>
      <x:c r="D347" s="38" t="str">
        <x:v>B07VHJJCS1</x:v>
      </x:c>
      <x:c r="E347" s="38" t="str">
        <x:v>dense</x:v>
      </x:c>
      <x:c r="F347" s="99"/>
      <x:c r="G347" s="100"/>
      <x:c r="H347" s="99" t="n">
        <x:v>13</x:v>
      </x:c>
      <x:c r="I347" s="100" t="n">
        <x:v>0.7048224210739136</x:v>
      </x:c>
      <x:c r="J347" s="99"/>
      <x:c r="K347" s="100"/>
      <x:c r="L347" s="99"/>
      <x:c r="M347" s="100"/>
    </x:row>
    <x:row r="348">
      <x:c r="A348" s="38" t="str">
        <x:v>Q009::B08J2QKX6W_review_3718523</x:v>
      </x:c>
      <x:c r="B348" s="38" t="str">
        <x:v>Q009</x:v>
      </x:c>
      <x:c r="C348" s="38" t="str">
        <x:v>B08J2QKX6W_review_3718523</x:v>
      </x:c>
      <x:c r="D348" s="38" t="str">
        <x:v>B08J2QKX6W</x:v>
      </x:c>
      <x:c r="E348" s="38" t="str">
        <x:v>bm25</x:v>
      </x:c>
      <x:c r="F348" s="99" t="n">
        <x:v>11</x:v>
      </x:c>
      <x:c r="G348" s="100" t="n">
        <x:v>33.93144916141051</x:v>
      </x:c>
      <x:c r="H348" s="99"/>
      <x:c r="I348" s="100"/>
      <x:c r="J348" s="99"/>
      <x:c r="K348" s="100"/>
      <x:c r="L348" s="99"/>
      <x:c r="M348" s="100"/>
    </x:row>
    <x:row r="349">
      <x:c r="A349" s="38" t="str">
        <x:v>Q009::B09BNHC4DB_review_4059493</x:v>
      </x:c>
      <x:c r="B349" s="38" t="str">
        <x:v>Q009</x:v>
      </x:c>
      <x:c r="C349" s="38" t="str">
        <x:v>B09BNHC4DB_review_4059493</x:v>
      </x:c>
      <x:c r="D349" s="38" t="str">
        <x:v>B09BNHC4DB</x:v>
      </x:c>
      <x:c r="E349" s="38" t="str">
        <x:v>bm25; hybrid_rrf; cross_encoder</x:v>
      </x:c>
      <x:c r="F349" s="99" t="n">
        <x:v>1</x:v>
      </x:c>
      <x:c r="G349" s="100" t="n">
        <x:v>38.00924766018498</x:v>
      </x:c>
      <x:c r="H349" s="99"/>
      <x:c r="I349" s="100"/>
      <x:c r="J349" s="99" t="n">
        <x:v>3</x:v>
      </x:c>
      <x:c r="K349" s="100" t="n">
        <x:v>0.01639344262295082</x:v>
      </x:c>
      <x:c r="L349" s="99" t="n">
        <x:v>9</x:v>
      </x:c>
      <x:c r="M349" s="100" t="n">
        <x:v>1.8923590183258057</x:v>
      </x:c>
    </x:row>
    <x:row r="350">
      <x:c r="A350" s="38" t="str">
        <x:v>Q009::B015ZD6ZH8_review_1255271</x:v>
      </x:c>
      <x:c r="B350" s="38" t="str">
        <x:v>Q009</x:v>
      </x:c>
      <x:c r="C350" s="38" t="str">
        <x:v>B015ZD6ZH8_review_1255271</x:v>
      </x:c>
      <x:c r="D350" s="38" t="str">
        <x:v>B015ZD6ZH8</x:v>
      </x:c>
      <x:c r="E350" s="38" t="str">
        <x:v>dense</x:v>
      </x:c>
      <x:c r="F350" s="99"/>
      <x:c r="G350" s="100"/>
      <x:c r="H350" s="99" t="n">
        <x:v>18</x:v>
      </x:c>
      <x:c r="I350" s="100" t="n">
        <x:v>0.6998302340507507</x:v>
      </x:c>
      <x:c r="J350" s="99"/>
      <x:c r="K350" s="100"/>
      <x:c r="L350" s="99"/>
      <x:c r="M350" s="100"/>
    </x:row>
    <x:row r="351">
      <x:c r="A351" s="38" t="str">
        <x:v>Q009::B00CRXZPA8_review_2767555</x:v>
      </x:c>
      <x:c r="B351" s="38" t="str">
        <x:v>Q009</x:v>
      </x:c>
      <x:c r="C351" s="38" t="str">
        <x:v>B00CRXZPA8_review_2767555</x:v>
      </x:c>
      <x:c r="D351" s="38" t="str">
        <x:v>B00CRXZPA8</x:v>
      </x:c>
      <x:c r="E351" s="38" t="str">
        <x:v>bm25; hybrid_rrf; cross_encoder</x:v>
      </x:c>
      <x:c r="F351" s="99" t="n">
        <x:v>3</x:v>
      </x:c>
      <x:c r="G351" s="100" t="n">
        <x:v>36.47296099644659</x:v>
      </x:c>
      <x:c r="H351" s="99"/>
      <x:c r="I351" s="100"/>
      <x:c r="J351" s="99" t="n">
        <x:v>7</x:v>
      </x:c>
      <x:c r="K351" s="100" t="n">
        <x:v>0.015873015873015872</x:v>
      </x:c>
      <x:c r="L351" s="99" t="n">
        <x:v>2</x:v>
      </x:c>
      <x:c r="M351" s="100" t="n">
        <x:v>4.517665863037109</x:v>
      </x:c>
    </x:row>
    <x:row r="352">
      <x:c r="A352" s="38" t="str">
        <x:v>Q009::B08GQ8NC56_review_3993947</x:v>
      </x:c>
      <x:c r="B352" s="38" t="str">
        <x:v>Q009</x:v>
      </x:c>
      <x:c r="C352" s="38" t="str">
        <x:v>B08GQ8NC56_review_3993947</x:v>
      </x:c>
      <x:c r="D352" s="38" t="str">
        <x:v>B08GQ8NC56</x:v>
      </x:c>
      <x:c r="E352" s="38" t="str">
        <x:v>bm25</x:v>
      </x:c>
      <x:c r="F352" s="99" t="n">
        <x:v>17</x:v>
      </x:c>
      <x:c r="G352" s="100" t="n">
        <x:v>32.61108603001163</x:v>
      </x:c>
      <x:c r="H352" s="99"/>
      <x:c r="I352" s="100"/>
      <x:c r="J352" s="99"/>
      <x:c r="K352" s="100"/>
      <x:c r="L352" s="99"/>
      <x:c r="M352" s="100"/>
    </x:row>
    <x:row r="353">
      <x:c r="A353" s="38" t="str">
        <x:v>Q009::B0089SZ8PM_review_4097738</x:v>
      </x:c>
      <x:c r="B353" s="38" t="str">
        <x:v>Q009</x:v>
      </x:c>
      <x:c r="C353" s="38" t="str">
        <x:v>B0089SZ8PM_review_4097738</x:v>
      </x:c>
      <x:c r="D353" s="38" t="str">
        <x:v>B0089SZ8PM</x:v>
      </x:c>
      <x:c r="E353" s="38" t="str">
        <x:v>bm25; hybrid_rrf; cross_encoder</x:v>
      </x:c>
      <x:c r="F353" s="99" t="n">
        <x:v>6</x:v>
      </x:c>
      <x:c r="G353" s="100" t="n">
        <x:v>35.14456731452862</x:v>
      </x:c>
      <x:c r="H353" s="99"/>
      <x:c r="I353" s="100"/>
      <x:c r="J353" s="99" t="n">
        <x:v>12</x:v>
      </x:c>
      <x:c r="K353" s="100" t="n">
        <x:v>0.015151515151515152</x:v>
      </x:c>
      <x:c r="L353" s="99" t="n">
        <x:v>1</x:v>
      </x:c>
      <x:c r="M353" s="100" t="n">
        <x:v>4.654273986816406</x:v>
      </x:c>
    </x:row>
    <x:row r="354">
      <x:c r="A354" s="38" t="str">
        <x:v>Q009::B004U9USEA_review_865188</x:v>
      </x:c>
      <x:c r="B354" s="38" t="str">
        <x:v>Q009</x:v>
      </x:c>
      <x:c r="C354" s="38" t="str">
        <x:v>B004U9USEA_review_865188</x:v>
      </x:c>
      <x:c r="D354" s="38" t="str">
        <x:v>B004U9USEA</x:v>
      </x:c>
      <x:c r="E354" s="38" t="str">
        <x:v>dense</x:v>
      </x:c>
      <x:c r="F354" s="99"/>
      <x:c r="G354" s="100"/>
      <x:c r="H354" s="99" t="n">
        <x:v>19</x:v>
      </x:c>
      <x:c r="I354" s="100" t="n">
        <x:v>0.6991636753082275</x:v>
      </x:c>
      <x:c r="J354" s="99"/>
      <x:c r="K354" s="100"/>
      <x:c r="L354" s="99"/>
      <x:c r="M354" s="100"/>
    </x:row>
    <x:row r="355">
      <x:c r="A355" s="38" t="str">
        <x:v>Q010::B072JD1N12_review_4017943</x:v>
      </x:c>
      <x:c r="B355" s="38" t="str">
        <x:v>Q010</x:v>
      </x:c>
      <x:c r="C355" s="38" t="str">
        <x:v>B072JD1N12_review_4017943</x:v>
      </x:c>
      <x:c r="D355" s="38" t="str">
        <x:v>B072JD1N12</x:v>
      </x:c>
      <x:c r="E355" s="38" t="str">
        <x:v>bm25; hybrid_rrf; cross_encoder</x:v>
      </x:c>
      <x:c r="F355" s="99" t="n">
        <x:v>9</x:v>
      </x:c>
      <x:c r="G355" s="100" t="n">
        <x:v>23.22635069844371</x:v>
      </x:c>
      <x:c r="H355" s="99"/>
      <x:c r="I355" s="100"/>
      <x:c r="J355" s="99" t="n">
        <x:v>17</x:v>
      </x:c>
      <x:c r="K355" s="100" t="n">
        <x:v>0.014492753623188406</x:v>
      </x:c>
      <x:c r="L355" s="99" t="n">
        <x:v>7</x:v>
      </x:c>
      <x:c r="M355" s="100" t="n">
        <x:v>4.323821544647217</x:v>
      </x:c>
    </x:row>
    <x:row r="356">
      <x:c r="A356" s="38" t="str">
        <x:v>Q010::B01BUHLOL0_review_1282964</x:v>
      </x:c>
      <x:c r="B356" s="38" t="str">
        <x:v>Q010</x:v>
      </x:c>
      <x:c r="C356" s="38" t="str">
        <x:v>B01BUHLOL0_review_1282964</x:v>
      </x:c>
      <x:c r="D356" s="38" t="str">
        <x:v>B01BUHLOL0</x:v>
      </x:c>
      <x:c r="E356" s="38" t="str">
        <x:v>bm25; hybrid_rrf; cross_encoder</x:v>
      </x:c>
      <x:c r="F356" s="99" t="n">
        <x:v>8</x:v>
      </x:c>
      <x:c r="G356" s="100" t="n">
        <x:v>23.97250818187736</x:v>
      </x:c>
      <x:c r="H356" s="99"/>
      <x:c r="I356" s="100"/>
      <x:c r="J356" s="99" t="n">
        <x:v>15</x:v>
      </x:c>
      <x:c r="K356" s="100" t="n">
        <x:v>0.014705882352941176</x:v>
      </x:c>
      <x:c r="L356" s="99" t="n">
        <x:v>9</x:v>
      </x:c>
      <x:c r="M356" s="100" t="n">
        <x:v>3.566495656967163</x:v>
      </x:c>
    </x:row>
    <x:row r="357">
      <x:c r="A357" s="38" t="str">
        <x:v>Q010::B09GJVWDYP_review_2522118</x:v>
      </x:c>
      <x:c r="B357" s="38" t="str">
        <x:v>Q010</x:v>
      </x:c>
      <x:c r="C357" s="38" t="str">
        <x:v>B09GJVWDYP_review_2522118</x:v>
      </x:c>
      <x:c r="D357" s="38" t="str">
        <x:v>B09GJVWDYP</x:v>
      </x:c>
      <x:c r="E357" s="38" t="str">
        <x:v>dense</x:v>
      </x:c>
      <x:c r="F357" s="99"/>
      <x:c r="G357" s="100"/>
      <x:c r="H357" s="99" t="n">
        <x:v>19</x:v>
      </x:c>
      <x:c r="I357" s="100" t="n">
        <x:v>0.7138496041297913</x:v>
      </x:c>
      <x:c r="J357" s="99"/>
      <x:c r="K357" s="100"/>
      <x:c r="L357" s="99"/>
      <x:c r="M357" s="100"/>
    </x:row>
    <x:row r="358">
      <x:c r="A358" s="38" t="str">
        <x:v>Q010::B0080NLCP6_review_4057224</x:v>
      </x:c>
      <x:c r="B358" s="38" t="str">
        <x:v>Q010</x:v>
      </x:c>
      <x:c r="C358" s="38" t="str">
        <x:v>B0080NLCP6_review_4057224</x:v>
      </x:c>
      <x:c r="D358" s="38" t="str">
        <x:v>B0080NLCP6</x:v>
      </x:c>
      <x:c r="E358" s="38" t="str">
        <x:v>bm25; hybrid_rrf; cross_encoder</x:v>
      </x:c>
      <x:c r="F358" s="99" t="n">
        <x:v>7</x:v>
      </x:c>
      <x:c r="G358" s="100" t="n">
        <x:v>24.030775011412274</x:v>
      </x:c>
      <x:c r="H358" s="99"/>
      <x:c r="I358" s="100"/>
      <x:c r="J358" s="99" t="n">
        <x:v>13</x:v>
      </x:c>
      <x:c r="K358" s="100" t="n">
        <x:v>0.014925373134328358</x:v>
      </x:c>
      <x:c r="L358" s="99" t="n">
        <x:v>2</x:v>
      </x:c>
      <x:c r="M358" s="100" t="n">
        <x:v>4.859777927398682</x:v>
      </x:c>
    </x:row>
    <x:row r="359">
      <x:c r="A359" s="38" t="str">
        <x:v>Q010::B007N9ENCW_review_3357004</x:v>
      </x:c>
      <x:c r="B359" s="38" t="str">
        <x:v>Q010</x:v>
      </x:c>
      <x:c r="C359" s="38" t="str">
        <x:v>B007N9ENCW_review_3357004</x:v>
      </x:c>
      <x:c r="D359" s="38" t="str">
        <x:v>B007N9ENCW</x:v>
      </x:c>
      <x:c r="E359" s="38" t="str">
        <x:v>dense</x:v>
      </x:c>
      <x:c r="F359" s="99"/>
      <x:c r="G359" s="100"/>
      <x:c r="H359" s="99" t="n">
        <x:v>17</x:v>
      </x:c>
      <x:c r="I359" s="100" t="n">
        <x:v>0.7158699035644531</x:v>
      </x:c>
      <x:c r="J359" s="99"/>
      <x:c r="K359" s="100"/>
      <x:c r="L359" s="99"/>
      <x:c r="M359" s="100"/>
    </x:row>
    <x:row r="360">
      <x:c r="A360" s="38" t="str">
        <x:v>Q010::B09JFZ2PZJ_review_2780948</x:v>
      </x:c>
      <x:c r="B360" s="38" t="str">
        <x:v>Q010</x:v>
      </x:c>
      <x:c r="C360" s="38" t="str">
        <x:v>B09JFZ2PZJ_review_2780948</x:v>
      </x:c>
      <x:c r="D360" s="38" t="str">
        <x:v>B09JFZ2PZJ</x:v>
      </x:c>
      <x:c r="E360" s="38" t="str">
        <x:v>bm25; hybrid_rrf; cross_encoder</x:v>
      </x:c>
      <x:c r="F360" s="99" t="n">
        <x:v>5</x:v>
      </x:c>
      <x:c r="G360" s="100" t="n">
        <x:v>24.224478387694695</x:v>
      </x:c>
      <x:c r="H360" s="99"/>
      <x:c r="I360" s="100"/>
      <x:c r="J360" s="99" t="n">
        <x:v>10</x:v>
      </x:c>
      <x:c r="K360" s="100" t="n">
        <x:v>0.015384615384615385</x:v>
      </x:c>
      <x:c r="L360" s="99" t="n">
        <x:v>4</x:v>
      </x:c>
      <x:c r="M360" s="100" t="n">
        <x:v>4.54597282409668</x:v>
      </x:c>
    </x:row>
    <x:row r="361">
      <x:c r="A361" s="38" t="str">
        <x:v>Q010::B094Q22CSW_review_2627598</x:v>
      </x:c>
      <x:c r="B361" s="38" t="str">
        <x:v>Q010</x:v>
      </x:c>
      <x:c r="C361" s="38" t="str">
        <x:v>B094Q22CSW_review_2627598</x:v>
      </x:c>
      <x:c r="D361" s="38" t="str">
        <x:v>B094Q22CSW</x:v>
      </x:c>
      <x:c r="E361" s="38" t="str">
        <x:v>bm25</x:v>
      </x:c>
      <x:c r="F361" s="99" t="n">
        <x:v>19</x:v>
      </x:c>
      <x:c r="G361" s="100" t="n">
        <x:v>21.89066074759093</x:v>
      </x:c>
      <x:c r="H361" s="99"/>
      <x:c r="I361" s="100"/>
      <x:c r="J361" s="99"/>
      <x:c r="K361" s="100"/>
      <x:c r="L361" s="99"/>
      <x:c r="M361" s="100"/>
    </x:row>
    <x:row r="362">
      <x:c r="A362" s="38" t="str">
        <x:v>Q010::B003SE6I7O_review_3769299</x:v>
      </x:c>
      <x:c r="B362" s="38" t="str">
        <x:v>Q010</x:v>
      </x:c>
      <x:c r="C362" s="38" t="str">
        <x:v>B003SE6I7O_review_3769299</x:v>
      </x:c>
      <x:c r="D362" s="38" t="str">
        <x:v>B003SE6I7O</x:v>
      </x:c>
      <x:c r="E362" s="38" t="str">
        <x:v>bm25</x:v>
      </x:c>
      <x:c r="F362" s="99" t="n">
        <x:v>15</x:v>
      </x:c>
      <x:c r="G362" s="100" t="n">
        <x:v>22.747335046432468</x:v>
      </x:c>
      <x:c r="H362" s="99"/>
      <x:c r="I362" s="100"/>
      <x:c r="J362" s="99"/>
      <x:c r="K362" s="100"/>
      <x:c r="L362" s="99"/>
      <x:c r="M362" s="100"/>
    </x:row>
    <x:row r="363">
      <x:c r="A363" s="38" t="str">
        <x:v>Q010::B00CPRRDGK_review_2499537</x:v>
      </x:c>
      <x:c r="B363" s="38" t="str">
        <x:v>Q010</x:v>
      </x:c>
      <x:c r="C363" s="38" t="str">
        <x:v>B00CPRRDGK_review_2499537</x:v>
      </x:c>
      <x:c r="D363" s="38" t="str">
        <x:v>B00CPRRDGK</x:v>
      </x:c>
      <x:c r="E363" s="38" t="str">
        <x:v>dense; hybrid_rrf; cross_encoder</x:v>
      </x:c>
      <x:c r="F363" s="99"/>
      <x:c r="G363" s="100"/>
      <x:c r="H363" s="99" t="n">
        <x:v>2</x:v>
      </x:c>
      <x:c r="I363" s="100" t="n">
        <x:v>0.7269787788391113</x:v>
      </x:c>
      <x:c r="J363" s="99" t="n">
        <x:v>3</x:v>
      </x:c>
      <x:c r="K363" s="100" t="n">
        <x:v>0.016129032258064516</x:v>
      </x:c>
      <x:c r="L363" s="99" t="n">
        <x:v>20</x:v>
      </x:c>
      <x:c r="M363" s="100" t="n">
        <x:v>-5.171154975891113</x:v>
      </x:c>
    </x:row>
    <x:row r="364">
      <x:c r="A364" s="38" t="str">
        <x:v>Q010::B08P74ZXB6_review_156242</x:v>
      </x:c>
      <x:c r="B364" s="38" t="str">
        <x:v>Q010</x:v>
      </x:c>
      <x:c r="C364" s="38" t="str">
        <x:v>B08P74ZXB6_review_156242</x:v>
      </x:c>
      <x:c r="D364" s="38" t="str">
        <x:v>B08P74ZXB6</x:v>
      </x:c>
      <x:c r="E364" s="38" t="str">
        <x:v>bm25; hybrid_rrf; cross_encoder</x:v>
      </x:c>
      <x:c r="F364" s="99" t="n">
        <x:v>1</x:v>
      </x:c>
      <x:c r="G364" s="100" t="n">
        <x:v>25.835696383543883</x:v>
      </x:c>
      <x:c r="H364" s="99"/>
      <x:c r="I364" s="100"/>
      <x:c r="J364" s="99" t="n">
        <x:v>1</x:v>
      </x:c>
      <x:c r="K364" s="100" t="n">
        <x:v>0.01639344262295082</x:v>
      </x:c>
      <x:c r="L364" s="99" t="n">
        <x:v>1</x:v>
      </x:c>
      <x:c r="M364" s="100" t="n">
        <x:v>5.107399940490723</x:v>
      </x:c>
    </x:row>
    <x:row r="365">
      <x:c r="A365" s="38" t="str">
        <x:v>Q010::B007N9ENCW_review_3357005</x:v>
      </x:c>
      <x:c r="B365" s="38" t="str">
        <x:v>Q010</x:v>
      </x:c>
      <x:c r="C365" s="38" t="str">
        <x:v>B007N9ENCW_review_3357005</x:v>
      </x:c>
      <x:c r="D365" s="38" t="str">
        <x:v>B007N9ENCW</x:v>
      </x:c>
      <x:c r="E365" s="38" t="str">
        <x:v>dense; hybrid_rrf; cross_encoder</x:v>
      </x:c>
      <x:c r="F365" s="99"/>
      <x:c r="G365" s="100"/>
      <x:c r="H365" s="99" t="n">
        <x:v>6</x:v>
      </x:c>
      <x:c r="I365" s="100" t="n">
        <x:v>0.7233139276504517</x:v>
      </x:c>
      <x:c r="J365" s="99" t="n">
        <x:v>11</x:v>
      </x:c>
      <x:c r="K365" s="100" t="n">
        <x:v>0.015151515151515152</x:v>
      </x:c>
      <x:c r="L365" s="99" t="n">
        <x:v>18</x:v>
      </x:c>
      <x:c r="M365" s="100" t="n">
        <x:v>-0.6593660116195679</x:v>
      </x:c>
    </x:row>
    <x:row r="366">
      <x:c r="A366" s="38" t="str">
        <x:v>Q010::B007N9FIL2_review_396396</x:v>
      </x:c>
      <x:c r="B366" s="38" t="str">
        <x:v>Q010</x:v>
      </x:c>
      <x:c r="C366" s="38" t="str">
        <x:v>B007N9FIL2_review_396396</x:v>
      </x:c>
      <x:c r="D366" s="38" t="str">
        <x:v>B007N9FIL2</x:v>
      </x:c>
      <x:c r="E366" s="38" t="str">
        <x:v>dense</x:v>
      </x:c>
      <x:c r="F366" s="99"/>
      <x:c r="G366" s="100"/>
      <x:c r="H366" s="99" t="n">
        <x:v>12</x:v>
      </x:c>
      <x:c r="I366" s="100" t="n">
        <x:v>0.7189727425575256</x:v>
      </x:c>
      <x:c r="J366" s="99"/>
      <x:c r="K366" s="100"/>
      <x:c r="L366" s="99"/>
      <x:c r="M366" s="100"/>
    </x:row>
    <x:row r="367">
      <x:c r="A367" s="38" t="str">
        <x:v>Q010::B076JL51GL_review_1867853</x:v>
      </x:c>
      <x:c r="B367" s="38" t="str">
        <x:v>Q010</x:v>
      </x:c>
      <x:c r="C367" s="38" t="str">
        <x:v>B076JL51GL_review_1867853</x:v>
      </x:c>
      <x:c r="D367" s="38" t="str">
        <x:v>B076JL51GL</x:v>
      </x:c>
      <x:c r="E367" s="38" t="str">
        <x:v>dense; hybrid_rrf; cross_encoder</x:v>
      </x:c>
      <x:c r="F367" s="99"/>
      <x:c r="G367" s="100"/>
      <x:c r="H367" s="99" t="n">
        <x:v>7</x:v>
      </x:c>
      <x:c r="I367" s="100" t="n">
        <x:v>0.7226271033287048</x:v>
      </x:c>
      <x:c r="J367" s="99" t="n">
        <x:v>14</x:v>
      </x:c>
      <x:c r="K367" s="100" t="n">
        <x:v>0.014925373134328358</x:v>
      </x:c>
      <x:c r="L367" s="99" t="n">
        <x:v>17</x:v>
      </x:c>
      <x:c r="M367" s="100" t="n">
        <x:v>-0.3266981542110443</x:v>
      </x:c>
    </x:row>
    <x:row r="368">
      <x:c r="A368" s="38" t="str">
        <x:v>Q010::B07V2MBKPR_review_507361</x:v>
      </x:c>
      <x:c r="B368" s="38" t="str">
        <x:v>Q010</x:v>
      </x:c>
      <x:c r="C368" s="38" t="str">
        <x:v>B07V2MBKPR_review_507361</x:v>
      </x:c>
      <x:c r="D368" s="38" t="str">
        <x:v>B07V2MBKPR</x:v>
      </x:c>
      <x:c r="E368" s="38" t="str">
        <x:v>bm25; hybrid_rrf; cross_encoder</x:v>
      </x:c>
      <x:c r="F368" s="99" t="n">
        <x:v>2</x:v>
      </x:c>
      <x:c r="G368" s="100" t="n">
        <x:v>24.87505816225418</x:v>
      </x:c>
      <x:c r="H368" s="99"/>
      <x:c r="I368" s="100"/>
      <x:c r="J368" s="99" t="n">
        <x:v>4</x:v>
      </x:c>
      <x:c r="K368" s="100" t="n">
        <x:v>0.016129032258064516</x:v>
      </x:c>
      <x:c r="L368" s="99" t="n">
        <x:v>14</x:v>
      </x:c>
      <x:c r="M368" s="100" t="n">
        <x:v>1.8375895023345947</x:v>
      </x:c>
    </x:row>
    <x:row r="369">
      <x:c r="A369" s="38" t="str">
        <x:v>Q010::B00XIO06P4_review_2933872</x:v>
      </x:c>
      <x:c r="B369" s="38" t="str">
        <x:v>Q010</x:v>
      </x:c>
      <x:c r="C369" s="38" t="str">
        <x:v>B00XIO06P4_review_2933872</x:v>
      </x:c>
      <x:c r="D369" s="38" t="str">
        <x:v>B00XIO06P4</x:v>
      </x:c>
      <x:c r="E369" s="38" t="str">
        <x:v>bm25</x:v>
      </x:c>
      <x:c r="F369" s="99" t="n">
        <x:v>14</x:v>
      </x:c>
      <x:c r="G369" s="100" t="n">
        <x:v>22.804025780600867</x:v>
      </x:c>
      <x:c r="H369" s="99"/>
      <x:c r="I369" s="100"/>
      <x:c r="J369" s="99"/>
      <x:c r="K369" s="100"/>
      <x:c r="L369" s="99"/>
      <x:c r="M369" s="100"/>
    </x:row>
    <x:row r="370">
      <x:c r="A370" s="38" t="str">
        <x:v>Q010::B0BYF619HH_review_2977564</x:v>
      </x:c>
      <x:c r="B370" s="38" t="str">
        <x:v>Q010</x:v>
      </x:c>
      <x:c r="C370" s="38" t="str">
        <x:v>B0BYF619HH_review_2977564</x:v>
      </x:c>
      <x:c r="D370" s="38" t="str">
        <x:v>B0BYF619HH</x:v>
      </x:c>
      <x:c r="E370" s="38" t="str">
        <x:v>dense; hybrid_rrf; cross_encoder</x:v>
      </x:c>
      <x:c r="F370" s="99"/>
      <x:c r="G370" s="100"/>
      <x:c r="H370" s="99" t="n">
        <x:v>1</x:v>
      </x:c>
      <x:c r="I370" s="100" t="n">
        <x:v>0.7298528552055359</x:v>
      </x:c>
      <x:c r="J370" s="99" t="n">
        <x:v>2</x:v>
      </x:c>
      <x:c r="K370" s="100" t="n">
        <x:v>0.01639344262295082</x:v>
      </x:c>
      <x:c r="L370" s="99" t="n">
        <x:v>6</x:v>
      </x:c>
      <x:c r="M370" s="100" t="n">
        <x:v>4.3770670890808105</x:v>
      </x:c>
    </x:row>
    <x:row r="371">
      <x:c r="A371" s="38" t="str">
        <x:v>Q010::B09FPR1LST_review_4058246</x:v>
      </x:c>
      <x:c r="B371" s="38" t="str">
        <x:v>Q010</x:v>
      </x:c>
      <x:c r="C371" s="38" t="str">
        <x:v>B09FPR1LST_review_4058246</x:v>
      </x:c>
      <x:c r="D371" s="38" t="str">
        <x:v>B09FPR1LST</x:v>
      </x:c>
      <x:c r="E371" s="38" t="str">
        <x:v>dense; hybrid_rrf; cross_encoder</x:v>
      </x:c>
      <x:c r="F371" s="99"/>
      <x:c r="G371" s="100"/>
      <x:c r="H371" s="99" t="n">
        <x:v>3</x:v>
      </x:c>
      <x:c r="I371" s="100" t="n">
        <x:v>0.7256386876106262</x:v>
      </x:c>
      <x:c r="J371" s="99" t="n">
        <x:v>6</x:v>
      </x:c>
      <x:c r="K371" s="100" t="n">
        <x:v>0.015873015873015872</x:v>
      </x:c>
      <x:c r="L371" s="99" t="n">
        <x:v>10</x:v>
      </x:c>
      <x:c r="M371" s="100" t="n">
        <x:v>3.212008476257324</x:v>
      </x:c>
    </x:row>
    <x:row r="372">
      <x:c r="A372" s="38" t="str">
        <x:v>Q010::B00MBDUVWQ_review_1021104</x:v>
      </x:c>
      <x:c r="B372" s="38" t="str">
        <x:v>Q010</x:v>
      </x:c>
      <x:c r="C372" s="38" t="str">
        <x:v>B00MBDUVWQ_review_1021104</x:v>
      </x:c>
      <x:c r="D372" s="38" t="str">
        <x:v>B00MBDUVWQ</x:v>
      </x:c>
      <x:c r="E372" s="38" t="str">
        <x:v>dense; hybrid_rrf; cross_encoder</x:v>
      </x:c>
      <x:c r="F372" s="99"/>
      <x:c r="G372" s="100"/>
      <x:c r="H372" s="99" t="n">
        <x:v>10</x:v>
      </x:c>
      <x:c r="I372" s="100" t="n">
        <x:v>0.719936728477478</x:v>
      </x:c>
      <x:c r="J372" s="99" t="n">
        <x:v>20</x:v>
      </x:c>
      <x:c r="K372" s="100" t="n">
        <x:v>0.014285714285714285</x:v>
      </x:c>
      <x:c r="L372" s="99" t="n">
        <x:v>13</x:v>
      </x:c>
      <x:c r="M372" s="100" t="n">
        <x:v>2.623671054840088</x:v>
      </x:c>
    </x:row>
    <x:row r="373">
      <x:c r="A373" s="38" t="str">
        <x:v>Q010::B00GJVVU9O_review_2417550</x:v>
      </x:c>
      <x:c r="B373" s="38" t="str">
        <x:v>Q010</x:v>
      </x:c>
      <x:c r="C373" s="38" t="str">
        <x:v>B00GJVVU9O_review_2417550</x:v>
      </x:c>
      <x:c r="D373" s="38" t="str">
        <x:v>B00GJVVU9O</x:v>
      </x:c>
      <x:c r="E373" s="38" t="str">
        <x:v>dense</x:v>
      </x:c>
      <x:c r="F373" s="99"/>
      <x:c r="G373" s="100"/>
      <x:c r="H373" s="99" t="n">
        <x:v>18</x:v>
      </x:c>
      <x:c r="I373" s="100" t="n">
        <x:v>0.7146992683410645</x:v>
      </x:c>
      <x:c r="J373" s="99"/>
      <x:c r="K373" s="100"/>
      <x:c r="L373" s="99"/>
      <x:c r="M373" s="100"/>
    </x:row>
    <x:row r="374">
      <x:c r="A374" s="38" t="str">
        <x:v>Q010::B00AAKHBZ2_review_2043781</x:v>
      </x:c>
      <x:c r="B374" s="38" t="str">
        <x:v>Q010</x:v>
      </x:c>
      <x:c r="C374" s="38" t="str">
        <x:v>B00AAKHBZ2_review_2043781</x:v>
      </x:c>
      <x:c r="D374" s="38" t="str">
        <x:v>B00AAKHBZ2</x:v>
      </x:c>
      <x:c r="E374" s="38" t="str">
        <x:v>dense</x:v>
      </x:c>
      <x:c r="F374" s="99"/>
      <x:c r="G374" s="100"/>
      <x:c r="H374" s="99" t="n">
        <x:v>20</x:v>
      </x:c>
      <x:c r="I374" s="100" t="n">
        <x:v>0.7121662497520447</x:v>
      </x:c>
      <x:c r="J374" s="99"/>
      <x:c r="K374" s="100"/>
      <x:c r="L374" s="99"/>
      <x:c r="M374" s="100"/>
    </x:row>
    <x:row r="375">
      <x:c r="A375" s="38" t="str">
        <x:v>Q010::B008SSOFR0_review_3061716</x:v>
      </x:c>
      <x:c r="B375" s="38" t="str">
        <x:v>Q010</x:v>
      </x:c>
      <x:c r="C375" s="38" t="str">
        <x:v>B008SSOFR0_review_3061716</x:v>
      </x:c>
      <x:c r="D375" s="38" t="str">
        <x:v>B008SSOFR0</x:v>
      </x:c>
      <x:c r="E375" s="38" t="str">
        <x:v>dense; hybrid_rrf; cross_encoder</x:v>
      </x:c>
      <x:c r="F375" s="99"/>
      <x:c r="G375" s="100"/>
      <x:c r="H375" s="99" t="n">
        <x:v>5</x:v>
      </x:c>
      <x:c r="I375" s="100" t="n">
        <x:v>0.724998950958252</x:v>
      </x:c>
      <x:c r="J375" s="99" t="n">
        <x:v>9</x:v>
      </x:c>
      <x:c r="K375" s="100" t="n">
        <x:v>0.015384615384615385</x:v>
      </x:c>
      <x:c r="L375" s="99" t="n">
        <x:v>16</x:v>
      </x:c>
      <x:c r="M375" s="100" t="n">
        <x:v>0.013796120882034302</x:v>
      </x:c>
    </x:row>
    <x:row r="376">
      <x:c r="A376" s="38" t="str">
        <x:v>Q010::B00Q3MIRSQ_review_1912389</x:v>
      </x:c>
      <x:c r="B376" s="38" t="str">
        <x:v>Q010</x:v>
      </x:c>
      <x:c r="C376" s="38" t="str">
        <x:v>B00Q3MIRSQ_review_1912389</x:v>
      </x:c>
      <x:c r="D376" s="38" t="str">
        <x:v>B00Q3MIRSQ</x:v>
      </x:c>
      <x:c r="E376" s="38" t="str">
        <x:v>dense</x:v>
      </x:c>
      <x:c r="F376" s="99"/>
      <x:c r="G376" s="100"/>
      <x:c r="H376" s="99" t="n">
        <x:v>11</x:v>
      </x:c>
      <x:c r="I376" s="100" t="n">
        <x:v>0.7198636531829834</x:v>
      </x:c>
      <x:c r="J376" s="99"/>
      <x:c r="K376" s="100"/>
      <x:c r="L376" s="99"/>
      <x:c r="M376" s="100"/>
    </x:row>
    <x:row r="377">
      <x:c r="A377" s="38" t="str">
        <x:v>Q010::B00IDV38NY_review_1955200</x:v>
      </x:c>
      <x:c r="B377" s="38" t="str">
        <x:v>Q010</x:v>
      </x:c>
      <x:c r="C377" s="38" t="str">
        <x:v>B00IDV38NY_review_1955200</x:v>
      </x:c>
      <x:c r="D377" s="38" t="str">
        <x:v>B00IDV38NY</x:v>
      </x:c>
      <x:c r="E377" s="38" t="str">
        <x:v>dense</x:v>
      </x:c>
      <x:c r="F377" s="99"/>
      <x:c r="G377" s="100"/>
      <x:c r="H377" s="99" t="n">
        <x:v>13</x:v>
      </x:c>
      <x:c r="I377" s="100" t="n">
        <x:v>0.71883225440979</x:v>
      </x:c>
      <x:c r="J377" s="99"/>
      <x:c r="K377" s="100"/>
      <x:c r="L377" s="99"/>
      <x:c r="M377" s="100"/>
    </x:row>
    <x:row r="378">
      <x:c r="A378" s="38" t="str">
        <x:v>Q010::B0195629D0_review_3204778</x:v>
      </x:c>
      <x:c r="B378" s="38" t="str">
        <x:v>Q010</x:v>
      </x:c>
      <x:c r="C378" s="38" t="str">
        <x:v>B0195629D0_review_3204778</x:v>
      </x:c>
      <x:c r="D378" s="38" t="str">
        <x:v>B0195629D0</x:v>
      </x:c>
      <x:c r="E378" s="38" t="str">
        <x:v>bm25; hybrid_rrf; cross_encoder</x:v>
      </x:c>
      <x:c r="F378" s="99" t="n">
        <x:v>6</x:v>
      </x:c>
      <x:c r="G378" s="100" t="n">
        <x:v>24.083534864395553</x:v>
      </x:c>
      <x:c r="H378" s="99"/>
      <x:c r="I378" s="100"/>
      <x:c r="J378" s="99" t="n">
        <x:v>12</x:v>
      </x:c>
      <x:c r="K378" s="100" t="n">
        <x:v>0.015151515151515152</x:v>
      </x:c>
      <x:c r="L378" s="99" t="n">
        <x:v>5</x:v>
      </x:c>
      <x:c r="M378" s="100" t="n">
        <x:v>4.51844596862793</x:v>
      </x:c>
    </x:row>
    <x:row r="379">
      <x:c r="A379" s="38" t="str">
        <x:v>Q010::B01I4KNPGI_review_3367290</x:v>
      </x:c>
      <x:c r="B379" s="38" t="str">
        <x:v>Q010</x:v>
      </x:c>
      <x:c r="C379" s="38" t="str">
        <x:v>B01I4KNPGI_review_3367290</x:v>
      </x:c>
      <x:c r="D379" s="38" t="str">
        <x:v>B01I4KNPGI</x:v>
      </x:c>
      <x:c r="E379" s="38" t="str">
        <x:v>bm25; hybrid_rrf; cross_encoder</x:v>
      </x:c>
      <x:c r="F379" s="99" t="n">
        <x:v>4</x:v>
      </x:c>
      <x:c r="G379" s="100" t="n">
        <x:v>24.273324632969253</x:v>
      </x:c>
      <x:c r="H379" s="99"/>
      <x:c r="I379" s="100"/>
      <x:c r="J379" s="99" t="n">
        <x:v>7</x:v>
      </x:c>
      <x:c r="K379" s="100" t="n">
        <x:v>0.015625</x:v>
      </x:c>
      <x:c r="L379" s="99" t="n">
        <x:v>8</x:v>
      </x:c>
      <x:c r="M379" s="100" t="n">
        <x:v>3.654855966567993</x:v>
      </x:c>
    </x:row>
    <x:row r="380">
      <x:c r="A380" s="38" t="str">
        <x:v>Q010::B00OCC9CTC_review_3146366</x:v>
      </x:c>
      <x:c r="B380" s="38" t="str">
        <x:v>Q010</x:v>
      </x:c>
      <x:c r="C380" s="38" t="str">
        <x:v>B00OCC9CTC_review_3146366</x:v>
      </x:c>
      <x:c r="D380" s="38" t="str">
        <x:v>B00OCC9CTC</x:v>
      </x:c>
      <x:c r="E380" s="38" t="str">
        <x:v>bm25</x:v>
      </x:c>
      <x:c r="F380" s="99" t="n">
        <x:v>20</x:v>
      </x:c>
      <x:c r="G380" s="100" t="n">
        <x:v>21.823163675208818</x:v>
      </x:c>
      <x:c r="H380" s="99"/>
      <x:c r="I380" s="100"/>
      <x:c r="J380" s="99"/>
      <x:c r="K380" s="100"/>
      <x:c r="L380" s="99"/>
      <x:c r="M380" s="100"/>
    </x:row>
    <x:row r="381">
      <x:c r="A381" s="38" t="str">
        <x:v>Q010::B07L9PLQKZ_review_1960166</x:v>
      </x:c>
      <x:c r="B381" s="38" t="str">
        <x:v>Q010</x:v>
      </x:c>
      <x:c r="C381" s="38" t="str">
        <x:v>B07L9PLQKZ_review_1960166</x:v>
      </x:c>
      <x:c r="D381" s="38" t="str">
        <x:v>B07L9PLQKZ</x:v>
      </x:c>
      <x:c r="E381" s="38" t="str">
        <x:v>dense</x:v>
      </x:c>
      <x:c r="F381" s="99"/>
      <x:c r="G381" s="100"/>
      <x:c r="H381" s="99" t="n">
        <x:v>16</x:v>
      </x:c>
      <x:c r="I381" s="100" t="n">
        <x:v>0.7170019149780273</x:v>
      </x:c>
      <x:c r="J381" s="99"/>
      <x:c r="K381" s="100"/>
      <x:c r="L381" s="99"/>
      <x:c r="M381" s="100"/>
    </x:row>
    <x:row r="382">
      <x:c r="A382" s="38" t="str">
        <x:v>Q010::B081DV1QMV_review_4082167</x:v>
      </x:c>
      <x:c r="B382" s="38" t="str">
        <x:v>Q010</x:v>
      </x:c>
      <x:c r="C382" s="38" t="str">
        <x:v>B081DV1QMV_review_4082167</x:v>
      </x:c>
      <x:c r="D382" s="38" t="str">
        <x:v>B081DV1QMV</x:v>
      </x:c>
      <x:c r="E382" s="38" t="str">
        <x:v>bm25</x:v>
      </x:c>
      <x:c r="F382" s="99" t="n">
        <x:v>11</x:v>
      </x:c>
      <x:c r="G382" s="100" t="n">
        <x:v>22.98395324813042</x:v>
      </x:c>
      <x:c r="H382" s="99"/>
      <x:c r="I382" s="100"/>
      <x:c r="J382" s="99"/>
      <x:c r="K382" s="100"/>
      <x:c r="L382" s="99"/>
      <x:c r="M382" s="100"/>
    </x:row>
    <x:row r="383">
      <x:c r="A383" s="38" t="str">
        <x:v>Q010::B09JFZ2PZJ_review_2780960</x:v>
      </x:c>
      <x:c r="B383" s="38" t="str">
        <x:v>Q010</x:v>
      </x:c>
      <x:c r="C383" s="38" t="str">
        <x:v>B09JFZ2PZJ_review_2780960</x:v>
      </x:c>
      <x:c r="D383" s="38" t="str">
        <x:v>B09JFZ2PZJ</x:v>
      </x:c>
      <x:c r="E383" s="38" t="str">
        <x:v>dense; hybrid_rrf; cross_encoder</x:v>
      </x:c>
      <x:c r="F383" s="99"/>
      <x:c r="G383" s="100"/>
      <x:c r="H383" s="99" t="n">
        <x:v>8</x:v>
      </x:c>
      <x:c r="I383" s="100" t="n">
        <x:v>0.721422553062439</x:v>
      </x:c>
      <x:c r="J383" s="99" t="n">
        <x:v>16</x:v>
      </x:c>
      <x:c r="K383" s="100" t="n">
        <x:v>0.014705882352941176</x:v>
      </x:c>
      <x:c r="L383" s="99" t="n">
        <x:v>11</x:v>
      </x:c>
      <x:c r="M383" s="100" t="n">
        <x:v>3.1625776290893555</x:v>
      </x:c>
    </x:row>
    <x:row r="384">
      <x:c r="A384" s="38" t="str">
        <x:v>Q010::B0717BLK8H_review_1402526</x:v>
      </x:c>
      <x:c r="B384" s="38" t="str">
        <x:v>Q010</x:v>
      </x:c>
      <x:c r="C384" s="38" t="str">
        <x:v>B0717BLK8H_review_1402526</x:v>
      </x:c>
      <x:c r="D384" s="38" t="str">
        <x:v>B0717BLK8H</x:v>
      </x:c>
      <x:c r="E384" s="38" t="str">
        <x:v>bm25</x:v>
      </x:c>
      <x:c r="F384" s="99" t="n">
        <x:v>18</x:v>
      </x:c>
      <x:c r="G384" s="100" t="n">
        <x:v>21.897578275836484</x:v>
      </x:c>
      <x:c r="H384" s="99"/>
      <x:c r="I384" s="100"/>
      <x:c r="J384" s="99"/>
      <x:c r="K384" s="100"/>
      <x:c r="L384" s="99"/>
      <x:c r="M384" s="100"/>
    </x:row>
    <x:row r="385">
      <x:c r="A385" s="38" t="str">
        <x:v>Q010::B0897HG7TY_review_2951530</x:v>
      </x:c>
      <x:c r="B385" s="38" t="str">
        <x:v>Q010</x:v>
      </x:c>
      <x:c r="C385" s="38" t="str">
        <x:v>B0897HG7TY_review_2951530</x:v>
      </x:c>
      <x:c r="D385" s="38" t="str">
        <x:v>B0897HG7TY</x:v>
      </x:c>
      <x:c r="E385" s="38" t="str">
        <x:v>bm25</x:v>
      </x:c>
      <x:c r="F385" s="99" t="n">
        <x:v>12</x:v>
      </x:c>
      <x:c r="G385" s="100" t="n">
        <x:v>22.86848297264345</x:v>
      </x:c>
      <x:c r="H385" s="99"/>
      <x:c r="I385" s="100"/>
      <x:c r="J385" s="99"/>
      <x:c r="K385" s="100"/>
      <x:c r="L385" s="99"/>
      <x:c r="M385" s="100"/>
    </x:row>
    <x:row r="386">
      <x:c r="A386" s="38" t="str">
        <x:v>Q010::B076JL51GL_review_1867885</x:v>
      </x:c>
      <x:c r="B386" s="38" t="str">
        <x:v>Q010</x:v>
      </x:c>
      <x:c r="C386" s="38" t="str">
        <x:v>B076JL51GL_review_1867885</x:v>
      </x:c>
      <x:c r="D386" s="38" t="str">
        <x:v>B076JL51GL</x:v>
      </x:c>
      <x:c r="E386" s="38" t="str">
        <x:v>dense; hybrid_rrf; cross_encoder</x:v>
      </x:c>
      <x:c r="F386" s="99"/>
      <x:c r="G386" s="100"/>
      <x:c r="H386" s="99" t="n">
        <x:v>4</x:v>
      </x:c>
      <x:c r="I386" s="100" t="n">
        <x:v>0.7254894375801086</x:v>
      </x:c>
      <x:c r="J386" s="99" t="n">
        <x:v>8</x:v>
      </x:c>
      <x:c r="K386" s="100" t="n">
        <x:v>0.015625</x:v>
      </x:c>
      <x:c r="L386" s="99" t="n">
        <x:v>19</x:v>
      </x:c>
      <x:c r="M386" s="100" t="n">
        <x:v>-3.106065273284912</x:v>
      </x:c>
    </x:row>
    <x:row r="387">
      <x:c r="A387" s="38" t="str">
        <x:v>Q010::B07L2DRHCJ_review_1664854</x:v>
      </x:c>
      <x:c r="B387" s="38" t="str">
        <x:v>Q010</x:v>
      </x:c>
      <x:c r="C387" s="38" t="str">
        <x:v>B07L2DRHCJ_review_1664854</x:v>
      </x:c>
      <x:c r="D387" s="38" t="str">
        <x:v>B07L2DRHCJ</x:v>
      </x:c>
      <x:c r="E387" s="38" t="str">
        <x:v>bm25</x:v>
      </x:c>
      <x:c r="F387" s="99" t="n">
        <x:v>16</x:v>
      </x:c>
      <x:c r="G387" s="100" t="n">
        <x:v>22.147099492503926</x:v>
      </x:c>
      <x:c r="H387" s="99"/>
      <x:c r="I387" s="100"/>
      <x:c r="J387" s="99"/>
      <x:c r="K387" s="100"/>
      <x:c r="L387" s="99"/>
      <x:c r="M387" s="100"/>
    </x:row>
    <x:row r="388">
      <x:c r="A388" s="38" t="str">
        <x:v>Q010::B07QQQR8ZY_review_3610698</x:v>
      </x:c>
      <x:c r="B388" s="38" t="str">
        <x:v>Q010</x:v>
      </x:c>
      <x:c r="C388" s="38" t="str">
        <x:v>B07QQQR8ZY_review_3610698</x:v>
      </x:c>
      <x:c r="D388" s="38" t="str">
        <x:v>B07QQQR8ZY</x:v>
      </x:c>
      <x:c r="E388" s="38" t="str">
        <x:v>bm25</x:v>
      </x:c>
      <x:c r="F388" s="99" t="n">
        <x:v>17</x:v>
      </x:c>
      <x:c r="G388" s="100" t="n">
        <x:v>21.971662642761984</x:v>
      </x:c>
      <x:c r="H388" s="99"/>
      <x:c r="I388" s="100"/>
      <x:c r="J388" s="99"/>
      <x:c r="K388" s="100"/>
      <x:c r="L388" s="99"/>
      <x:c r="M388" s="100"/>
    </x:row>
    <x:row r="389">
      <x:c r="A389" s="38" t="str">
        <x:v>Q010::B00YMVB61U_review_172796</x:v>
      </x:c>
      <x:c r="B389" s="38" t="str">
        <x:v>Q010</x:v>
      </x:c>
      <x:c r="C389" s="38" t="str">
        <x:v>B00YMVB61U_review_172796</x:v>
      </x:c>
      <x:c r="D389" s="38" t="str">
        <x:v>B00YMVB61U</x:v>
      </x:c>
      <x:c r="E389" s="38" t="str">
        <x:v>bm25</x:v>
      </x:c>
      <x:c r="F389" s="99" t="n">
        <x:v>13</x:v>
      </x:c>
      <x:c r="G389" s="100" t="n">
        <x:v>22.81289104443438</x:v>
      </x:c>
      <x:c r="H389" s="99"/>
      <x:c r="I389" s="100"/>
      <x:c r="J389" s="99"/>
      <x:c r="K389" s="100"/>
      <x:c r="L389" s="99"/>
      <x:c r="M389" s="100"/>
    </x:row>
    <x:row r="390">
      <x:c r="A390" s="38" t="str">
        <x:v>Q010::B07Z8QKZTP_review_983784</x:v>
      </x:c>
      <x:c r="B390" s="38" t="str">
        <x:v>Q010</x:v>
      </x:c>
      <x:c r="C390" s="38" t="str">
        <x:v>B07Z8QKZTP_review_983784</x:v>
      </x:c>
      <x:c r="D390" s="38" t="str">
        <x:v>B07Z8QKZTP</x:v>
      </x:c>
      <x:c r="E390" s="38" t="str">
        <x:v>dense</x:v>
      </x:c>
      <x:c r="F390" s="99"/>
      <x:c r="G390" s="100"/>
      <x:c r="H390" s="99" t="n">
        <x:v>15</x:v>
      </x:c>
      <x:c r="I390" s="100" t="n">
        <x:v>0.7181130051612854</x:v>
      </x:c>
      <x:c r="J390" s="99"/>
      <x:c r="K390" s="100"/>
      <x:c r="L390" s="99"/>
      <x:c r="M390" s="100"/>
    </x:row>
    <x:row r="391">
      <x:c r="A391" s="38" t="str">
        <x:v>Q010::B00PLPRWBY_review_222146</x:v>
      </x:c>
      <x:c r="B391" s="38" t="str">
        <x:v>Q010</x:v>
      </x:c>
      <x:c r="C391" s="38" t="str">
        <x:v>B00PLPRWBY_review_222146</x:v>
      </x:c>
      <x:c r="D391" s="38" t="str">
        <x:v>B00PLPRWBY</x:v>
      </x:c>
      <x:c r="E391" s="38" t="str">
        <x:v>bm25; hybrid_rrf; cross_encoder</x:v>
      </x:c>
      <x:c r="F391" s="99" t="n">
        <x:v>3</x:v>
      </x:c>
      <x:c r="G391" s="100" t="n">
        <x:v>24.29498780995784</x:v>
      </x:c>
      <x:c r="H391" s="99"/>
      <x:c r="I391" s="100"/>
      <x:c r="J391" s="99" t="n">
        <x:v>5</x:v>
      </x:c>
      <x:c r="K391" s="100" t="n">
        <x:v>0.015873015873015872</x:v>
      </x:c>
      <x:c r="L391" s="99" t="n">
        <x:v>3</x:v>
      </x:c>
      <x:c r="M391" s="100" t="n">
        <x:v>4.72991943359375</x:v>
      </x:c>
    </x:row>
    <x:row r="392">
      <x:c r="A392" s="38" t="str">
        <x:v>Q010::B00AW5E7CU_review_3869545</x:v>
      </x:c>
      <x:c r="B392" s="38" t="str">
        <x:v>Q010</x:v>
      </x:c>
      <x:c r="C392" s="38" t="str">
        <x:v>B00AW5E7CU_review_3869545</x:v>
      </x:c>
      <x:c r="D392" s="38" t="str">
        <x:v>B00AW5E7CU</x:v>
      </x:c>
      <x:c r="E392" s="38" t="str">
        <x:v>bm25; hybrid_rrf; cross_encoder</x:v>
      </x:c>
      <x:c r="F392" s="99" t="n">
        <x:v>10</x:v>
      </x:c>
      <x:c r="G392" s="100" t="n">
        <x:v>23.08499236071615</x:v>
      </x:c>
      <x:c r="H392" s="99"/>
      <x:c r="I392" s="100"/>
      <x:c r="J392" s="99" t="n">
        <x:v>19</x:v>
      </x:c>
      <x:c r="K392" s="100" t="n">
        <x:v>0.014285714285714285</x:v>
      </x:c>
      <x:c r="L392" s="99" t="n">
        <x:v>12</x:v>
      </x:c>
      <x:c r="M392" s="100" t="n">
        <x:v>3.1592259407043457</x:v>
      </x:c>
    </x:row>
    <x:row r="393">
      <x:c r="A393" s="38" t="str">
        <x:v>Q010::B00742T0PS_review_3314646</x:v>
      </x:c>
      <x:c r="B393" s="38" t="str">
        <x:v>Q010</x:v>
      </x:c>
      <x:c r="C393" s="38" t="str">
        <x:v>B00742T0PS_review_3314646</x:v>
      </x:c>
      <x:c r="D393" s="38" t="str">
        <x:v>B00742T0PS</x:v>
      </x:c>
      <x:c r="E393" s="38" t="str">
        <x:v>dense</x:v>
      </x:c>
      <x:c r="F393" s="99"/>
      <x:c r="G393" s="100"/>
      <x:c r="H393" s="99" t="n">
        <x:v>14</x:v>
      </x:c>
      <x:c r="I393" s="100" t="n">
        <x:v>0.7184600830078125</x:v>
      </x:c>
      <x:c r="J393" s="99"/>
      <x:c r="K393" s="100"/>
      <x:c r="L393" s="99"/>
      <x:c r="M393" s="100"/>
    </x:row>
    <x:row r="394">
      <x:c r="A394" s="38" t="str">
        <x:v>Q010::B08X9XFW57_review_3521047</x:v>
      </x:c>
      <x:c r="B394" s="38" t="str">
        <x:v>Q010</x:v>
      </x:c>
      <x:c r="C394" s="38" t="str">
        <x:v>B08X9XFW57_review_3521047</x:v>
      </x:c>
      <x:c r="D394" s="38" t="str">
        <x:v>B08X9XFW57</x:v>
      </x:c>
      <x:c r="E394" s="38" t="str">
        <x:v>dense; hybrid_rrf; cross_encoder</x:v>
      </x:c>
      <x:c r="F394" s="99"/>
      <x:c r="G394" s="100"/>
      <x:c r="H394" s="99" t="n">
        <x:v>9</x:v>
      </x:c>
      <x:c r="I394" s="100" t="n">
        <x:v>0.7213556170463562</x:v>
      </x:c>
      <x:c r="J394" s="99" t="n">
        <x:v>18</x:v>
      </x:c>
      <x:c r="K394" s="100" t="n">
        <x:v>0.014492753623188406</x:v>
      </x:c>
      <x:c r="L394" s="99" t="n">
        <x:v>15</x:v>
      </x:c>
      <x:c r="M394" s="100" t="n">
        <x:v>1.097657561302185</x:v>
      </x:c>
    </x:row>
    <x:row r="395">
      <x:c r="A395" s="38" t="str">
        <x:v>Q011::B06Y4FMNSJ_review_1696369</x:v>
      </x:c>
      <x:c r="B395" s="38" t="str">
        <x:v>Q011</x:v>
      </x:c>
      <x:c r="C395" s="38" t="str">
        <x:v>B06Y4FMNSJ_review_1696369</x:v>
      </x:c>
      <x:c r="D395" s="38" t="str">
        <x:v>B06Y4FMNSJ</x:v>
      </x:c>
      <x:c r="E395" s="38" t="str">
        <x:v>bm25; hybrid_rrf; cross_encoder</x:v>
      </x:c>
      <x:c r="F395" s="99" t="n">
        <x:v>8</x:v>
      </x:c>
      <x:c r="G395" s="100" t="n">
        <x:v>30.979038312111353</x:v>
      </x:c>
      <x:c r="H395" s="99"/>
      <x:c r="I395" s="100"/>
      <x:c r="J395" s="99" t="n">
        <x:v>16</x:v>
      </x:c>
      <x:c r="K395" s="100" t="n">
        <x:v>0.014705882352941176</x:v>
      </x:c>
      <x:c r="L395" s="99" t="n">
        <x:v>18</x:v>
      </x:c>
      <x:c r="M395" s="100" t="n">
        <x:v>3.0002245903015137</x:v>
      </x:c>
    </x:row>
    <x:row r="396">
      <x:c r="A396" s="38" t="str">
        <x:v>Q011::B003LY2NF2_review_1940992</x:v>
      </x:c>
      <x:c r="B396" s="38" t="str">
        <x:v>Q011</x:v>
      </x:c>
      <x:c r="C396" s="38" t="str">
        <x:v>B003LY2NF2_review_1940992</x:v>
      </x:c>
      <x:c r="D396" s="38" t="str">
        <x:v>B003LY2NF2</x:v>
      </x:c>
      <x:c r="E396" s="38" t="str">
        <x:v>dense</x:v>
      </x:c>
      <x:c r="F396" s="99"/>
      <x:c r="G396" s="100"/>
      <x:c r="H396" s="99" t="n">
        <x:v>16</x:v>
      </x:c>
      <x:c r="I396" s="100" t="n">
        <x:v>0.7703903317451477</x:v>
      </x:c>
      <x:c r="J396" s="99"/>
      <x:c r="K396" s="100"/>
      <x:c r="L396" s="99"/>
      <x:c r="M396" s="100"/>
    </x:row>
    <x:row r="397">
      <x:c r="A397" s="38" t="str">
        <x:v>Q011::B09NLLW9HN_review_880608</x:v>
      </x:c>
      <x:c r="B397" s="38" t="str">
        <x:v>Q011</x:v>
      </x:c>
      <x:c r="C397" s="38" t="str">
        <x:v>B09NLLW9HN_review_880608</x:v>
      </x:c>
      <x:c r="D397" s="38" t="str">
        <x:v>B09NLLW9HN</x:v>
      </x:c>
      <x:c r="E397" s="38" t="str">
        <x:v>bm25; hybrid_rrf; cross_encoder</x:v>
      </x:c>
      <x:c r="F397" s="99" t="n">
        <x:v>6</x:v>
      </x:c>
      <x:c r="G397" s="100" t="n">
        <x:v>31.770431635616003</x:v>
      </x:c>
      <x:c r="H397" s="99"/>
      <x:c r="I397" s="100"/>
      <x:c r="J397" s="99" t="n">
        <x:v>12</x:v>
      </x:c>
      <x:c r="K397" s="100" t="n">
        <x:v>0.015151515151515152</x:v>
      </x:c>
      <x:c r="L397" s="99" t="n">
        <x:v>10</x:v>
      </x:c>
      <x:c r="M397" s="100" t="n">
        <x:v>4.45051383972168</x:v>
      </x:c>
    </x:row>
    <x:row r="398">
      <x:c r="A398" s="38" t="str">
        <x:v>Q011::B013P0HQKI_review_67265</x:v>
      </x:c>
      <x:c r="B398" s="38" t="str">
        <x:v>Q011</x:v>
      </x:c>
      <x:c r="C398" s="38" t="str">
        <x:v>B013P0HQKI_review_67265</x:v>
      </x:c>
      <x:c r="D398" s="38" t="str">
        <x:v>B013P0HQKI</x:v>
      </x:c>
      <x:c r="E398" s="38" t="str">
        <x:v>dense; hybrid_rrf; cross_encoder</x:v>
      </x:c>
      <x:c r="F398" s="99"/>
      <x:c r="G398" s="100"/>
      <x:c r="H398" s="99" t="n">
        <x:v>5</x:v>
      </x:c>
      <x:c r="I398" s="100" t="n">
        <x:v>0.7773141860961914</x:v>
      </x:c>
      <x:c r="J398" s="99" t="n">
        <x:v>9</x:v>
      </x:c>
      <x:c r="K398" s="100" t="n">
        <x:v>0.015384615384615385</x:v>
      </x:c>
      <x:c r="L398" s="99" t="n">
        <x:v>19</x:v>
      </x:c>
      <x:c r="M398" s="100" t="n">
        <x:v>2.4526021480560303</x:v>
      </x:c>
    </x:row>
    <x:row r="399">
      <x:c r="A399" s="38" t="str">
        <x:v>Q011::B013P0HQKI_review_67277</x:v>
      </x:c>
      <x:c r="B399" s="38" t="str">
        <x:v>Q011</x:v>
      </x:c>
      <x:c r="C399" s="38" t="str">
        <x:v>B013P0HQKI_review_67277</x:v>
      </x:c>
      <x:c r="D399" s="38" t="str">
        <x:v>B013P0HQKI</x:v>
      </x:c>
      <x:c r="E399" s="38" t="str">
        <x:v>dense; hybrid_rrf; cross_encoder</x:v>
      </x:c>
      <x:c r="F399" s="99"/>
      <x:c r="G399" s="100"/>
      <x:c r="H399" s="99" t="n">
        <x:v>4</x:v>
      </x:c>
      <x:c r="I399" s="100" t="n">
        <x:v>0.7836645841598511</x:v>
      </x:c>
      <x:c r="J399" s="99" t="n">
        <x:v>7</x:v>
      </x:c>
      <x:c r="K399" s="100" t="n">
        <x:v>0.015625</x:v>
      </x:c>
      <x:c r="L399" s="99" t="n">
        <x:v>12</x:v>
      </x:c>
      <x:c r="M399" s="100" t="n">
        <x:v>4.13560676574707</x:v>
      </x:c>
    </x:row>
    <x:row r="400">
      <x:c r="A400" s="38" t="str">
        <x:v>Q011::B07VBKHZL1_review_2780198</x:v>
      </x:c>
      <x:c r="B400" s="38" t="str">
        <x:v>Q011</x:v>
      </x:c>
      <x:c r="C400" s="38" t="str">
        <x:v>B07VBKHZL1_review_2780198</x:v>
      </x:c>
      <x:c r="D400" s="38" t="str">
        <x:v>B07VBKHZL1</x:v>
      </x:c>
      <x:c r="E400" s="38" t="str">
        <x:v>dense</x:v>
      </x:c>
      <x:c r="F400" s="99"/>
      <x:c r="G400" s="100"/>
      <x:c r="H400" s="99" t="n">
        <x:v>11</x:v>
      </x:c>
      <x:c r="I400" s="100" t="n">
        <x:v>0.7714465856552124</x:v>
      </x:c>
      <x:c r="J400" s="99"/>
      <x:c r="K400" s="100"/>
      <x:c r="L400" s="99"/>
      <x:c r="M400" s="100"/>
    </x:row>
    <x:row r="401">
      <x:c r="A401" s="38" t="str">
        <x:v>Q011::B003LY2NF2_review_1940995</x:v>
      </x:c>
      <x:c r="B401" s="38" t="str">
        <x:v>Q011</x:v>
      </x:c>
      <x:c r="C401" s="38" t="str">
        <x:v>B003LY2NF2_review_1940995</x:v>
      </x:c>
      <x:c r="D401" s="38" t="str">
        <x:v>B003LY2NF2</x:v>
      </x:c>
      <x:c r="E401" s="38" t="str">
        <x:v>dense; hybrid_rrf; cross_encoder</x:v>
      </x:c>
      <x:c r="F401" s="99"/>
      <x:c r="G401" s="100"/>
      <x:c r="H401" s="99" t="n">
        <x:v>2</x:v>
      </x:c>
      <x:c r="I401" s="100" t="n">
        <x:v>0.7873984575271606</x:v>
      </x:c>
      <x:c r="J401" s="99" t="n">
        <x:v>3</x:v>
      </x:c>
      <x:c r="K401" s="100" t="n">
        <x:v>0.016129032258064516</x:v>
      </x:c>
      <x:c r="L401" s="99" t="n">
        <x:v>11</x:v>
      </x:c>
      <x:c r="M401" s="100" t="n">
        <x:v>4.138413906097412</x:v>
      </x:c>
    </x:row>
    <x:row r="402">
      <x:c r="A402" s="38" t="str">
        <x:v>Q011::B01NAFYYF6_review_649427</x:v>
      </x:c>
      <x:c r="B402" s="38" t="str">
        <x:v>Q011</x:v>
      </x:c>
      <x:c r="C402" s="38" t="str">
        <x:v>B01NAFYYF6_review_649427</x:v>
      </x:c>
      <x:c r="D402" s="38" t="str">
        <x:v>B01NAFYYF6</x:v>
      </x:c>
      <x:c r="E402" s="38" t="str">
        <x:v>bm25</x:v>
      </x:c>
      <x:c r="F402" s="99" t="n">
        <x:v>17</x:v>
      </x:c>
      <x:c r="G402" s="100" t="n">
        <x:v>28.885649722021256</x:v>
      </x:c>
      <x:c r="H402" s="99"/>
      <x:c r="I402" s="100"/>
      <x:c r="J402" s="99"/>
      <x:c r="K402" s="100"/>
      <x:c r="L402" s="99"/>
      <x:c r="M402" s="100"/>
    </x:row>
    <x:row r="403">
      <x:c r="A403" s="38" t="str">
        <x:v>Q011::B08L7D4N84_review_280055</x:v>
      </x:c>
      <x:c r="B403" s="38" t="str">
        <x:v>Q011</x:v>
      </x:c>
      <x:c r="C403" s="38" t="str">
        <x:v>B08L7D4N84_review_280055</x:v>
      </x:c>
      <x:c r="D403" s="38" t="str">
        <x:v>B08L7D4N84</x:v>
      </x:c>
      <x:c r="E403" s="38" t="str">
        <x:v>bm25; hybrid_rrf; cross_encoder</x:v>
      </x:c>
      <x:c r="F403" s="99" t="n">
        <x:v>2</x:v>
      </x:c>
      <x:c r="G403" s="100" t="n">
        <x:v>32.46256277898997</x:v>
      </x:c>
      <x:c r="H403" s="99"/>
      <x:c r="I403" s="100"/>
      <x:c r="J403" s="99" t="n">
        <x:v>4</x:v>
      </x:c>
      <x:c r="K403" s="100" t="n">
        <x:v>0.016129032258064516</x:v>
      </x:c>
      <x:c r="L403" s="99" t="n">
        <x:v>1</x:v>
      </x:c>
      <x:c r="M403" s="100" t="n">
        <x:v>6.783442974090576</x:v>
      </x:c>
    </x:row>
    <x:row r="404">
      <x:c r="A404" s="38" t="str">
        <x:v>Q011::B001UTCQKC_review_2922045</x:v>
      </x:c>
      <x:c r="B404" s="38" t="str">
        <x:v>Q011</x:v>
      </x:c>
      <x:c r="C404" s="38" t="str">
        <x:v>B001UTCQKC_review_2922045</x:v>
      </x:c>
      <x:c r="D404" s="38" t="str">
        <x:v>B001UTCQKC</x:v>
      </x:c>
      <x:c r="E404" s="38" t="str">
        <x:v>bm25; hybrid_rrf; cross_encoder</x:v>
      </x:c>
      <x:c r="F404" s="99" t="n">
        <x:v>9</x:v>
      </x:c>
      <x:c r="G404" s="100" t="n">
        <x:v>30.635804702488215</x:v>
      </x:c>
      <x:c r="H404" s="99"/>
      <x:c r="I404" s="100"/>
      <x:c r="J404" s="99" t="n">
        <x:v>17</x:v>
      </x:c>
      <x:c r="K404" s="100" t="n">
        <x:v>0.014492753623188406</x:v>
      </x:c>
      <x:c r="L404" s="99" t="n">
        <x:v>6</x:v>
      </x:c>
      <x:c r="M404" s="100" t="n">
        <x:v>5.399477005004883</x:v>
      </x:c>
    </x:row>
    <x:row r="405">
      <x:c r="A405" s="38" t="str">
        <x:v>Q011::B00L62PDOE_review_2436532</x:v>
      </x:c>
      <x:c r="B405" s="38" t="str">
        <x:v>Q011</x:v>
      </x:c>
      <x:c r="C405" s="38" t="str">
        <x:v>B00L62PDOE_review_2436532</x:v>
      </x:c>
      <x:c r="D405" s="38" t="str">
        <x:v>B00L62PDOE</x:v>
      </x:c>
      <x:c r="E405" s="38" t="str">
        <x:v>dense</x:v>
      </x:c>
      <x:c r="F405" s="99"/>
      <x:c r="G405" s="100"/>
      <x:c r="H405" s="99" t="n">
        <x:v>19</x:v>
      </x:c>
      <x:c r="I405" s="100" t="n">
        <x:v>0.7694429755210876</x:v>
      </x:c>
      <x:c r="J405" s="99"/>
      <x:c r="K405" s="100"/>
      <x:c r="L405" s="99"/>
      <x:c r="M405" s="100"/>
    </x:row>
    <x:row r="406">
      <x:c r="A406" s="38" t="str">
        <x:v>Q011::B003WOMD7O_review_4029365</x:v>
      </x:c>
      <x:c r="B406" s="38" t="str">
        <x:v>Q011</x:v>
      </x:c>
      <x:c r="C406" s="38" t="str">
        <x:v>B003WOMD7O_review_4029365</x:v>
      </x:c>
      <x:c r="D406" s="38" t="str">
        <x:v>B003WOMD7O</x:v>
      </x:c>
      <x:c r="E406" s="38" t="str">
        <x:v>bm25; hybrid_rrf; cross_encoder</x:v>
      </x:c>
      <x:c r="F406" s="99" t="n">
        <x:v>3</x:v>
      </x:c>
      <x:c r="G406" s="100" t="n">
        <x:v>32.439953355395176</x:v>
      </x:c>
      <x:c r="H406" s="99"/>
      <x:c r="I406" s="100"/>
      <x:c r="J406" s="99" t="n">
        <x:v>5</x:v>
      </x:c>
      <x:c r="K406" s="100" t="n">
        <x:v>0.015873015873015872</x:v>
      </x:c>
      <x:c r="L406" s="99" t="n">
        <x:v>3</x:v>
      </x:c>
      <x:c r="M406" s="100" t="n">
        <x:v>6.153841972351074</x:v>
      </x:c>
    </x:row>
    <x:row r="407">
      <x:c r="A407" s="38" t="str">
        <x:v>Q011::B09MVZDJMM_review_982441</x:v>
      </x:c>
      <x:c r="B407" s="38" t="str">
        <x:v>Q011</x:v>
      </x:c>
      <x:c r="C407" s="38" t="str">
        <x:v>B09MVZDJMM_review_982441</x:v>
      </x:c>
      <x:c r="D407" s="38" t="str">
        <x:v>B09MVZDJMM</x:v>
      </x:c>
      <x:c r="E407" s="38" t="str">
        <x:v>bm25</x:v>
      </x:c>
      <x:c r="F407" s="99" t="n">
        <x:v>16</x:v>
      </x:c>
      <x:c r="G407" s="100" t="n">
        <x:v>28.963316455579232</x:v>
      </x:c>
      <x:c r="H407" s="99"/>
      <x:c r="I407" s="100"/>
      <x:c r="J407" s="99"/>
      <x:c r="K407" s="100"/>
      <x:c r="L407" s="99"/>
      <x:c r="M407" s="100"/>
    </x:row>
    <x:row r="408">
      <x:c r="A408" s="38" t="str">
        <x:v>Q011::B083FSG3LZ_review_3670035</x:v>
      </x:c>
      <x:c r="B408" s="38" t="str">
        <x:v>Q011</x:v>
      </x:c>
      <x:c r="C408" s="38" t="str">
        <x:v>B083FSG3LZ_review_3670035</x:v>
      </x:c>
      <x:c r="D408" s="38" t="str">
        <x:v>B083FSG3LZ</x:v>
      </x:c>
      <x:c r="E408" s="38" t="str">
        <x:v>bm25; hybrid_rrf; cross_encoder</x:v>
      </x:c>
      <x:c r="F408" s="99" t="n">
        <x:v>5</x:v>
      </x:c>
      <x:c r="G408" s="100" t="n">
        <x:v>31.812908174394416</x:v>
      </x:c>
      <x:c r="H408" s="99"/>
      <x:c r="I408" s="100"/>
      <x:c r="J408" s="99" t="n">
        <x:v>10</x:v>
      </x:c>
      <x:c r="K408" s="100" t="n">
        <x:v>0.015384615384615385</x:v>
      </x:c>
      <x:c r="L408" s="99" t="n">
        <x:v>5</x:v>
      </x:c>
      <x:c r="M408" s="100" t="n">
        <x:v>5.7097697257995605</x:v>
      </x:c>
    </x:row>
    <x:row r="409">
      <x:c r="A409" s="38" t="str">
        <x:v>Q011::B07DQDGG53_review_563276</x:v>
      </x:c>
      <x:c r="B409" s="38" t="str">
        <x:v>Q011</x:v>
      </x:c>
      <x:c r="C409" s="38" t="str">
        <x:v>B07DQDGG53_review_563276</x:v>
      </x:c>
      <x:c r="D409" s="38" t="str">
        <x:v>B07DQDGG53</x:v>
      </x:c>
      <x:c r="E409" s="38" t="str">
        <x:v>bm25</x:v>
      </x:c>
      <x:c r="F409" s="99" t="n">
        <x:v>13</x:v>
      </x:c>
      <x:c r="G409" s="100" t="n">
        <x:v>29.596401614095342</x:v>
      </x:c>
      <x:c r="H409" s="99"/>
      <x:c r="I409" s="100"/>
      <x:c r="J409" s="99"/>
      <x:c r="K409" s="100"/>
      <x:c r="L409" s="99"/>
      <x:c r="M409" s="100"/>
    </x:row>
    <x:row r="410">
      <x:c r="A410" s="38" t="str">
        <x:v>Q011::B00D8XN61G_review_1987520</x:v>
      </x:c>
      <x:c r="B410" s="38" t="str">
        <x:v>Q011</x:v>
      </x:c>
      <x:c r="C410" s="38" t="str">
        <x:v>B00D8XN61G_review_1987520</x:v>
      </x:c>
      <x:c r="D410" s="38" t="str">
        <x:v>B00D8XN61G</x:v>
      </x:c>
      <x:c r="E410" s="38" t="str">
        <x:v>bm25</x:v>
      </x:c>
      <x:c r="F410" s="99" t="n">
        <x:v>19</x:v>
      </x:c>
      <x:c r="G410" s="100" t="n">
        <x:v>28.64161773696227</x:v>
      </x:c>
      <x:c r="H410" s="99"/>
      <x:c r="I410" s="100"/>
      <x:c r="J410" s="99"/>
      <x:c r="K410" s="100"/>
      <x:c r="L410" s="99"/>
      <x:c r="M410" s="100"/>
    </x:row>
    <x:row r="411">
      <x:c r="A411" s="38" t="str">
        <x:v>Q011::B00LN0ODRC_review_3617272</x:v>
      </x:c>
      <x:c r="B411" s="38" t="str">
        <x:v>Q011</x:v>
      </x:c>
      <x:c r="C411" s="38" t="str">
        <x:v>B00LN0ODRC_review_3617272</x:v>
      </x:c>
      <x:c r="D411" s="38" t="str">
        <x:v>B00LN0ODRC</x:v>
      </x:c>
      <x:c r="E411" s="38" t="str">
        <x:v>dense</x:v>
      </x:c>
      <x:c r="F411" s="99"/>
      <x:c r="G411" s="100"/>
      <x:c r="H411" s="99" t="n">
        <x:v>13</x:v>
      </x:c>
      <x:c r="I411" s="100" t="n">
        <x:v>0.7712855339050293</x:v>
      </x:c>
      <x:c r="J411" s="99"/>
      <x:c r="K411" s="100"/>
      <x:c r="L411" s="99"/>
      <x:c r="M411" s="100"/>
    </x:row>
    <x:row r="412">
      <x:c r="A412" s="38" t="str">
        <x:v>Q011::B013P0HQKI_review_67271</x:v>
      </x:c>
      <x:c r="B412" s="38" t="str">
        <x:v>Q011</x:v>
      </x:c>
      <x:c r="C412" s="38" t="str">
        <x:v>B013P0HQKI_review_67271</x:v>
      </x:c>
      <x:c r="D412" s="38" t="str">
        <x:v>B013P0HQKI</x:v>
      </x:c>
      <x:c r="E412" s="38" t="str">
        <x:v>dense</x:v>
      </x:c>
      <x:c r="F412" s="99"/>
      <x:c r="G412" s="100"/>
      <x:c r="H412" s="99" t="n">
        <x:v>18</x:v>
      </x:c>
      <x:c r="I412" s="100" t="n">
        <x:v>0.7697685360908508</x:v>
      </x:c>
      <x:c r="J412" s="99"/>
      <x:c r="K412" s="100"/>
      <x:c r="L412" s="99"/>
      <x:c r="M412" s="100"/>
    </x:row>
    <x:row r="413">
      <x:c r="A413" s="38" t="str">
        <x:v>Q011::B09BCSRRXH_review_1688021</x:v>
      </x:c>
      <x:c r="B413" s="38" t="str">
        <x:v>Q011</x:v>
      </x:c>
      <x:c r="C413" s="38" t="str">
        <x:v>B09BCSRRXH_review_1688021</x:v>
      </x:c>
      <x:c r="D413" s="38" t="str">
        <x:v>B09BCSRRXH</x:v>
      </x:c>
      <x:c r="E413" s="38" t="str">
        <x:v>bm25; hybrid_rrf; cross_encoder</x:v>
      </x:c>
      <x:c r="F413" s="99" t="n">
        <x:v>7</x:v>
      </x:c>
      <x:c r="G413" s="100" t="n">
        <x:v>31.667787840046735</x:v>
      </x:c>
      <x:c r="H413" s="99"/>
      <x:c r="I413" s="100"/>
      <x:c r="J413" s="99" t="n">
        <x:v>14</x:v>
      </x:c>
      <x:c r="K413" s="100" t="n">
        <x:v>0.014925373134328358</x:v>
      </x:c>
      <x:c r="L413" s="99" t="n">
        <x:v>15</x:v>
      </x:c>
      <x:c r="M413" s="100" t="n">
        <x:v>3.4041309356689453</x:v>
      </x:c>
    </x:row>
    <x:row r="414">
      <x:c r="A414" s="38" t="str">
        <x:v>Q011::B0BNQ3Q4HH_review_3766010</x:v>
      </x:c>
      <x:c r="B414" s="38" t="str">
        <x:v>Q011</x:v>
      </x:c>
      <x:c r="C414" s="38" t="str">
        <x:v>B0BNQ3Q4HH_review_3766010</x:v>
      </x:c>
      <x:c r="D414" s="38" t="str">
        <x:v>B0BNQ3Q4HH</x:v>
      </x:c>
      <x:c r="E414" s="38" t="str">
        <x:v>dense</x:v>
      </x:c>
      <x:c r="F414" s="99"/>
      <x:c r="G414" s="100"/>
      <x:c r="H414" s="99" t="n">
        <x:v>20</x:v>
      </x:c>
      <x:c r="I414" s="100" t="n">
        <x:v>0.7694026231765747</x:v>
      </x:c>
      <x:c r="J414" s="99"/>
      <x:c r="K414" s="100"/>
      <x:c r="L414" s="99"/>
      <x:c r="M414" s="100"/>
    </x:row>
    <x:row r="415">
      <x:c r="A415" s="38" t="str">
        <x:v>Q011::B01L9VCC18_review_3731807</x:v>
      </x:c>
      <x:c r="B415" s="38" t="str">
        <x:v>Q011</x:v>
      </x:c>
      <x:c r="C415" s="38" t="str">
        <x:v>B01L9VCC18_review_3731807</x:v>
      </x:c>
      <x:c r="D415" s="38" t="str">
        <x:v>B01L9VCC18</x:v>
      </x:c>
      <x:c r="E415" s="38" t="str">
        <x:v>bm25</x:v>
      </x:c>
      <x:c r="F415" s="99" t="n">
        <x:v>15</x:v>
      </x:c>
      <x:c r="G415" s="100" t="n">
        <x:v>29.002660029372265</x:v>
      </x:c>
      <x:c r="H415" s="99"/>
      <x:c r="I415" s="100"/>
      <x:c r="J415" s="99"/>
      <x:c r="K415" s="100"/>
      <x:c r="L415" s="99"/>
      <x:c r="M415" s="100"/>
    </x:row>
    <x:row r="416">
      <x:c r="A416" s="38" t="str">
        <x:v>Q011::B09M6YY8K7_review_3945445</x:v>
      </x:c>
      <x:c r="B416" s="38" t="str">
        <x:v>Q011</x:v>
      </x:c>
      <x:c r="C416" s="38" t="str">
        <x:v>B09M6YY8K7_review_3945445</x:v>
      </x:c>
      <x:c r="D416" s="38" t="str">
        <x:v>B09M6YY8K7</x:v>
      </x:c>
      <x:c r="E416" s="38" t="str">
        <x:v>bm25; hybrid_rrf; cross_encoder</x:v>
      </x:c>
      <x:c r="F416" s="99" t="n">
        <x:v>10</x:v>
      </x:c>
      <x:c r="G416" s="100" t="n">
        <x:v>30.259537242797734</x:v>
      </x:c>
      <x:c r="H416" s="99"/>
      <x:c r="I416" s="100"/>
      <x:c r="J416" s="99" t="n">
        <x:v>20</x:v>
      </x:c>
      <x:c r="K416" s="100" t="n">
        <x:v>0.014285714285714285</x:v>
      </x:c>
      <x:c r="L416" s="99" t="n">
        <x:v>13</x:v>
      </x:c>
      <x:c r="M416" s="100" t="n">
        <x:v>3.8991403579711914</x:v>
      </x:c>
    </x:row>
    <x:row r="417">
      <x:c r="A417" s="38" t="str">
        <x:v>Q011::B0B7NQT876_review_1157232</x:v>
      </x:c>
      <x:c r="B417" s="38" t="str">
        <x:v>Q011</x:v>
      </x:c>
      <x:c r="C417" s="38" t="str">
        <x:v>B0B7NQT876_review_1157232</x:v>
      </x:c>
      <x:c r="D417" s="38" t="str">
        <x:v>B0B7NQT876</x:v>
      </x:c>
      <x:c r="E417" s="38" t="str">
        <x:v>bm25</x:v>
      </x:c>
      <x:c r="F417" s="99" t="n">
        <x:v>12</x:v>
      </x:c>
      <x:c r="G417" s="100" t="n">
        <x:v>29.72158152422371</x:v>
      </x:c>
      <x:c r="H417" s="99"/>
      <x:c r="I417" s="100"/>
      <x:c r="J417" s="99"/>
      <x:c r="K417" s="100"/>
      <x:c r="L417" s="99"/>
      <x:c r="M417" s="100"/>
    </x:row>
    <x:row r="418">
      <x:c r="A418" s="38" t="str">
        <x:v>Q011::B003LY2NF2_review_1941011</x:v>
      </x:c>
      <x:c r="B418" s="38" t="str">
        <x:v>Q011</x:v>
      </x:c>
      <x:c r="C418" s="38" t="str">
        <x:v>B003LY2NF2_review_1941011</x:v>
      </x:c>
      <x:c r="D418" s="38" t="str">
        <x:v>B003LY2NF2</x:v>
      </x:c>
      <x:c r="E418" s="38" t="str">
        <x:v>dense; hybrid_rrf; cross_encoder</x:v>
      </x:c>
      <x:c r="F418" s="99"/>
      <x:c r="G418" s="100"/>
      <x:c r="H418" s="99" t="n">
        <x:v>7</x:v>
      </x:c>
      <x:c r="I418" s="100" t="n">
        <x:v>0.7749862670898438</x:v>
      </x:c>
      <x:c r="J418" s="99" t="n">
        <x:v>13</x:v>
      </x:c>
      <x:c r="K418" s="100" t="n">
        <x:v>0.014925373134328358</x:v>
      </x:c>
      <x:c r="L418" s="99" t="n">
        <x:v>9</x:v>
      </x:c>
      <x:c r="M418" s="100" t="n">
        <x:v>4.626411437988281</x:v>
      </x:c>
    </x:row>
    <x:row r="419">
      <x:c r="A419" s="38" t="str">
        <x:v>Q011::B07RN2R83N_review_86639</x:v>
      </x:c>
      <x:c r="B419" s="38" t="str">
        <x:v>Q011</x:v>
      </x:c>
      <x:c r="C419" s="38" t="str">
        <x:v>B07RN2R83N_review_86639</x:v>
      </x:c>
      <x:c r="D419" s="38" t="str">
        <x:v>B07RN2R83N</x:v>
      </x:c>
      <x:c r="E419" s="38" t="str">
        <x:v>bm25</x:v>
      </x:c>
      <x:c r="F419" s="99" t="n">
        <x:v>11</x:v>
      </x:c>
      <x:c r="G419" s="100" t="n">
        <x:v>29.83914203898992</x:v>
      </x:c>
      <x:c r="H419" s="99"/>
      <x:c r="I419" s="100"/>
      <x:c r="J419" s="99"/>
      <x:c r="K419" s="100"/>
      <x:c r="L419" s="99"/>
      <x:c r="M419" s="100"/>
    </x:row>
    <x:row r="420">
      <x:c r="A420" s="38" t="str">
        <x:v>Q011::B001UPOJRO_review_1423673</x:v>
      </x:c>
      <x:c r="B420" s="38" t="str">
        <x:v>Q011</x:v>
      </x:c>
      <x:c r="C420" s="38" t="str">
        <x:v>B001UPOJRO_review_1423673</x:v>
      </x:c>
      <x:c r="D420" s="38" t="str">
        <x:v>B001UPOJRO</x:v>
      </x:c>
      <x:c r="E420" s="38" t="str">
        <x:v>dense; hybrid_rrf; cross_encoder</x:v>
      </x:c>
      <x:c r="F420" s="99"/>
      <x:c r="G420" s="100"/>
      <x:c r="H420" s="99" t="n">
        <x:v>8</x:v>
      </x:c>
      <x:c r="I420" s="100" t="n">
        <x:v>0.7741049528121948</x:v>
      </x:c>
      <x:c r="J420" s="99" t="n">
        <x:v>15</x:v>
      </x:c>
      <x:c r="K420" s="100" t="n">
        <x:v>0.014705882352941176</x:v>
      </x:c>
      <x:c r="L420" s="99" t="n">
        <x:v>16</x:v>
      </x:c>
      <x:c r="M420" s="100" t="n">
        <x:v>3.392702579498291</x:v>
      </x:c>
    </x:row>
    <x:row r="421">
      <x:c r="A421" s="38" t="str">
        <x:v>Q011::B018GRXTM4_review_320378</x:v>
      </x:c>
      <x:c r="B421" s="38" t="str">
        <x:v>Q011</x:v>
      </x:c>
      <x:c r="C421" s="38" t="str">
        <x:v>B018GRXTM4_review_320378</x:v>
      </x:c>
      <x:c r="D421" s="38" t="str">
        <x:v>B018GRXTM4</x:v>
      </x:c>
      <x:c r="E421" s="38" t="str">
        <x:v>dense</x:v>
      </x:c>
      <x:c r="F421" s="99"/>
      <x:c r="G421" s="100"/>
      <x:c r="H421" s="99" t="n">
        <x:v>14</x:v>
      </x:c>
      <x:c r="I421" s="100" t="n">
        <x:v>0.7707571983337402</x:v>
      </x:c>
      <x:c r="J421" s="99"/>
      <x:c r="K421" s="100"/>
      <x:c r="L421" s="99"/>
      <x:c r="M421" s="100"/>
    </x:row>
    <x:row r="422">
      <x:c r="A422" s="38" t="str">
        <x:v>Q011::B07VB3N387_review_1991275</x:v>
      </x:c>
      <x:c r="B422" s="38" t="str">
        <x:v>Q011</x:v>
      </x:c>
      <x:c r="C422" s="38" t="str">
        <x:v>B07VB3N387_review_1991275</x:v>
      </x:c>
      <x:c r="D422" s="38" t="str">
        <x:v>B07VB3N387</x:v>
      </x:c>
      <x:c r="E422" s="38" t="str">
        <x:v>bm25; hybrid_rrf; cross_encoder</x:v>
      </x:c>
      <x:c r="F422" s="99" t="n">
        <x:v>4</x:v>
      </x:c>
      <x:c r="G422" s="100" t="n">
        <x:v>32.23643198992856</x:v>
      </x:c>
      <x:c r="H422" s="99"/>
      <x:c r="I422" s="100"/>
      <x:c r="J422" s="99" t="n">
        <x:v>8</x:v>
      </x:c>
      <x:c r="K422" s="100" t="n">
        <x:v>0.015625</x:v>
      </x:c>
      <x:c r="L422" s="99" t="n">
        <x:v>4</x:v>
      </x:c>
      <x:c r="M422" s="100" t="n">
        <x:v>5.730495929718018</x:v>
      </x:c>
    </x:row>
    <x:row r="423">
      <x:c r="A423" s="38" t="str">
        <x:v>Q011::B017UH4R9A_review_566940</x:v>
      </x:c>
      <x:c r="B423" s="38" t="str">
        <x:v>Q011</x:v>
      </x:c>
      <x:c r="C423" s="38" t="str">
        <x:v>B017UH4R9A_review_566940</x:v>
      </x:c>
      <x:c r="D423" s="38" t="str">
        <x:v>B017UH4R9A</x:v>
      </x:c>
      <x:c r="E423" s="38" t="str">
        <x:v>bm25</x:v>
      </x:c>
      <x:c r="F423" s="99" t="n">
        <x:v>14</x:v>
      </x:c>
      <x:c r="G423" s="100" t="n">
        <x:v>29.203111042896577</x:v>
      </x:c>
      <x:c r="H423" s="99"/>
      <x:c r="I423" s="100"/>
      <x:c r="J423" s="99"/>
      <x:c r="K423" s="100"/>
      <x:c r="L423" s="99"/>
      <x:c r="M423" s="100"/>
    </x:row>
    <x:row r="424">
      <x:c r="A424" s="38" t="str">
        <x:v>Q011::B08D11NL9Y_review_3493951</x:v>
      </x:c>
      <x:c r="B424" s="38" t="str">
        <x:v>Q011</x:v>
      </x:c>
      <x:c r="C424" s="38" t="str">
        <x:v>B08D11NL9Y_review_3493951</x:v>
      </x:c>
      <x:c r="D424" s="38" t="str">
        <x:v>B08D11NL9Y</x:v>
      </x:c>
      <x:c r="E424" s="38" t="str">
        <x:v>dense</x:v>
      </x:c>
      <x:c r="F424" s="99"/>
      <x:c r="G424" s="100"/>
      <x:c r="H424" s="99" t="n">
        <x:v>15</x:v>
      </x:c>
      <x:c r="I424" s="100" t="n">
        <x:v>0.770581841468811</x:v>
      </x:c>
      <x:c r="J424" s="99"/>
      <x:c r="K424" s="100"/>
      <x:c r="L424" s="99"/>
      <x:c r="M424" s="100"/>
    </x:row>
    <x:row r="425">
      <x:c r="A425" s="38" t="str">
        <x:v>Q011::B0BMV9HYN9_review_1751963</x:v>
      </x:c>
      <x:c r="B425" s="38" t="str">
        <x:v>Q011</x:v>
      </x:c>
      <x:c r="C425" s="38" t="str">
        <x:v>B0BMV9HYN9_review_1751963</x:v>
      </x:c>
      <x:c r="D425" s="38" t="str">
        <x:v>B0BMV9HYN9</x:v>
      </x:c>
      <x:c r="E425" s="38" t="str">
        <x:v>bm25</x:v>
      </x:c>
      <x:c r="F425" s="99" t="n">
        <x:v>20</x:v>
      </x:c>
      <x:c r="G425" s="100" t="n">
        <x:v>28.596726904747513</x:v>
      </x:c>
      <x:c r="H425" s="99"/>
      <x:c r="I425" s="100"/>
      <x:c r="J425" s="99"/>
      <x:c r="K425" s="100"/>
      <x:c r="L425" s="99"/>
      <x:c r="M425" s="100"/>
    </x:row>
    <x:row r="426">
      <x:c r="A426" s="38" t="str">
        <x:v>Q011::B01E9GPKOQ_review_2460495</x:v>
      </x:c>
      <x:c r="B426" s="38" t="str">
        <x:v>Q011</x:v>
      </x:c>
      <x:c r="C426" s="38" t="str">
        <x:v>B01E9GPKOQ_review_2460495</x:v>
      </x:c>
      <x:c r="D426" s="38" t="str">
        <x:v>B01E9GPKOQ</x:v>
      </x:c>
      <x:c r="E426" s="38" t="str">
        <x:v>dense; hybrid_rrf; cross_encoder</x:v>
      </x:c>
      <x:c r="F426" s="99"/>
      <x:c r="G426" s="100"/>
      <x:c r="H426" s="99" t="n">
        <x:v>3</x:v>
      </x:c>
      <x:c r="I426" s="100" t="n">
        <x:v>0.7862343788146973</x:v>
      </x:c>
      <x:c r="J426" s="99" t="n">
        <x:v>6</x:v>
      </x:c>
      <x:c r="K426" s="100" t="n">
        <x:v>0.015873015873015872</x:v>
      </x:c>
      <x:c r="L426" s="99" t="n">
        <x:v>8</x:v>
      </x:c>
      <x:c r="M426" s="100" t="n">
        <x:v>5.035326957702637</x:v>
      </x:c>
    </x:row>
    <x:row r="427">
      <x:c r="A427" s="38" t="str">
        <x:v>Q011::B018GRXTM4_review_320353</x:v>
      </x:c>
      <x:c r="B427" s="38" t="str">
        <x:v>Q011</x:v>
      </x:c>
      <x:c r="C427" s="38" t="str">
        <x:v>B018GRXTM4_review_320353</x:v>
      </x:c>
      <x:c r="D427" s="38" t="str">
        <x:v>B018GRXTM4</x:v>
      </x:c>
      <x:c r="E427" s="38" t="str">
        <x:v>dense</x:v>
      </x:c>
      <x:c r="F427" s="99"/>
      <x:c r="G427" s="100"/>
      <x:c r="H427" s="99" t="n">
        <x:v>12</x:v>
      </x:c>
      <x:c r="I427" s="100" t="n">
        <x:v>0.7713738083839417</x:v>
      </x:c>
      <x:c r="J427" s="99"/>
      <x:c r="K427" s="100"/>
      <x:c r="L427" s="99"/>
      <x:c r="M427" s="100"/>
    </x:row>
    <x:row r="428">
      <x:c r="A428" s="38" t="str">
        <x:v>Q011::B07RVJ9LM1_spec</x:v>
      </x:c>
      <x:c r="B428" s="38" t="str">
        <x:v>Q011</x:v>
      </x:c>
      <x:c r="C428" s="38" t="str">
        <x:v>B07RVJ9LM1_spec</x:v>
      </x:c>
      <x:c r="D428" s="38" t="str">
        <x:v>B07RVJ9LM1</x:v>
      </x:c>
      <x:c r="E428" s="38" t="str">
        <x:v>dense; hybrid_rrf; cross_encoder</x:v>
      </x:c>
      <x:c r="F428" s="99"/>
      <x:c r="G428" s="100"/>
      <x:c r="H428" s="99" t="n">
        <x:v>9</x:v>
      </x:c>
      <x:c r="I428" s="100" t="n">
        <x:v>0.7732439041137695</x:v>
      </x:c>
      <x:c r="J428" s="99" t="n">
        <x:v>18</x:v>
      </x:c>
      <x:c r="K428" s="100" t="n">
        <x:v>0.014492753623188406</x:v>
      </x:c>
      <x:c r="L428" s="99" t="n">
        <x:v>20</x:v>
      </x:c>
      <x:c r="M428" s="100" t="n">
        <x:v>2.1723198890686035</x:v>
      </x:c>
    </x:row>
    <x:row r="429">
      <x:c r="A429" s="38" t="str">
        <x:v>Q011::B0B87DLFQF_review_848117</x:v>
      </x:c>
      <x:c r="B429" s="38" t="str">
        <x:v>Q011</x:v>
      </x:c>
      <x:c r="C429" s="38" t="str">
        <x:v>B0B87DLFQF_review_848117</x:v>
      </x:c>
      <x:c r="D429" s="38" t="str">
        <x:v>B0B87DLFQF</x:v>
      </x:c>
      <x:c r="E429" s="38" t="str">
        <x:v>bm25</x:v>
      </x:c>
      <x:c r="F429" s="99" t="n">
        <x:v>18</x:v>
      </x:c>
      <x:c r="G429" s="100" t="n">
        <x:v>28.87996972799231</x:v>
      </x:c>
      <x:c r="H429" s="99"/>
      <x:c r="I429" s="100"/>
      <x:c r="J429" s="99"/>
      <x:c r="K429" s="100"/>
      <x:c r="L429" s="99"/>
      <x:c r="M429" s="100"/>
    </x:row>
    <x:row r="430">
      <x:c r="A430" s="38" t="str">
        <x:v>Q011::B013P0HQKI_review_67278</x:v>
      </x:c>
      <x:c r="B430" s="38" t="str">
        <x:v>Q011</x:v>
      </x:c>
      <x:c r="C430" s="38" t="str">
        <x:v>B013P0HQKI_review_67278</x:v>
      </x:c>
      <x:c r="D430" s="38" t="str">
        <x:v>B013P0HQKI</x:v>
      </x:c>
      <x:c r="E430" s="38" t="str">
        <x:v>dense; hybrid_rrf; cross_encoder</x:v>
      </x:c>
      <x:c r="F430" s="99"/>
      <x:c r="G430" s="100"/>
      <x:c r="H430" s="99" t="n">
        <x:v>10</x:v>
      </x:c>
      <x:c r="I430" s="100" t="n">
        <x:v>0.771884560585022</x:v>
      </x:c>
      <x:c r="J430" s="99" t="n">
        <x:v>19</x:v>
      </x:c>
      <x:c r="K430" s="100" t="n">
        <x:v>0.014285714285714285</x:v>
      </x:c>
      <x:c r="L430" s="99" t="n">
        <x:v>17</x:v>
      </x:c>
      <x:c r="M430" s="100" t="n">
        <x:v>3.331303834915161</x:v>
      </x:c>
    </x:row>
    <x:row r="431">
      <x:c r="A431" s="38" t="str">
        <x:v>Q011::B0798X8835_review_1276787</x:v>
      </x:c>
      <x:c r="B431" s="38" t="str">
        <x:v>Q011</x:v>
      </x:c>
      <x:c r="C431" s="38" t="str">
        <x:v>B0798X8835_review_1276787</x:v>
      </x:c>
      <x:c r="D431" s="38" t="str">
        <x:v>B0798X8835</x:v>
      </x:c>
      <x:c r="E431" s="38" t="str">
        <x:v>bm25; hybrid_rrf; cross_encoder</x:v>
      </x:c>
      <x:c r="F431" s="99" t="n">
        <x:v>1</x:v>
      </x:c>
      <x:c r="G431" s="100" t="n">
        <x:v>32.895863591498355</x:v>
      </x:c>
      <x:c r="H431" s="99"/>
      <x:c r="I431" s="100"/>
      <x:c r="J431" s="99" t="n">
        <x:v>1</x:v>
      </x:c>
      <x:c r="K431" s="100" t="n">
        <x:v>0.01639344262295082</x:v>
      </x:c>
      <x:c r="L431" s="99" t="n">
        <x:v>2</x:v>
      </x:c>
      <x:c r="M431" s="100" t="n">
        <x:v>6.440820693969727</x:v>
      </x:c>
    </x:row>
    <x:row r="432">
      <x:c r="A432" s="38" t="str">
        <x:v>Q011::B07RVJ9LM1_review_268185</x:v>
      </x:c>
      <x:c r="B432" s="38" t="str">
        <x:v>Q011</x:v>
      </x:c>
      <x:c r="C432" s="38" t="str">
        <x:v>B07RVJ9LM1_review_268185</x:v>
      </x:c>
      <x:c r="D432" s="38" t="str">
        <x:v>B07RVJ9LM1</x:v>
      </x:c>
      <x:c r="E432" s="38" t="str">
        <x:v>dense; hybrid_rrf; cross_encoder</x:v>
      </x:c>
      <x:c r="F432" s="99"/>
      <x:c r="G432" s="100"/>
      <x:c r="H432" s="99" t="n">
        <x:v>1</x:v>
      </x:c>
      <x:c r="I432" s="100" t="n">
        <x:v>0.7891258001327515</x:v>
      </x:c>
      <x:c r="J432" s="99" t="n">
        <x:v>2</x:v>
      </x:c>
      <x:c r="K432" s="100" t="n">
        <x:v>0.01639344262295082</x:v>
      </x:c>
      <x:c r="L432" s="99" t="n">
        <x:v>14</x:v>
      </x:c>
      <x:c r="M432" s="100" t="n">
        <x:v>3.6312475204467773</x:v>
      </x:c>
    </x:row>
    <x:row r="433">
      <x:c r="A433" s="38" t="str">
        <x:v>Q011::B0C6CS4VPT_spec</x:v>
      </x:c>
      <x:c r="B433" s="38" t="str">
        <x:v>Q011</x:v>
      </x:c>
      <x:c r="C433" s="38" t="str">
        <x:v>B0C6CS4VPT_spec</x:v>
      </x:c>
      <x:c r="D433" s="38" t="str">
        <x:v>B0C6CS4VPT</x:v>
      </x:c>
      <x:c r="E433" s="38" t="str">
        <x:v>dense</x:v>
      </x:c>
      <x:c r="F433" s="99"/>
      <x:c r="G433" s="100"/>
      <x:c r="H433" s="99" t="n">
        <x:v>17</x:v>
      </x:c>
      <x:c r="I433" s="100" t="n">
        <x:v>0.7699404358863831</x:v>
      </x:c>
      <x:c r="J433" s="99"/>
      <x:c r="K433" s="100"/>
      <x:c r="L433" s="99"/>
      <x:c r="M433" s="100"/>
    </x:row>
    <x:row r="434">
      <x:c r="A434" s="38" t="str">
        <x:v>Q011::B07VBKHZL1_review_2780199</x:v>
      </x:c>
      <x:c r="B434" s="38" t="str">
        <x:v>Q011</x:v>
      </x:c>
      <x:c r="C434" s="38" t="str">
        <x:v>B07VBKHZL1_review_2780199</x:v>
      </x:c>
      <x:c r="D434" s="38" t="str">
        <x:v>B07VBKHZL1</x:v>
      </x:c>
      <x:c r="E434" s="38" t="str">
        <x:v>dense; hybrid_rrf; cross_encoder</x:v>
      </x:c>
      <x:c r="F434" s="99"/>
      <x:c r="G434" s="100"/>
      <x:c r="H434" s="99" t="n">
        <x:v>6</x:v>
      </x:c>
      <x:c r="I434" s="100" t="n">
        <x:v>0.7753216624259949</x:v>
      </x:c>
      <x:c r="J434" s="99" t="n">
        <x:v>11</x:v>
      </x:c>
      <x:c r="K434" s="100" t="n">
        <x:v>0.015151515151515152</x:v>
      </x:c>
      <x:c r="L434" s="99" t="n">
        <x:v>7</x:v>
      </x:c>
      <x:c r="M434" s="100" t="n">
        <x:v>5.324806213378906</x:v>
      </x:c>
    </x:row>
    <x:row r="435">
      <x:c r="A435" s="38" t="str">
        <x:v>Q012::B002TLSW9O_review_933365</x:v>
      </x:c>
      <x:c r="B435" s="38" t="str">
        <x:v>Q012</x:v>
      </x:c>
      <x:c r="C435" s="38" t="str">
        <x:v>B002TLSW9O_review_933365</x:v>
      </x:c>
      <x:c r="D435" s="38" t="str">
        <x:v>B002TLSW9O</x:v>
      </x:c>
      <x:c r="E435" s="38" t="str">
        <x:v>bm25</x:v>
      </x:c>
      <x:c r="F435" s="99" t="n">
        <x:v>16</x:v>
      </x:c>
      <x:c r="G435" s="100" t="n">
        <x:v>33.77131005444281</x:v>
      </x:c>
      <x:c r="H435" s="99"/>
      <x:c r="I435" s="100"/>
      <x:c r="J435" s="99"/>
      <x:c r="K435" s="100"/>
      <x:c r="L435" s="99"/>
      <x:c r="M435" s="100"/>
    </x:row>
    <x:row r="436">
      <x:c r="A436" s="38" t="str">
        <x:v>Q012::B00519MC06_review_1772496</x:v>
      </x:c>
      <x:c r="B436" s="38" t="str">
        <x:v>Q012</x:v>
      </x:c>
      <x:c r="C436" s="38" t="str">
        <x:v>B00519MC06_review_1772496</x:v>
      </x:c>
      <x:c r="D436" s="38" t="str">
        <x:v>B00519MC06</x:v>
      </x:c>
      <x:c r="E436" s="38" t="str">
        <x:v>bm25</x:v>
      </x:c>
      <x:c r="F436" s="99" t="n">
        <x:v>17</x:v>
      </x:c>
      <x:c r="G436" s="100" t="n">
        <x:v>33.718627459092325</x:v>
      </x:c>
      <x:c r="H436" s="99"/>
      <x:c r="I436" s="100"/>
      <x:c r="J436" s="99"/>
      <x:c r="K436" s="100"/>
      <x:c r="L436" s="99"/>
      <x:c r="M436" s="100"/>
    </x:row>
    <x:row r="437">
      <x:c r="A437" s="38" t="str">
        <x:v>Q012::B01H2KT5OW_review_977908</x:v>
      </x:c>
      <x:c r="B437" s="38" t="str">
        <x:v>Q012</x:v>
      </x:c>
      <x:c r="C437" s="38" t="str">
        <x:v>B01H2KT5OW_review_977908</x:v>
      </x:c>
      <x:c r="D437" s="38" t="str">
        <x:v>B01H2KT5OW</x:v>
      </x:c>
      <x:c r="E437" s="38" t="str">
        <x:v>bm25</x:v>
      </x:c>
      <x:c r="F437" s="99" t="n">
        <x:v>19</x:v>
      </x:c>
      <x:c r="G437" s="100" t="n">
        <x:v>33.56508256407896</x:v>
      </x:c>
      <x:c r="H437" s="99"/>
      <x:c r="I437" s="100"/>
      <x:c r="J437" s="99"/>
      <x:c r="K437" s="100"/>
      <x:c r="L437" s="99"/>
      <x:c r="M437" s="100"/>
    </x:row>
    <x:row r="438">
      <x:c r="A438" s="38" t="str">
        <x:v>Q012::B09BJW3MV9_review_2469025</x:v>
      </x:c>
      <x:c r="B438" s="38" t="str">
        <x:v>Q012</x:v>
      </x:c>
      <x:c r="C438" s="38" t="str">
        <x:v>B09BJW3MV9_review_2469025</x:v>
      </x:c>
      <x:c r="D438" s="38" t="str">
        <x:v>B09BJW3MV9</x:v>
      </x:c>
      <x:c r="E438" s="38" t="str">
        <x:v>dense; hybrid_rrf; cross_encoder</x:v>
      </x:c>
      <x:c r="F438" s="99"/>
      <x:c r="G438" s="100"/>
      <x:c r="H438" s="99" t="n">
        <x:v>4</x:v>
      </x:c>
      <x:c r="I438" s="100" t="n">
        <x:v>0.7350329160690308</x:v>
      </x:c>
      <x:c r="J438" s="99" t="n">
        <x:v>9</x:v>
      </x:c>
      <x:c r="K438" s="100" t="n">
        <x:v>0.015625</x:v>
      </x:c>
      <x:c r="L438" s="99" t="n">
        <x:v>12</x:v>
      </x:c>
      <x:c r="M438" s="100" t="n">
        <x:v>1.7527748346328735</x:v>
      </x:c>
    </x:row>
    <x:row r="439">
      <x:c r="A439" s="38" t="str">
        <x:v>Q012::B00PJ1XXA4_review_2892612</x:v>
      </x:c>
      <x:c r="B439" s="38" t="str">
        <x:v>Q012</x:v>
      </x:c>
      <x:c r="C439" s="38" t="str">
        <x:v>B00PJ1XXA4_review_2892612</x:v>
      </x:c>
      <x:c r="D439" s="38" t="str">
        <x:v>B00PJ1XXA4</x:v>
      </x:c>
      <x:c r="E439" s="38" t="str">
        <x:v>dense; hybrid_rrf; cross_encoder</x:v>
      </x:c>
      <x:c r="F439" s="99"/>
      <x:c r="G439" s="100"/>
      <x:c r="H439" s="99" t="n">
        <x:v>3</x:v>
      </x:c>
      <x:c r="I439" s="100" t="n">
        <x:v>0.7357091903686523</x:v>
      </x:c>
      <x:c r="J439" s="99" t="n">
        <x:v>6</x:v>
      </x:c>
      <x:c r="K439" s="100" t="n">
        <x:v>0.015873015873015872</x:v>
      </x:c>
      <x:c r="L439" s="99" t="n">
        <x:v>17</x:v>
      </x:c>
      <x:c r="M439" s="100" t="n">
        <x:v>0.30428338050842285</x:v>
      </x:c>
    </x:row>
    <x:row r="440">
      <x:c r="A440" s="38" t="str">
        <x:v>Q012::B07NDS85W6_review_3420790</x:v>
      </x:c>
      <x:c r="B440" s="38" t="str">
        <x:v>Q012</x:v>
      </x:c>
      <x:c r="C440" s="38" t="str">
        <x:v>B07NDS85W6_review_3420790</x:v>
      </x:c>
      <x:c r="D440" s="38" t="str">
        <x:v>B07NDS85W6</x:v>
      </x:c>
      <x:c r="E440" s="38" t="str">
        <x:v>dense</x:v>
      </x:c>
      <x:c r="F440" s="99"/>
      <x:c r="G440" s="100"/>
      <x:c r="H440" s="99" t="n">
        <x:v>20</x:v>
      </x:c>
      <x:c r="I440" s="100" t="n">
        <x:v>0.7201882600784302</x:v>
      </x:c>
      <x:c r="J440" s="99"/>
      <x:c r="K440" s="100"/>
      <x:c r="L440" s="99"/>
      <x:c r="M440" s="100"/>
    </x:row>
    <x:row r="441">
      <x:c r="A441" s="38" t="str">
        <x:v>Q012::B07NDS85W6_review_3420760</x:v>
      </x:c>
      <x:c r="B441" s="38" t="str">
        <x:v>Q012</x:v>
      </x:c>
      <x:c r="C441" s="38" t="str">
        <x:v>B07NDS85W6_review_3420760</x:v>
      </x:c>
      <x:c r="D441" s="38" t="str">
        <x:v>B07NDS85W6</x:v>
      </x:c>
      <x:c r="E441" s="38" t="str">
        <x:v>dense; hybrid_rrf; cross_encoder</x:v>
      </x:c>
      <x:c r="F441" s="99"/>
      <x:c r="G441" s="100"/>
      <x:c r="H441" s="99" t="n">
        <x:v>9</x:v>
      </x:c>
      <x:c r="I441" s="100" t="n">
        <x:v>0.729102611541748</x:v>
      </x:c>
      <x:c r="J441" s="99" t="n">
        <x:v>17</x:v>
      </x:c>
      <x:c r="K441" s="100" t="n">
        <x:v>0.014492753623188406</x:v>
      </x:c>
      <x:c r="L441" s="99" t="n">
        <x:v>10</x:v>
      </x:c>
      <x:c r="M441" s="100" t="n">
        <x:v>2.8748221397399902</x:v>
      </x:c>
    </x:row>
    <x:row r="442">
      <x:c r="A442" s="38" t="str">
        <x:v>Q012::B00D8XN61G_review_1987510</x:v>
      </x:c>
      <x:c r="B442" s="38" t="str">
        <x:v>Q012</x:v>
      </x:c>
      <x:c r="C442" s="38" t="str">
        <x:v>B00D8XN61G_review_1987510</x:v>
      </x:c>
      <x:c r="D442" s="38" t="str">
        <x:v>B00D8XN61G</x:v>
      </x:c>
      <x:c r="E442" s="38" t="str">
        <x:v>bm25; hybrid_rrf; cross_encoder</x:v>
      </x:c>
      <x:c r="F442" s="99" t="n">
        <x:v>8</x:v>
      </x:c>
      <x:c r="G442" s="100" t="n">
        <x:v>34.70236164230991</x:v>
      </x:c>
      <x:c r="H442" s="99"/>
      <x:c r="I442" s="100"/>
      <x:c r="J442" s="99" t="n">
        <x:v>16</x:v>
      </x:c>
      <x:c r="K442" s="100" t="n">
        <x:v>0.014705882352941176</x:v>
      </x:c>
      <x:c r="L442" s="99" t="n">
        <x:v>11</x:v>
      </x:c>
      <x:c r="M442" s="100" t="n">
        <x:v>2.7935659885406494</x:v>
      </x:c>
    </x:row>
    <x:row r="443">
      <x:c r="A443" s="38" t="str">
        <x:v>Q012::B0C1V2VTFJ_review_2052609</x:v>
      </x:c>
      <x:c r="B443" s="38" t="str">
        <x:v>Q012</x:v>
      </x:c>
      <x:c r="C443" s="38" t="str">
        <x:v>B0C1V2VTFJ_review_2052609</x:v>
      </x:c>
      <x:c r="D443" s="38" t="str">
        <x:v>B0C1V2VTFJ</x:v>
      </x:c>
      <x:c r="E443" s="38" t="str">
        <x:v>bm25</x:v>
      </x:c>
      <x:c r="F443" s="99" t="n">
        <x:v>15</x:v>
      </x:c>
      <x:c r="G443" s="100" t="n">
        <x:v>33.85377195805903</x:v>
      </x:c>
      <x:c r="H443" s="99"/>
      <x:c r="I443" s="100"/>
      <x:c r="J443" s="99"/>
      <x:c r="K443" s="100"/>
      <x:c r="L443" s="99"/>
      <x:c r="M443" s="100"/>
    </x:row>
    <x:row r="444">
      <x:c r="A444" s="38" t="str">
        <x:v>Q012::B07Z8ZKCKP_review_507366</x:v>
      </x:c>
      <x:c r="B444" s="38" t="str">
        <x:v>Q012</x:v>
      </x:c>
      <x:c r="C444" s="38" t="str">
        <x:v>B07Z8ZKCKP_review_507366</x:v>
      </x:c>
      <x:c r="D444" s="38" t="str">
        <x:v>B07Z8ZKCKP</x:v>
      </x:c>
      <x:c r="E444" s="38" t="str">
        <x:v>bm25</x:v>
      </x:c>
      <x:c r="F444" s="99" t="n">
        <x:v>18</x:v>
      </x:c>
      <x:c r="G444" s="100" t="n">
        <x:v>33.69167230018138</x:v>
      </x:c>
      <x:c r="H444" s="99"/>
      <x:c r="I444" s="100"/>
      <x:c r="J444" s="99"/>
      <x:c r="K444" s="100"/>
      <x:c r="L444" s="99"/>
      <x:c r="M444" s="100"/>
    </x:row>
    <x:row r="445">
      <x:c r="A445" s="38" t="str">
        <x:v>Q012::B08F7DPGGG_review_365290</x:v>
      </x:c>
      <x:c r="B445" s="38" t="str">
        <x:v>Q012</x:v>
      </x:c>
      <x:c r="C445" s="38" t="str">
        <x:v>B08F7DPGGG_review_365290</x:v>
      </x:c>
      <x:c r="D445" s="38" t="str">
        <x:v>B08F7DPGGG</x:v>
      </x:c>
      <x:c r="E445" s="38" t="str">
        <x:v>dense; hybrid_rrf; cross_encoder</x:v>
      </x:c>
      <x:c r="F445" s="99"/>
      <x:c r="G445" s="100"/>
      <x:c r="H445" s="99" t="n">
        <x:v>5</x:v>
      </x:c>
      <x:c r="I445" s="100" t="n">
        <x:v>0.7343578338623047</x:v>
      </x:c>
      <x:c r="J445" s="99" t="n">
        <x:v>10</x:v>
      </x:c>
      <x:c r="K445" s="100" t="n">
        <x:v>0.015384615384615385</x:v>
      </x:c>
      <x:c r="L445" s="99" t="n">
        <x:v>16</x:v>
      </x:c>
      <x:c r="M445" s="100" t="n">
        <x:v>0.3347955644130707</x:v>
      </x:c>
    </x:row>
    <x:row r="446">
      <x:c r="A446" s="38" t="str">
        <x:v>Q012::B07QZJM2RQ_review_1004218</x:v>
      </x:c>
      <x:c r="B446" s="38" t="str">
        <x:v>Q012</x:v>
      </x:c>
      <x:c r="C446" s="38" t="str">
        <x:v>B07QZJM2RQ_review_1004218</x:v>
      </x:c>
      <x:c r="D446" s="38" t="str">
        <x:v>B07QZJM2RQ</x:v>
      </x:c>
      <x:c r="E446" s="38" t="str">
        <x:v>bm25; hybrid_rrf; cross_encoder</x:v>
      </x:c>
      <x:c r="F446" s="99" t="n">
        <x:v>9</x:v>
      </x:c>
      <x:c r="G446" s="100" t="n">
        <x:v>34.53718578379833</x:v>
      </x:c>
      <x:c r="H446" s="99"/>
      <x:c r="I446" s="100"/>
      <x:c r="J446" s="99" t="n">
        <x:v>18</x:v>
      </x:c>
      <x:c r="K446" s="100" t="n">
        <x:v>0.014492753623188406</x:v>
      </x:c>
      <x:c r="L446" s="99" t="n">
        <x:v>18</x:v>
      </x:c>
      <x:c r="M446" s="100" t="n">
        <x:v>-0.7361211180686951</x:v>
      </x:c>
    </x:row>
    <x:row r="447">
      <x:c r="A447" s="38" t="str">
        <x:v>Q012::B0B87DLFQF_review_848118</x:v>
      </x:c>
      <x:c r="B447" s="38" t="str">
        <x:v>Q012</x:v>
      </x:c>
      <x:c r="C447" s="38" t="str">
        <x:v>B0B87DLFQF_review_848118</x:v>
      </x:c>
      <x:c r="D447" s="38" t="str">
        <x:v>B0B87DLFQF</x:v>
      </x:c>
      <x:c r="E447" s="38" t="str">
        <x:v>bm25; hybrid_rrf; cross_encoder</x:v>
      </x:c>
      <x:c r="F447" s="99" t="n">
        <x:v>7</x:v>
      </x:c>
      <x:c r="G447" s="100" t="n">
        <x:v>34.72794732523281</x:v>
      </x:c>
      <x:c r="H447" s="99"/>
      <x:c r="I447" s="100"/>
      <x:c r="J447" s="99" t="n">
        <x:v>15</x:v>
      </x:c>
      <x:c r="K447" s="100" t="n">
        <x:v>0.014925373134328358</x:v>
      </x:c>
      <x:c r="L447" s="99" t="n">
        <x:v>7</x:v>
      </x:c>
      <x:c r="M447" s="100" t="n">
        <x:v>3.5490822792053223</x:v>
      </x:c>
    </x:row>
    <x:row r="448">
      <x:c r="A448" s="38" t="str">
        <x:v>Q012::B07PP5LKL3_review_1070085</x:v>
      </x:c>
      <x:c r="B448" s="38" t="str">
        <x:v>Q012</x:v>
      </x:c>
      <x:c r="C448" s="38" t="str">
        <x:v>B07PP5LKL3_review_1070085</x:v>
      </x:c>
      <x:c r="D448" s="38" t="str">
        <x:v>B07PP5LKL3</x:v>
      </x:c>
      <x:c r="E448" s="38" t="str">
        <x:v>dense; hybrid_rrf; cross_encoder</x:v>
      </x:c>
      <x:c r="F448" s="99"/>
      <x:c r="G448" s="100"/>
      <x:c r="H448" s="99" t="n">
        <x:v>7</x:v>
      </x:c>
      <x:c r="I448" s="100" t="n">
        <x:v>0.7336744070053101</x:v>
      </x:c>
      <x:c r="J448" s="99" t="n">
        <x:v>14</x:v>
      </x:c>
      <x:c r="K448" s="100" t="n">
        <x:v>0.014925373134328358</x:v>
      </x:c>
      <x:c r="L448" s="99" t="n">
        <x:v>13</x:v>
      </x:c>
      <x:c r="M448" s="100" t="n">
        <x:v>1.7211323976516724</x:v>
      </x:c>
    </x:row>
    <x:row r="449">
      <x:c r="A449" s="38" t="str">
        <x:v>Q012::B00PJ1XXA4_review_2892617</x:v>
      </x:c>
      <x:c r="B449" s="38" t="str">
        <x:v>Q012</x:v>
      </x:c>
      <x:c r="C449" s="38" t="str">
        <x:v>B00PJ1XXA4_review_2892617</x:v>
      </x:c>
      <x:c r="D449" s="38" t="str">
        <x:v>B00PJ1XXA4</x:v>
      </x:c>
      <x:c r="E449" s="38" t="str">
        <x:v>dense</x:v>
      </x:c>
      <x:c r="F449" s="99"/>
      <x:c r="G449" s="100"/>
      <x:c r="H449" s="99" t="n">
        <x:v>16</x:v>
      </x:c>
      <x:c r="I449" s="100" t="n">
        <x:v>0.7222650051116943</x:v>
      </x:c>
      <x:c r="J449" s="99"/>
      <x:c r="K449" s="100"/>
      <x:c r="L449" s="99"/>
      <x:c r="M449" s="100"/>
    </x:row>
    <x:row r="450">
      <x:c r="A450" s="38" t="str">
        <x:v>Q012::B015AI0Y3O_review_1036017</x:v>
      </x:c>
      <x:c r="B450" s="38" t="str">
        <x:v>Q012</x:v>
      </x:c>
      <x:c r="C450" s="38" t="str">
        <x:v>B015AI0Y3O_review_1036017</x:v>
      </x:c>
      <x:c r="D450" s="38" t="str">
        <x:v>B015AI0Y3O</x:v>
      </x:c>
      <x:c r="E450" s="38" t="str">
        <x:v>dense</x:v>
      </x:c>
      <x:c r="F450" s="99"/>
      <x:c r="G450" s="100"/>
      <x:c r="H450" s="99" t="n">
        <x:v>13</x:v>
      </x:c>
      <x:c r="I450" s="100" t="n">
        <x:v>0.724683940410614</x:v>
      </x:c>
      <x:c r="J450" s="99"/>
      <x:c r="K450" s="100"/>
      <x:c r="L450" s="99"/>
      <x:c r="M450" s="100"/>
    </x:row>
    <x:row r="451">
      <x:c r="A451" s="38" t="str">
        <x:v>Q012::B09BJW3MV9_review_2469027</x:v>
      </x:c>
      <x:c r="B451" s="38" t="str">
        <x:v>Q012</x:v>
      </x:c>
      <x:c r="C451" s="38" t="str">
        <x:v>B09BJW3MV9_review_2469027</x:v>
      </x:c>
      <x:c r="D451" s="38" t="str">
        <x:v>B09BJW3MV9</x:v>
      </x:c>
      <x:c r="E451" s="38" t="str">
        <x:v>dense</x:v>
      </x:c>
      <x:c r="F451" s="99"/>
      <x:c r="G451" s="100"/>
      <x:c r="H451" s="99" t="n">
        <x:v>12</x:v>
      </x:c>
      <x:c r="I451" s="100" t="n">
        <x:v>0.7247943878173828</x:v>
      </x:c>
      <x:c r="J451" s="99"/>
      <x:c r="K451" s="100"/>
      <x:c r="L451" s="99"/>
      <x:c r="M451" s="100"/>
    </x:row>
    <x:row r="452">
      <x:c r="A452" s="38" t="str">
        <x:v>Q012::B01J49I7RA_review_1645582</x:v>
      </x:c>
      <x:c r="B452" s="38" t="str">
        <x:v>Q012</x:v>
      </x:c>
      <x:c r="C452" s="38" t="str">
        <x:v>B01J49I7RA_review_1645582</x:v>
      </x:c>
      <x:c r="D452" s="38" t="str">
        <x:v>B01J49I7RA</x:v>
      </x:c>
      <x:c r="E452" s="38" t="str">
        <x:v>bm25; hybrid_rrf; cross_encoder</x:v>
      </x:c>
      <x:c r="F452" s="99" t="n">
        <x:v>3</x:v>
      </x:c>
      <x:c r="G452" s="100" t="n">
        <x:v>39.523131736931056</x:v>
      </x:c>
      <x:c r="H452" s="99"/>
      <x:c r="I452" s="100"/>
      <x:c r="J452" s="99" t="n">
        <x:v>7</x:v>
      </x:c>
      <x:c r="K452" s="100" t="n">
        <x:v>0.015873015873015872</x:v>
      </x:c>
      <x:c r="L452" s="99" t="n">
        <x:v>3</x:v>
      </x:c>
      <x:c r="M452" s="100" t="n">
        <x:v>4.400726795196533</x:v>
      </x:c>
    </x:row>
    <x:row r="453">
      <x:c r="A453" s="38" t="str">
        <x:v>Q012::B06ZZXBQMC_review_1960025</x:v>
      </x:c>
      <x:c r="B453" s="38" t="str">
        <x:v>Q012</x:v>
      </x:c>
      <x:c r="C453" s="38" t="str">
        <x:v>B06ZZXBQMC_review_1960025</x:v>
      </x:c>
      <x:c r="D453" s="38" t="str">
        <x:v>B06ZZXBQMC</x:v>
      </x:c>
      <x:c r="E453" s="38" t="str">
        <x:v>bm25; dense; hybrid_rrf; cross_encoder</x:v>
      </x:c>
      <x:c r="F453" s="99" t="n">
        <x:v>10</x:v>
      </x:c>
      <x:c r="G453" s="100" t="n">
        <x:v>34.160987249067425</x:v>
      </x:c>
      <x:c r="H453" s="99" t="n">
        <x:v>8</x:v>
      </x:c>
      <x:c r="I453" s="100" t="n">
        <x:v>0.7304205298423767</x:v>
      </x:c>
      <x:c r="J453" s="99" t="n">
        <x:v>1</x:v>
      </x:c>
      <x:c r="K453" s="100" t="n">
        <x:v>0.028991596638655463</x:v>
      </x:c>
      <x:c r="L453" s="99" t="n">
        <x:v>5</x:v>
      </x:c>
      <x:c r="M453" s="100" t="n">
        <x:v>3.860301971435547</x:v>
      </x:c>
    </x:row>
    <x:row r="454">
      <x:c r="A454" s="38" t="str">
        <x:v>Q012::B004Y3VKYO_review_34386</x:v>
      </x:c>
      <x:c r="B454" s="38" t="str">
        <x:v>Q012</x:v>
      </x:c>
      <x:c r="C454" s="38" t="str">
        <x:v>B004Y3VKYO_review_34386</x:v>
      </x:c>
      <x:c r="D454" s="38" t="str">
        <x:v>B004Y3VKYO</x:v>
      </x:c>
      <x:c r="E454" s="38" t="str">
        <x:v>dense</x:v>
      </x:c>
      <x:c r="F454" s="99"/>
      <x:c r="G454" s="100"/>
      <x:c r="H454" s="99" t="n">
        <x:v>14</x:v>
      </x:c>
      <x:c r="I454" s="100" t="n">
        <x:v>0.7237834930419922</x:v>
      </x:c>
      <x:c r="J454" s="99"/>
      <x:c r="K454" s="100"/>
      <x:c r="L454" s="99"/>
      <x:c r="M454" s="100"/>
    </x:row>
    <x:row r="455">
      <x:c r="A455" s="38" t="str">
        <x:v>Q012::B01IT8LRKQ_review_4069170</x:v>
      </x:c>
      <x:c r="B455" s="38" t="str">
        <x:v>Q012</x:v>
      </x:c>
      <x:c r="C455" s="38" t="str">
        <x:v>B01IT8LRKQ_review_4069170</x:v>
      </x:c>
      <x:c r="D455" s="38" t="str">
        <x:v>B01IT8LRKQ</x:v>
      </x:c>
      <x:c r="E455" s="38" t="str">
        <x:v>dense</x:v>
      </x:c>
      <x:c r="F455" s="99"/>
      <x:c r="G455" s="100"/>
      <x:c r="H455" s="99" t="n">
        <x:v>17</x:v>
      </x:c>
      <x:c r="I455" s="100" t="n">
        <x:v>0.7218484282493591</x:v>
      </x:c>
      <x:c r="J455" s="99"/>
      <x:c r="K455" s="100"/>
      <x:c r="L455" s="99"/>
      <x:c r="M455" s="100"/>
    </x:row>
    <x:row r="456">
      <x:c r="A456" s="38" t="str">
        <x:v>Q012::B078J5W21Y_review_3951620</x:v>
      </x:c>
      <x:c r="B456" s="38" t="str">
        <x:v>Q012</x:v>
      </x:c>
      <x:c r="C456" s="38" t="str">
        <x:v>B078J5W21Y_review_3951620</x:v>
      </x:c>
      <x:c r="D456" s="38" t="str">
        <x:v>B078J5W21Y</x:v>
      </x:c>
      <x:c r="E456" s="38" t="str">
        <x:v>dense</x:v>
      </x:c>
      <x:c r="F456" s="99"/>
      <x:c r="G456" s="100"/>
      <x:c r="H456" s="99" t="n">
        <x:v>11</x:v>
      </x:c>
      <x:c r="I456" s="100" t="n">
        <x:v>0.7248034477233887</x:v>
      </x:c>
      <x:c r="J456" s="99"/>
      <x:c r="K456" s="100"/>
      <x:c r="L456" s="99"/>
      <x:c r="M456" s="100"/>
    </x:row>
    <x:row r="457">
      <x:c r="A457" s="38" t="str">
        <x:v>Q012::B07NDS85W6_review_3420786</x:v>
      </x:c>
      <x:c r="B457" s="38" t="str">
        <x:v>Q012</x:v>
      </x:c>
      <x:c r="C457" s="38" t="str">
        <x:v>B07NDS85W6_review_3420786</x:v>
      </x:c>
      <x:c r="D457" s="38" t="str">
        <x:v>B07NDS85W6</x:v>
      </x:c>
      <x:c r="E457" s="38" t="str">
        <x:v>dense; hybrid_rrf; cross_encoder</x:v>
      </x:c>
      <x:c r="F457" s="99"/>
      <x:c r="G457" s="100"/>
      <x:c r="H457" s="99" t="n">
        <x:v>10</x:v>
      </x:c>
      <x:c r="I457" s="100" t="n">
        <x:v>0.7283945679664612</x:v>
      </x:c>
      <x:c r="J457" s="99" t="n">
        <x:v>19</x:v>
      </x:c>
      <x:c r="K457" s="100" t="n">
        <x:v>0.014285714285714285</x:v>
      </x:c>
      <x:c r="L457" s="99" t="n">
        <x:v>8</x:v>
      </x:c>
      <x:c r="M457" s="100" t="n">
        <x:v>3.43095064163208</x:v>
      </x:c>
    </x:row>
    <x:row r="458">
      <x:c r="A458" s="38" t="str">
        <x:v>Q012::B06ZZXBQMC_review_1960008</x:v>
      </x:c>
      <x:c r="B458" s="38" t="str">
        <x:v>Q012</x:v>
      </x:c>
      <x:c r="C458" s="38" t="str">
        <x:v>B06ZZXBQMC_review_1960008</x:v>
      </x:c>
      <x:c r="D458" s="38" t="str">
        <x:v>B06ZZXBQMC</x:v>
      </x:c>
      <x:c r="E458" s="38" t="str">
        <x:v>bm25; hybrid_rrf; cross_encoder</x:v>
      </x:c>
      <x:c r="F458" s="99" t="n">
        <x:v>11</x:v>
      </x:c>
      <x:c r="G458" s="100" t="n">
        <x:v>34.00805659297116</x:v>
      </x:c>
      <x:c r="H458" s="99"/>
      <x:c r="I458" s="100"/>
      <x:c r="J458" s="99" t="n">
        <x:v>20</x:v>
      </x:c>
      <x:c r="K458" s="100" t="n">
        <x:v>0.014084507042253521</x:v>
      </x:c>
      <x:c r="L458" s="99" t="n">
        <x:v>4</x:v>
      </x:c>
      <x:c r="M458" s="100" t="n">
        <x:v>3.9112844467163086</x:v>
      </x:c>
    </x:row>
    <x:row r="459">
      <x:c r="A459" s="38" t="str">
        <x:v>Q012::B00OPF8HOC_review_801959</x:v>
      </x:c>
      <x:c r="B459" s="38" t="str">
        <x:v>Q012</x:v>
      </x:c>
      <x:c r="C459" s="38" t="str">
        <x:v>B00OPF8HOC_review_801959</x:v>
      </x:c>
      <x:c r="D459" s="38" t="str">
        <x:v>B00OPF8HOC</x:v>
      </x:c>
      <x:c r="E459" s="38" t="str">
        <x:v>dense</x:v>
      </x:c>
      <x:c r="F459" s="99"/>
      <x:c r="G459" s="100"/>
      <x:c r="H459" s="99" t="n">
        <x:v>19</x:v>
      </x:c>
      <x:c r="I459" s="100" t="n">
        <x:v>0.7205185890197754</x:v>
      </x:c>
      <x:c r="J459" s="99"/>
      <x:c r="K459" s="100"/>
      <x:c r="L459" s="99"/>
      <x:c r="M459" s="100"/>
    </x:row>
    <x:row r="460">
      <x:c r="A460" s="38" t="str">
        <x:v>Q012::B07KKH8GDV_review_1481657</x:v>
      </x:c>
      <x:c r="B460" s="38" t="str">
        <x:v>Q012</x:v>
      </x:c>
      <x:c r="C460" s="38" t="str">
        <x:v>B07KKH8GDV_review_1481657</x:v>
      </x:c>
      <x:c r="D460" s="38" t="str">
        <x:v>B07KKH8GDV</x:v>
      </x:c>
      <x:c r="E460" s="38" t="str">
        <x:v>bm25</x:v>
      </x:c>
      <x:c r="F460" s="99" t="n">
        <x:v>13</x:v>
      </x:c>
      <x:c r="G460" s="100" t="n">
        <x:v>33.8965725404336</x:v>
      </x:c>
      <x:c r="H460" s="99"/>
      <x:c r="I460" s="100"/>
      <x:c r="J460" s="99"/>
      <x:c r="K460" s="100"/>
      <x:c r="L460" s="99"/>
      <x:c r="M460" s="100"/>
    </x:row>
    <x:row r="461">
      <x:c r="A461" s="38" t="str">
        <x:v>Q012::B01CEFLQHY_review_916346</x:v>
      </x:c>
      <x:c r="B461" s="38" t="str">
        <x:v>Q012</x:v>
      </x:c>
      <x:c r="C461" s="38" t="str">
        <x:v>B01CEFLQHY_review_916346</x:v>
      </x:c>
      <x:c r="D461" s="38" t="str">
        <x:v>B01CEFLQHY</x:v>
      </x:c>
      <x:c r="E461" s="38" t="str">
        <x:v>bm25; hybrid_rrf; cross_encoder</x:v>
      </x:c>
      <x:c r="F461" s="99" t="n">
        <x:v>4</x:v>
      </x:c>
      <x:c r="G461" s="100" t="n">
        <x:v>38.003538959844185</x:v>
      </x:c>
      <x:c r="H461" s="99"/>
      <x:c r="I461" s="100"/>
      <x:c r="J461" s="99" t="n">
        <x:v>8</x:v>
      </x:c>
      <x:c r="K461" s="100" t="n">
        <x:v>0.015625</x:v>
      </x:c>
      <x:c r="L461" s="99" t="n">
        <x:v>2</x:v>
      </x:c>
      <x:c r="M461" s="100" t="n">
        <x:v>4.403648853302002</x:v>
      </x:c>
    </x:row>
    <x:row r="462">
      <x:c r="A462" s="38" t="str">
        <x:v>Q012::B01F3AJMO6_review_840886</x:v>
      </x:c>
      <x:c r="B462" s="38" t="str">
        <x:v>Q012</x:v>
      </x:c>
      <x:c r="C462" s="38" t="str">
        <x:v>B01F3AJMO6_review_840886</x:v>
      </x:c>
      <x:c r="D462" s="38" t="str">
        <x:v>B01F3AJMO6</x:v>
      </x:c>
      <x:c r="E462" s="38" t="str">
        <x:v>dense</x:v>
      </x:c>
      <x:c r="F462" s="99"/>
      <x:c r="G462" s="100"/>
      <x:c r="H462" s="99" t="n">
        <x:v>15</x:v>
      </x:c>
      <x:c r="I462" s="100" t="n">
        <x:v>0.7226179242134094</x:v>
      </x:c>
      <x:c r="J462" s="99"/>
      <x:c r="K462" s="100"/>
      <x:c r="L462" s="99"/>
      <x:c r="M462" s="100"/>
    </x:row>
    <x:row r="463">
      <x:c r="A463" s="38" t="str">
        <x:v>Q012::B00MG6V2RG_review_2337451</x:v>
      </x:c>
      <x:c r="B463" s="38" t="str">
        <x:v>Q012</x:v>
      </x:c>
      <x:c r="C463" s="38" t="str">
        <x:v>B00MG6V2RG_review_2337451</x:v>
      </x:c>
      <x:c r="D463" s="38" t="str">
        <x:v>B00MG6V2RG</x:v>
      </x:c>
      <x:c r="E463" s="38" t="str">
        <x:v>bm25</x:v>
      </x:c>
      <x:c r="F463" s="99" t="n">
        <x:v>20</x:v>
      </x:c>
      <x:c r="G463" s="100" t="n">
        <x:v>33.450889034301774</x:v>
      </x:c>
      <x:c r="H463" s="99"/>
      <x:c r="I463" s="100"/>
      <x:c r="J463" s="99"/>
      <x:c r="K463" s="100"/>
      <x:c r="L463" s="99"/>
      <x:c r="M463" s="100"/>
    </x:row>
    <x:row r="464">
      <x:c r="A464" s="38" t="str">
        <x:v>Q012::B09YPY2LVR_review_2728251</x:v>
      </x:c>
      <x:c r="B464" s="38" t="str">
        <x:v>Q012</x:v>
      </x:c>
      <x:c r="C464" s="38" t="str">
        <x:v>B09YPY2LVR_review_2728251</x:v>
      </x:c>
      <x:c r="D464" s="38" t="str">
        <x:v>B09YPY2LVR</x:v>
      </x:c>
      <x:c r="E464" s="38" t="str">
        <x:v>bm25; hybrid_rrf; cross_encoder</x:v>
      </x:c>
      <x:c r="F464" s="99" t="n">
        <x:v>5</x:v>
      </x:c>
      <x:c r="G464" s="100" t="n">
        <x:v>35.5117526920436</x:v>
      </x:c>
      <x:c r="H464" s="99"/>
      <x:c r="I464" s="100"/>
      <x:c r="J464" s="99" t="n">
        <x:v>11</x:v>
      </x:c>
      <x:c r="K464" s="100" t="n">
        <x:v>0.015384615384615385</x:v>
      </x:c>
      <x:c r="L464" s="99" t="n">
        <x:v>15</x:v>
      </x:c>
      <x:c r="M464" s="100" t="n">
        <x:v>0.6756163835525513</x:v>
      </x:c>
    </x:row>
    <x:row r="465">
      <x:c r="A465" s="38" t="str">
        <x:v>Q012::B0BRH54DNR_review_4060071</x:v>
      </x:c>
      <x:c r="B465" s="38" t="str">
        <x:v>Q012</x:v>
      </x:c>
      <x:c r="C465" s="38" t="str">
        <x:v>B0BRH54DNR_review_4060071</x:v>
      </x:c>
      <x:c r="D465" s="38" t="str">
        <x:v>B0BRH54DNR</x:v>
      </x:c>
      <x:c r="E465" s="38" t="str">
        <x:v>bm25</x:v>
      </x:c>
      <x:c r="F465" s="99" t="n">
        <x:v>14</x:v>
      </x:c>
      <x:c r="G465" s="100" t="n">
        <x:v>33.86672167480934</x:v>
      </x:c>
      <x:c r="H465" s="99"/>
      <x:c r="I465" s="100"/>
      <x:c r="J465" s="99"/>
      <x:c r="K465" s="100"/>
      <x:c r="L465" s="99"/>
      <x:c r="M465" s="100"/>
    </x:row>
    <x:row r="466">
      <x:c r="A466" s="38" t="str">
        <x:v>Q012::B07NDS85W6_review_3420774</x:v>
      </x:c>
      <x:c r="B466" s="38" t="str">
        <x:v>Q012</x:v>
      </x:c>
      <x:c r="C466" s="38" t="str">
        <x:v>B07NDS85W6_review_3420774</x:v>
      </x:c>
      <x:c r="D466" s="38" t="str">
        <x:v>B07NDS85W6</x:v>
      </x:c>
      <x:c r="E466" s="38" t="str">
        <x:v>dense; hybrid_rrf; cross_encoder</x:v>
      </x:c>
      <x:c r="F466" s="99"/>
      <x:c r="G466" s="100"/>
      <x:c r="H466" s="99" t="n">
        <x:v>2</x:v>
      </x:c>
      <x:c r="I466" s="100" t="n">
        <x:v>0.7369539141654968</x:v>
      </x:c>
      <x:c r="J466" s="99" t="n">
        <x:v>5</x:v>
      </x:c>
      <x:c r="K466" s="100" t="n">
        <x:v>0.016129032258064516</x:v>
      </x:c>
      <x:c r="L466" s="99" t="n">
        <x:v>6</x:v>
      </x:c>
      <x:c r="M466" s="100" t="n">
        <x:v>3.7924134731292725</x:v>
      </x:c>
    </x:row>
    <x:row r="467">
      <x:c r="A467" s="38" t="str">
        <x:v>Q012::B07BVSMDNP_review_1706382</x:v>
      </x:c>
      <x:c r="B467" s="38" t="str">
        <x:v>Q012</x:v>
      </x:c>
      <x:c r="C467" s="38" t="str">
        <x:v>B07BVSMDNP_review_1706382</x:v>
      </x:c>
      <x:c r="D467" s="38" t="str">
        <x:v>B07BVSMDNP</x:v>
      </x:c>
      <x:c r="E467" s="38" t="str">
        <x:v>bm25; hybrid_rrf; cross_encoder</x:v>
      </x:c>
      <x:c r="F467" s="99" t="n">
        <x:v>2</x:v>
      </x:c>
      <x:c r="G467" s="100" t="n">
        <x:v>43.1531495295264</x:v>
      </x:c>
      <x:c r="H467" s="99"/>
      <x:c r="I467" s="100"/>
      <x:c r="J467" s="99" t="n">
        <x:v>4</x:v>
      </x:c>
      <x:c r="K467" s="100" t="n">
        <x:v>0.016129032258064516</x:v>
      </x:c>
      <x:c r="L467" s="99" t="n">
        <x:v>9</x:v>
      </x:c>
      <x:c r="M467" s="100" t="n">
        <x:v>3.2865734100341797</x:v>
      </x:c>
    </x:row>
    <x:row r="468">
      <x:c r="A468" s="38" t="str">
        <x:v>Q012::B01M06HS89_review_734043</x:v>
      </x:c>
      <x:c r="B468" s="38" t="str">
        <x:v>Q012</x:v>
      </x:c>
      <x:c r="C468" s="38" t="str">
        <x:v>B01M06HS89_review_734043</x:v>
      </x:c>
      <x:c r="D468" s="38" t="str">
        <x:v>B01M06HS89</x:v>
      </x:c>
      <x:c r="E468" s="38" t="str">
        <x:v>dense; hybrid_rrf; cross_encoder</x:v>
      </x:c>
      <x:c r="F468" s="99"/>
      <x:c r="G468" s="100"/>
      <x:c r="H468" s="99" t="n">
        <x:v>1</x:v>
      </x:c>
      <x:c r="I468" s="100" t="n">
        <x:v>0.743323564529419</x:v>
      </x:c>
      <x:c r="J468" s="99" t="n">
        <x:v>2</x:v>
      </x:c>
      <x:c r="K468" s="100" t="n">
        <x:v>0.01639344262295082</x:v>
      </x:c>
      <x:c r="L468" s="99" t="n">
        <x:v>19</x:v>
      </x:c>
      <x:c r="M468" s="100" t="n">
        <x:v>-1.0916078090667725</x:v>
      </x:c>
    </x:row>
    <x:row r="469">
      <x:c r="A469" s="38" t="str">
        <x:v>Q012::B00WBU3HU2_review_971294</x:v>
      </x:c>
      <x:c r="B469" s="38" t="str">
        <x:v>Q012</x:v>
      </x:c>
      <x:c r="C469" s="38" t="str">
        <x:v>B00WBU3HU2_review_971294</x:v>
      </x:c>
      <x:c r="D469" s="38" t="str">
        <x:v>B00WBU3HU2</x:v>
      </x:c>
      <x:c r="E469" s="38" t="str">
        <x:v>dense</x:v>
      </x:c>
      <x:c r="F469" s="99"/>
      <x:c r="G469" s="100"/>
      <x:c r="H469" s="99" t="n">
        <x:v>18</x:v>
      </x:c>
      <x:c r="I469" s="100" t="n">
        <x:v>0.7208030819892883</x:v>
      </x:c>
      <x:c r="J469" s="99"/>
      <x:c r="K469" s="100"/>
      <x:c r="L469" s="99"/>
      <x:c r="M469" s="100"/>
    </x:row>
    <x:row r="470">
      <x:c r="A470" s="38" t="str">
        <x:v>Q012::B008GRQ2J2_review_2504784</x:v>
      </x:c>
      <x:c r="B470" s="38" t="str">
        <x:v>Q012</x:v>
      </x:c>
      <x:c r="C470" s="38" t="str">
        <x:v>B008GRQ2J2_review_2504784</x:v>
      </x:c>
      <x:c r="D470" s="38" t="str">
        <x:v>B008GRQ2J2</x:v>
      </x:c>
      <x:c r="E470" s="38" t="str">
        <x:v>bm25</x:v>
      </x:c>
      <x:c r="F470" s="99" t="n">
        <x:v>12</x:v>
      </x:c>
      <x:c r="G470" s="100" t="n">
        <x:v>33.957992153854114</x:v>
      </x:c>
      <x:c r="H470" s="99"/>
      <x:c r="I470" s="100"/>
      <x:c r="J470" s="99"/>
      <x:c r="K470" s="100"/>
      <x:c r="L470" s="99"/>
      <x:c r="M470" s="100"/>
    </x:row>
    <x:row r="471">
      <x:c r="A471" s="38" t="str">
        <x:v>Q012::B01M3VHG87_review_2579510</x:v>
      </x:c>
      <x:c r="B471" s="38" t="str">
        <x:v>Q012</x:v>
      </x:c>
      <x:c r="C471" s="38" t="str">
        <x:v>B01M3VHG87_review_2579510</x:v>
      </x:c>
      <x:c r="D471" s="38" t="str">
        <x:v>B01M3VHG87</x:v>
      </x:c>
      <x:c r="E471" s="38" t="str">
        <x:v>bm25; hybrid_rrf; cross_encoder</x:v>
      </x:c>
      <x:c r="F471" s="99" t="n">
        <x:v>1</x:v>
      </x:c>
      <x:c r="G471" s="100" t="n">
        <x:v>48.63801822957423</x:v>
      </x:c>
      <x:c r="H471" s="99"/>
      <x:c r="I471" s="100"/>
      <x:c r="J471" s="99" t="n">
        <x:v>3</x:v>
      </x:c>
      <x:c r="K471" s="100" t="n">
        <x:v>0.01639344262295082</x:v>
      </x:c>
      <x:c r="L471" s="99" t="n">
        <x:v>1</x:v>
      </x:c>
      <x:c r="M471" s="100" t="n">
        <x:v>6.745771408081055</x:v>
      </x:c>
    </x:row>
    <x:row r="472">
      <x:c r="A472" s="38" t="str">
        <x:v>Q012::B008LRV6WK_review_3226012</x:v>
      </x:c>
      <x:c r="B472" s="38" t="str">
        <x:v>Q012</x:v>
      </x:c>
      <x:c r="C472" s="38" t="str">
        <x:v>B008LRV6WK_review_3226012</x:v>
      </x:c>
      <x:c r="D472" s="38" t="str">
        <x:v>B008LRV6WK</x:v>
      </x:c>
      <x:c r="E472" s="38" t="str">
        <x:v>dense; hybrid_rrf; cross_encoder</x:v>
      </x:c>
      <x:c r="F472" s="99"/>
      <x:c r="G472" s="100"/>
      <x:c r="H472" s="99" t="n">
        <x:v>6</x:v>
      </x:c>
      <x:c r="I472" s="100" t="n">
        <x:v>0.7339037656784058</x:v>
      </x:c>
      <x:c r="J472" s="99" t="n">
        <x:v>13</x:v>
      </x:c>
      <x:c r="K472" s="100" t="n">
        <x:v>0.015151515151515152</x:v>
      </x:c>
      <x:c r="L472" s="99" t="n">
        <x:v>20</x:v>
      </x:c>
      <x:c r="M472" s="100" t="n">
        <x:v>-1.129310131072998</x:v>
      </x:c>
    </x:row>
    <x:row r="473">
      <x:c r="A473" s="38" t="str">
        <x:v>Q012::B006UUTP8M_review_2910787</x:v>
      </x:c>
      <x:c r="B473" s="38" t="str">
        <x:v>Q012</x:v>
      </x:c>
      <x:c r="C473" s="38" t="str">
        <x:v>B006UUTP8M_review_2910787</x:v>
      </x:c>
      <x:c r="D473" s="38" t="str">
        <x:v>B006UUTP8M</x:v>
      </x:c>
      <x:c r="E473" s="38" t="str">
        <x:v>bm25; hybrid_rrf; cross_encoder</x:v>
      </x:c>
      <x:c r="F473" s="99" t="n">
        <x:v>6</x:v>
      </x:c>
      <x:c r="G473" s="100" t="n">
        <x:v>35.18286345563085</x:v>
      </x:c>
      <x:c r="H473" s="99"/>
      <x:c r="I473" s="100"/>
      <x:c r="J473" s="99" t="n">
        <x:v>12</x:v>
      </x:c>
      <x:c r="K473" s="100" t="n">
        <x:v>0.015151515151515152</x:v>
      </x:c>
      <x:c r="L473" s="99" t="n">
        <x:v>14</x:v>
      </x:c>
      <x:c r="M473" s="100" t="n">
        <x:v>1.6589102745056152</x:v>
      </x:c>
    </x:row>
    <x:row r="474">
      <x:c r="A474" s="38" t="str">
        <x:v>Q013::B005GMRVYK_review_558059</x:v>
      </x:c>
      <x:c r="B474" s="38" t="str">
        <x:v>Q013</x:v>
      </x:c>
      <x:c r="C474" s="38" t="str">
        <x:v>B005GMRVYK_review_558059</x:v>
      </x:c>
      <x:c r="D474" s="38" t="str">
        <x:v>B005GMRVYK</x:v>
      </x:c>
      <x:c r="E474" s="38" t="str">
        <x:v>dense; hybrid_rrf; cross_encoder</x:v>
      </x:c>
      <x:c r="F474" s="99"/>
      <x:c r="G474" s="100"/>
      <x:c r="H474" s="99" t="n">
        <x:v>9</x:v>
      </x:c>
      <x:c r="I474" s="100" t="n">
        <x:v>0.7447704076766968</x:v>
      </x:c>
      <x:c r="J474" s="99" t="n">
        <x:v>18</x:v>
      </x:c>
      <x:c r="K474" s="100" t="n">
        <x:v>0.014492753623188406</x:v>
      </x:c>
      <x:c r="L474" s="99" t="n">
        <x:v>3</x:v>
      </x:c>
      <x:c r="M474" s="100" t="n">
        <x:v>6.735992431640625</x:v>
      </x:c>
    </x:row>
    <x:row r="475">
      <x:c r="A475" s="38" t="str">
        <x:v>Q013::B000GFZTQO_review_1432455</x:v>
      </x:c>
      <x:c r="B475" s="38" t="str">
        <x:v>Q013</x:v>
      </x:c>
      <x:c r="C475" s="38" t="str">
        <x:v>B000GFZTQO_review_1432455</x:v>
      </x:c>
      <x:c r="D475" s="38" t="str">
        <x:v>B000GFZTQO</x:v>
      </x:c>
      <x:c r="E475" s="38" t="str">
        <x:v>dense</x:v>
      </x:c>
      <x:c r="F475" s="99"/>
      <x:c r="G475" s="100"/>
      <x:c r="H475" s="99" t="n">
        <x:v>16</x:v>
      </x:c>
      <x:c r="I475" s="100" t="n">
        <x:v>0.7402704358100891</x:v>
      </x:c>
      <x:c r="J475" s="99"/>
      <x:c r="K475" s="100"/>
      <x:c r="L475" s="99"/>
      <x:c r="M475" s="100"/>
    </x:row>
    <x:row r="476">
      <x:c r="A476" s="38" t="str">
        <x:v>Q013::B0009N54PY_review_1857174</x:v>
      </x:c>
      <x:c r="B476" s="38" t="str">
        <x:v>Q013</x:v>
      </x:c>
      <x:c r="C476" s="38" t="str">
        <x:v>B0009N54PY_review_1857174</x:v>
      </x:c>
      <x:c r="D476" s="38" t="str">
        <x:v>B0009N54PY</x:v>
      </x:c>
      <x:c r="E476" s="38" t="str">
        <x:v>bm25; hybrid_rrf; cross_encoder</x:v>
      </x:c>
      <x:c r="F476" s="99" t="n">
        <x:v>9</x:v>
      </x:c>
      <x:c r="G476" s="100" t="n">
        <x:v>28.455783379026887</x:v>
      </x:c>
      <x:c r="H476" s="99"/>
      <x:c r="I476" s="100"/>
      <x:c r="J476" s="99" t="n">
        <x:v>17</x:v>
      </x:c>
      <x:c r="K476" s="100" t="n">
        <x:v>0.014492753623188406</x:v>
      </x:c>
      <x:c r="L476" s="99" t="n">
        <x:v>1</x:v>
      </x:c>
      <x:c r="M476" s="100" t="n">
        <x:v>7.07491397857666</x:v>
      </x:c>
    </x:row>
    <x:row r="477">
      <x:c r="A477" s="38" t="str">
        <x:v>Q013::B000L9SCIW_review_3288910</x:v>
      </x:c>
      <x:c r="B477" s="38" t="str">
        <x:v>Q013</x:v>
      </x:c>
      <x:c r="C477" s="38" t="str">
        <x:v>B000L9SCIW_review_3288910</x:v>
      </x:c>
      <x:c r="D477" s="38" t="str">
        <x:v>B000L9SCIW</x:v>
      </x:c>
      <x:c r="E477" s="38" t="str">
        <x:v>dense; hybrid_rrf; cross_encoder</x:v>
      </x:c>
      <x:c r="F477" s="99"/>
      <x:c r="G477" s="100"/>
      <x:c r="H477" s="99" t="n">
        <x:v>2</x:v>
      </x:c>
      <x:c r="I477" s="100" t="n">
        <x:v>0.7587791085243225</x:v>
      </x:c>
      <x:c r="J477" s="99" t="n">
        <x:v>3</x:v>
      </x:c>
      <x:c r="K477" s="100" t="n">
        <x:v>0.016129032258064516</x:v>
      </x:c>
      <x:c r="L477" s="99" t="n">
        <x:v>13</x:v>
      </x:c>
      <x:c r="M477" s="100" t="n">
        <x:v>5.342405319213867</x:v>
      </x:c>
    </x:row>
    <x:row r="478">
      <x:c r="A478" s="38" t="str">
        <x:v>Q013::B0012Y6VQA_review_1336374</x:v>
      </x:c>
      <x:c r="B478" s="38" t="str">
        <x:v>Q013</x:v>
      </x:c>
      <x:c r="C478" s="38" t="str">
        <x:v>B0012Y6VQA_review_1336374</x:v>
      </x:c>
      <x:c r="D478" s="38" t="str">
        <x:v>B0012Y6VQA</x:v>
      </x:c>
      <x:c r="E478" s="38" t="str">
        <x:v>dense; hybrid_rrf; cross_encoder</x:v>
      </x:c>
      <x:c r="F478" s="99"/>
      <x:c r="G478" s="100"/>
      <x:c r="H478" s="99" t="n">
        <x:v>4</x:v>
      </x:c>
      <x:c r="I478" s="100" t="n">
        <x:v>0.751497745513916</x:v>
      </x:c>
      <x:c r="J478" s="99" t="n">
        <x:v>8</x:v>
      </x:c>
      <x:c r="K478" s="100" t="n">
        <x:v>0.015625</x:v>
      </x:c>
      <x:c r="L478" s="99" t="n">
        <x:v>5</x:v>
      </x:c>
      <x:c r="M478" s="100" t="n">
        <x:v>6.589941024780273</x:v>
      </x:c>
    </x:row>
    <x:row r="479">
      <x:c r="A479" s="38" t="str">
        <x:v>Q013::B0001G6U5W_review_765042</x:v>
      </x:c>
      <x:c r="B479" s="38" t="str">
        <x:v>Q013</x:v>
      </x:c>
      <x:c r="C479" s="38" t="str">
        <x:v>B0001G6U5W_review_765042</x:v>
      </x:c>
      <x:c r="D479" s="38" t="str">
        <x:v>B0001G6U5W</x:v>
      </x:c>
      <x:c r="E479" s="38" t="str">
        <x:v>bm25</x:v>
      </x:c>
      <x:c r="F479" s="99" t="n">
        <x:v>12</x:v>
      </x:c>
      <x:c r="G479" s="100" t="n">
        <x:v>27.541023049409205</x:v>
      </x:c>
      <x:c r="H479" s="99"/>
      <x:c r="I479" s="100"/>
      <x:c r="J479" s="99"/>
      <x:c r="K479" s="100"/>
      <x:c r="L479" s="99"/>
      <x:c r="M479" s="100"/>
    </x:row>
    <x:row r="480">
      <x:c r="A480" s="38" t="str">
        <x:v>Q013::B082WW3K85_review_3459532</x:v>
      </x:c>
      <x:c r="B480" s="38" t="str">
        <x:v>Q013</x:v>
      </x:c>
      <x:c r="C480" s="38" t="str">
        <x:v>B082WW3K85_review_3459532</x:v>
      </x:c>
      <x:c r="D480" s="38" t="str">
        <x:v>B082WW3K85</x:v>
      </x:c>
      <x:c r="E480" s="38" t="str">
        <x:v>bm25; hybrid_rrf; cross_encoder</x:v>
      </x:c>
      <x:c r="F480" s="99" t="n">
        <x:v>8</x:v>
      </x:c>
      <x:c r="G480" s="100" t="n">
        <x:v>28.725485875119524</x:v>
      </x:c>
      <x:c r="H480" s="99"/>
      <x:c r="I480" s="100"/>
      <x:c r="J480" s="99" t="n">
        <x:v>16</x:v>
      </x:c>
      <x:c r="K480" s="100" t="n">
        <x:v>0.014705882352941176</x:v>
      </x:c>
      <x:c r="L480" s="99" t="n">
        <x:v>7</x:v>
      </x:c>
      <x:c r="M480" s="100" t="n">
        <x:v>6.409317493438721</x:v>
      </x:c>
    </x:row>
    <x:row r="481">
      <x:c r="A481" s="38" t="str">
        <x:v>Q013::B005RYBSCI_review_193003</x:v>
      </x:c>
      <x:c r="B481" s="38" t="str">
        <x:v>Q013</x:v>
      </x:c>
      <x:c r="C481" s="38" t="str">
        <x:v>B005RYBSCI_review_193003</x:v>
      </x:c>
      <x:c r="D481" s="38" t="str">
        <x:v>B005RYBSCI</x:v>
      </x:c>
      <x:c r="E481" s="38" t="str">
        <x:v>dense; hybrid_rrf; cross_encoder</x:v>
      </x:c>
      <x:c r="F481" s="99"/>
      <x:c r="G481" s="100"/>
      <x:c r="H481" s="99" t="n">
        <x:v>8</x:v>
      </x:c>
      <x:c r="I481" s="100" t="n">
        <x:v>0.7448524236679077</x:v>
      </x:c>
      <x:c r="J481" s="99" t="n">
        <x:v>15</x:v>
      </x:c>
      <x:c r="K481" s="100" t="n">
        <x:v>0.014705882352941176</x:v>
      </x:c>
      <x:c r="L481" s="99" t="n">
        <x:v>17</x:v>
      </x:c>
      <x:c r="M481" s="100" t="n">
        <x:v>4.767723560333252</x:v>
      </x:c>
    </x:row>
    <x:row r="482">
      <x:c r="A482" s="38" t="str">
        <x:v>Q013::B000GFZTQO_review_1432515</x:v>
      </x:c>
      <x:c r="B482" s="38" t="str">
        <x:v>Q013</x:v>
      </x:c>
      <x:c r="C482" s="38" t="str">
        <x:v>B000GFZTQO_review_1432515</x:v>
      </x:c>
      <x:c r="D482" s="38" t="str">
        <x:v>B000GFZTQO</x:v>
      </x:c>
      <x:c r="E482" s="38" t="str">
        <x:v>dense; hybrid_rrf; cross_encoder</x:v>
      </x:c>
      <x:c r="F482" s="99"/>
      <x:c r="G482" s="100"/>
      <x:c r="H482" s="99" t="n">
        <x:v>10</x:v>
      </x:c>
      <x:c r="I482" s="100" t="n">
        <x:v>0.7429732084274292</x:v>
      </x:c>
      <x:c r="J482" s="99" t="n">
        <x:v>19</x:v>
      </x:c>
      <x:c r="K482" s="100" t="n">
        <x:v>0.014285714285714285</x:v>
      </x:c>
      <x:c r="L482" s="99" t="n">
        <x:v>12</x:v>
      </x:c>
      <x:c r="M482" s="100" t="n">
        <x:v>5.403562545776367</x:v>
      </x:c>
    </x:row>
    <x:row r="483">
      <x:c r="A483" s="38" t="str">
        <x:v>Q013::B000BTFZZA_review_1428895</x:v>
      </x:c>
      <x:c r="B483" s="38" t="str">
        <x:v>Q013</x:v>
      </x:c>
      <x:c r="C483" s="38" t="str">
        <x:v>B000BTFZZA_review_1428895</x:v>
      </x:c>
      <x:c r="D483" s="38" t="str">
        <x:v>B000BTFZZA</x:v>
      </x:c>
      <x:c r="E483" s="38" t="str">
        <x:v>bm25; hybrid_rrf; cross_encoder</x:v>
      </x:c>
      <x:c r="F483" s="99" t="n">
        <x:v>4</x:v>
      </x:c>
      <x:c r="G483" s="100" t="n">
        <x:v>31.345248655245555</x:v>
      </x:c>
      <x:c r="H483" s="99"/>
      <x:c r="I483" s="100"/>
      <x:c r="J483" s="99" t="n">
        <x:v>7</x:v>
      </x:c>
      <x:c r="K483" s="100" t="n">
        <x:v>0.015625</x:v>
      </x:c>
      <x:c r="L483" s="99" t="n">
        <x:v>15</x:v>
      </x:c>
      <x:c r="M483" s="100" t="n">
        <x:v>5.1238837242126465</x:v>
      </x:c>
    </x:row>
    <x:row r="484">
      <x:c r="A484" s="38" t="str">
        <x:v>Q013::B00PHRVANC_review_2043929</x:v>
      </x:c>
      <x:c r="B484" s="38" t="str">
        <x:v>Q013</x:v>
      </x:c>
      <x:c r="C484" s="38" t="str">
        <x:v>B00PHRVANC_review_2043929</x:v>
      </x:c>
      <x:c r="D484" s="38" t="str">
        <x:v>B00PHRVANC</x:v>
      </x:c>
      <x:c r="E484" s="38" t="str">
        <x:v>dense</x:v>
      </x:c>
      <x:c r="F484" s="99"/>
      <x:c r="G484" s="100"/>
      <x:c r="H484" s="99" t="n">
        <x:v>14</x:v>
      </x:c>
      <x:c r="I484" s="100" t="n">
        <x:v>0.7414654493331909</x:v>
      </x:c>
      <x:c r="J484" s="99"/>
      <x:c r="K484" s="100"/>
      <x:c r="L484" s="99"/>
      <x:c r="M484" s="100"/>
    </x:row>
    <x:row r="485">
      <x:c r="A485" s="38" t="str">
        <x:v>Q013::B00004XSHN_review_3680275</x:v>
      </x:c>
      <x:c r="B485" s="38" t="str">
        <x:v>Q013</x:v>
      </x:c>
      <x:c r="C485" s="38" t="str">
        <x:v>B00004XSHN_review_3680275</x:v>
      </x:c>
      <x:c r="D485" s="38" t="str">
        <x:v>B00004XSHN</x:v>
      </x:c>
      <x:c r="E485" s="38" t="str">
        <x:v>dense</x:v>
      </x:c>
      <x:c r="F485" s="99"/>
      <x:c r="G485" s="100"/>
      <x:c r="H485" s="99" t="n">
        <x:v>18</x:v>
      </x:c>
      <x:c r="I485" s="100" t="n">
        <x:v>0.7395343780517578</x:v>
      </x:c>
      <x:c r="J485" s="99"/>
      <x:c r="K485" s="100"/>
      <x:c r="L485" s="99"/>
      <x:c r="M485" s="100"/>
    </x:row>
    <x:row r="486">
      <x:c r="A486" s="38" t="str">
        <x:v>Q013::B000L9SCIW_review_3288926</x:v>
      </x:c>
      <x:c r="B486" s="38" t="str">
        <x:v>Q013</x:v>
      </x:c>
      <x:c r="C486" s="38" t="str">
        <x:v>B000L9SCIW_review_3288926</x:v>
      </x:c>
      <x:c r="D486" s="38" t="str">
        <x:v>B000L9SCIW</x:v>
      </x:c>
      <x:c r="E486" s="38" t="str">
        <x:v>dense</x:v>
      </x:c>
      <x:c r="F486" s="99"/>
      <x:c r="G486" s="100"/>
      <x:c r="H486" s="99" t="n">
        <x:v>11</x:v>
      </x:c>
      <x:c r="I486" s="100" t="n">
        <x:v>0.7427269816398621</x:v>
      </x:c>
      <x:c r="J486" s="99"/>
      <x:c r="K486" s="100"/>
      <x:c r="L486" s="99"/>
      <x:c r="M486" s="100"/>
    </x:row>
    <x:row r="487">
      <x:c r="A487" s="38" t="str">
        <x:v>Q013::B00TE94BYE_review_51220</x:v>
      </x:c>
      <x:c r="B487" s="38" t="str">
        <x:v>Q013</x:v>
      </x:c>
      <x:c r="C487" s="38" t="str">
        <x:v>B00TE94BYE_review_51220</x:v>
      </x:c>
      <x:c r="D487" s="38" t="str">
        <x:v>B00TE94BYE</x:v>
      </x:c>
      <x:c r="E487" s="38" t="str">
        <x:v>dense; hybrid_rrf; cross_encoder</x:v>
      </x:c>
      <x:c r="F487" s="99"/>
      <x:c r="G487" s="100"/>
      <x:c r="H487" s="99" t="n">
        <x:v>5</x:v>
      </x:c>
      <x:c r="I487" s="100" t="n">
        <x:v>0.7501503825187683</x:v>
      </x:c>
      <x:c r="J487" s="99" t="n">
        <x:v>10</x:v>
      </x:c>
      <x:c r="K487" s="100" t="n">
        <x:v>0.015384615384615385</x:v>
      </x:c>
      <x:c r="L487" s="99" t="n">
        <x:v>10</x:v>
      </x:c>
      <x:c r="M487" s="100" t="n">
        <x:v>5.720286846160889</x:v>
      </x:c>
    </x:row>
    <x:row r="488">
      <x:c r="A488" s="38" t="str">
        <x:v>Q013::B013HXY21E_review_677160</x:v>
      </x:c>
      <x:c r="B488" s="38" t="str">
        <x:v>Q013</x:v>
      </x:c>
      <x:c r="C488" s="38" t="str">
        <x:v>B013HXY21E_review_677160</x:v>
      </x:c>
      <x:c r="D488" s="38" t="str">
        <x:v>B013HXY21E</x:v>
      </x:c>
      <x:c r="E488" s="38" t="str">
        <x:v>bm25; hybrid_rrf; cross_encoder</x:v>
      </x:c>
      <x:c r="F488" s="99" t="n">
        <x:v>1</x:v>
      </x:c>
      <x:c r="G488" s="100" t="n">
        <x:v>37.42929061235052</x:v>
      </x:c>
      <x:c r="H488" s="99"/>
      <x:c r="I488" s="100"/>
      <x:c r="J488" s="99" t="n">
        <x:v>2</x:v>
      </x:c>
      <x:c r="K488" s="100" t="n">
        <x:v>0.01639344262295082</x:v>
      </x:c>
      <x:c r="L488" s="99" t="n">
        <x:v>2</x:v>
      </x:c>
      <x:c r="M488" s="100" t="n">
        <x:v>6.939379692077637</x:v>
      </x:c>
    </x:row>
    <x:row r="489">
      <x:c r="A489" s="38" t="str">
        <x:v>Q013::B077KF29S6_review_2999896</x:v>
      </x:c>
      <x:c r="B489" s="38" t="str">
        <x:v>Q013</x:v>
      </x:c>
      <x:c r="C489" s="38" t="str">
        <x:v>B077KF29S6_review_2999896</x:v>
      </x:c>
      <x:c r="D489" s="38" t="str">
        <x:v>B077KF29S6</x:v>
      </x:c>
      <x:c r="E489" s="38" t="str">
        <x:v>bm25</x:v>
      </x:c>
      <x:c r="F489" s="99" t="n">
        <x:v>19</x:v>
      </x:c>
      <x:c r="G489" s="100" t="n">
        <x:v>26.4064704674974</x:v>
      </x:c>
      <x:c r="H489" s="99"/>
      <x:c r="I489" s="100"/>
      <x:c r="J489" s="99"/>
      <x:c r="K489" s="100"/>
      <x:c r="L489" s="99"/>
      <x:c r="M489" s="100"/>
    </x:row>
    <x:row r="490">
      <x:c r="A490" s="38" t="str">
        <x:v>Q013::B008MJ01QE_review_260764</x:v>
      </x:c>
      <x:c r="B490" s="38" t="str">
        <x:v>Q013</x:v>
      </x:c>
      <x:c r="C490" s="38" t="str">
        <x:v>B008MJ01QE_review_260764</x:v>
      </x:c>
      <x:c r="D490" s="38" t="str">
        <x:v>B008MJ01QE</x:v>
      </x:c>
      <x:c r="E490" s="38" t="str">
        <x:v>bm25; hybrid_rrf; cross_encoder</x:v>
      </x:c>
      <x:c r="F490" s="99" t="n">
        <x:v>2</x:v>
      </x:c>
      <x:c r="G490" s="100" t="n">
        <x:v>32.09979100893444</x:v>
      </x:c>
      <x:c r="H490" s="99"/>
      <x:c r="I490" s="100"/>
      <x:c r="J490" s="99" t="n">
        <x:v>4</x:v>
      </x:c>
      <x:c r="K490" s="100" t="n">
        <x:v>0.016129032258064516</x:v>
      </x:c>
      <x:c r="L490" s="99" t="n">
        <x:v>11</x:v>
      </x:c>
      <x:c r="M490" s="100" t="n">
        <x:v>5.6279754638671875</x:v>
      </x:c>
    </x:row>
    <x:row r="491">
      <x:c r="A491" s="38" t="str">
        <x:v>Q013::B0002ZUHB0_review_259784</x:v>
      </x:c>
      <x:c r="B491" s="38" t="str">
        <x:v>Q013</x:v>
      </x:c>
      <x:c r="C491" s="38" t="str">
        <x:v>B0002ZUHB0_review_259784</x:v>
      </x:c>
      <x:c r="D491" s="38" t="str">
        <x:v>B0002ZUHB0</x:v>
      </x:c>
      <x:c r="E491" s="38" t="str">
        <x:v>bm25</x:v>
      </x:c>
      <x:c r="F491" s="99" t="n">
        <x:v>20</x:v>
      </x:c>
      <x:c r="G491" s="100" t="n">
        <x:v>26.226818812198196</x:v>
      </x:c>
      <x:c r="H491" s="99"/>
      <x:c r="I491" s="100"/>
      <x:c r="J491" s="99"/>
      <x:c r="K491" s="100"/>
      <x:c r="L491" s="99"/>
      <x:c r="M491" s="100"/>
    </x:row>
    <x:row r="492">
      <x:c r="A492" s="38" t="str">
        <x:v>Q013::B006MA8EU0_review_841368</x:v>
      </x:c>
      <x:c r="B492" s="38" t="str">
        <x:v>Q013</x:v>
      </x:c>
      <x:c r="C492" s="38" t="str">
        <x:v>B006MA8EU0_review_841368</x:v>
      </x:c>
      <x:c r="D492" s="38" t="str">
        <x:v>B006MA8EU0</x:v>
      </x:c>
      <x:c r="E492" s="38" t="str">
        <x:v>dense</x:v>
      </x:c>
      <x:c r="F492" s="99"/>
      <x:c r="G492" s="100"/>
      <x:c r="H492" s="99" t="n">
        <x:v>20</x:v>
      </x:c>
      <x:c r="I492" s="100" t="n">
        <x:v>0.7384994626045227</x:v>
      </x:c>
      <x:c r="J492" s="99"/>
      <x:c r="K492" s="100"/>
      <x:c r="L492" s="99"/>
      <x:c r="M492" s="100"/>
    </x:row>
    <x:row r="493">
      <x:c r="A493" s="38" t="str">
        <x:v>Q013::B00FRT29L2_review_3800213</x:v>
      </x:c>
      <x:c r="B493" s="38" t="str">
        <x:v>Q013</x:v>
      </x:c>
      <x:c r="C493" s="38" t="str">
        <x:v>B00FRT29L2_review_3800213</x:v>
      </x:c>
      <x:c r="D493" s="38" t="str">
        <x:v>B00FRT29L2</x:v>
      </x:c>
      <x:c r="E493" s="38" t="str">
        <x:v>bm25</x:v>
      </x:c>
      <x:c r="F493" s="99" t="n">
        <x:v>16</x:v>
      </x:c>
      <x:c r="G493" s="100" t="n">
        <x:v>26.76649241995848</x:v>
      </x:c>
      <x:c r="H493" s="99"/>
      <x:c r="I493" s="100"/>
      <x:c r="J493" s="99"/>
      <x:c r="K493" s="100"/>
      <x:c r="L493" s="99"/>
      <x:c r="M493" s="100"/>
    </x:row>
    <x:row r="494">
      <x:c r="A494" s="38" t="str">
        <x:v>Q013::B00005LWLW_review_1681878</x:v>
      </x:c>
      <x:c r="B494" s="38" t="str">
        <x:v>Q013</x:v>
      </x:c>
      <x:c r="C494" s="38" t="str">
        <x:v>B00005LWLW_review_1681878</x:v>
      </x:c>
      <x:c r="D494" s="38" t="str">
        <x:v>B00005LWLW</x:v>
      </x:c>
      <x:c r="E494" s="38" t="str">
        <x:v>dense</x:v>
      </x:c>
      <x:c r="F494" s="99"/>
      <x:c r="G494" s="100"/>
      <x:c r="H494" s="99" t="n">
        <x:v>19</x:v>
      </x:c>
      <x:c r="I494" s="100" t="n">
        <x:v>0.7390472888946533</x:v>
      </x:c>
      <x:c r="J494" s="99"/>
      <x:c r="K494" s="100"/>
      <x:c r="L494" s="99"/>
      <x:c r="M494" s="100"/>
    </x:row>
    <x:row r="495">
      <x:c r="A495" s="38" t="str">
        <x:v>Q013::B0001DKLHS_review_3220697</x:v>
      </x:c>
      <x:c r="B495" s="38" t="str">
        <x:v>Q013</x:v>
      </x:c>
      <x:c r="C495" s="38" t="str">
        <x:v>B0001DKLHS_review_3220697</x:v>
      </x:c>
      <x:c r="D495" s="38" t="str">
        <x:v>B0001DKLHS</x:v>
      </x:c>
      <x:c r="E495" s="38" t="str">
        <x:v>bm25; hybrid_rrf; cross_encoder</x:v>
      </x:c>
      <x:c r="F495" s="99" t="n">
        <x:v>3</x:v>
      </x:c>
      <x:c r="G495" s="100" t="n">
        <x:v>31.57692313712838</x:v>
      </x:c>
      <x:c r="H495" s="99"/>
      <x:c r="I495" s="100"/>
      <x:c r="J495" s="99" t="n">
        <x:v>5</x:v>
      </x:c>
      <x:c r="K495" s="100" t="n">
        <x:v>0.015873015873015872</x:v>
      </x:c>
      <x:c r="L495" s="99" t="n">
        <x:v>6</x:v>
      </x:c>
      <x:c r="M495" s="100" t="n">
        <x:v>6.550515174865723</x:v>
      </x:c>
    </x:row>
    <x:row r="496">
      <x:c r="A496" s="38" t="str">
        <x:v>Q013::B0064I7J2E_review_1867132</x:v>
      </x:c>
      <x:c r="B496" s="38" t="str">
        <x:v>Q013</x:v>
      </x:c>
      <x:c r="C496" s="38" t="str">
        <x:v>B0064I7J2E_review_1867132</x:v>
      </x:c>
      <x:c r="D496" s="38" t="str">
        <x:v>B0064I7J2E</x:v>
      </x:c>
      <x:c r="E496" s="38" t="str">
        <x:v>bm25</x:v>
      </x:c>
      <x:c r="F496" s="99" t="n">
        <x:v>17</x:v>
      </x:c>
      <x:c r="G496" s="100" t="n">
        <x:v>26.743813172061465</x:v>
      </x:c>
      <x:c r="H496" s="99"/>
      <x:c r="I496" s="100"/>
      <x:c r="J496" s="99"/>
      <x:c r="K496" s="100"/>
      <x:c r="L496" s="99"/>
      <x:c r="M496" s="100"/>
    </x:row>
    <x:row r="497">
      <x:c r="A497" s="38" t="str">
        <x:v>Q013::B000L9SCIW_review_3288916</x:v>
      </x:c>
      <x:c r="B497" s="38" t="str">
        <x:v>Q013</x:v>
      </x:c>
      <x:c r="C497" s="38" t="str">
        <x:v>B000L9SCIW_review_3288916</x:v>
      </x:c>
      <x:c r="D497" s="38" t="str">
        <x:v>B000L9SCIW</x:v>
      </x:c>
      <x:c r="E497" s="38" t="str">
        <x:v>dense</x:v>
      </x:c>
      <x:c r="F497" s="99"/>
      <x:c r="G497" s="100"/>
      <x:c r="H497" s="99" t="n">
        <x:v>17</x:v>
      </x:c>
      <x:c r="I497" s="100" t="n">
        <x:v>0.7396422624588013</x:v>
      </x:c>
      <x:c r="J497" s="99"/>
      <x:c r="K497" s="100"/>
      <x:c r="L497" s="99"/>
      <x:c r="M497" s="100"/>
    </x:row>
    <x:row r="498">
      <x:c r="A498" s="38" t="str">
        <x:v>Q013::B005LZX9LG_review_789696</x:v>
      </x:c>
      <x:c r="B498" s="38" t="str">
        <x:v>Q013</x:v>
      </x:c>
      <x:c r="C498" s="38" t="str">
        <x:v>B005LZX9LG_review_789696</x:v>
      </x:c>
      <x:c r="D498" s="38" t="str">
        <x:v>B005LZX9LG</x:v>
      </x:c>
      <x:c r="E498" s="38" t="str">
        <x:v>bm25</x:v>
      </x:c>
      <x:c r="F498" s="99" t="n">
        <x:v>13</x:v>
      </x:c>
      <x:c r="G498" s="100" t="n">
        <x:v>27.40954134347725</x:v>
      </x:c>
      <x:c r="H498" s="99"/>
      <x:c r="I498" s="100"/>
      <x:c r="J498" s="99"/>
      <x:c r="K498" s="100"/>
      <x:c r="L498" s="99"/>
      <x:c r="M498" s="100"/>
    </x:row>
    <x:row r="499">
      <x:c r="A499" s="38" t="str">
        <x:v>Q013::B0012XZQGC_review_1798200</x:v>
      </x:c>
      <x:c r="B499" s="38" t="str">
        <x:v>Q013</x:v>
      </x:c>
      <x:c r="C499" s="38" t="str">
        <x:v>B0012XZQGC_review_1798200</x:v>
      </x:c>
      <x:c r="D499" s="38" t="str">
        <x:v>B0012XZQGC</x:v>
      </x:c>
      <x:c r="E499" s="38" t="str">
        <x:v>dense; hybrid_rrf; cross_encoder</x:v>
      </x:c>
      <x:c r="F499" s="99"/>
      <x:c r="G499" s="100"/>
      <x:c r="H499" s="99" t="n">
        <x:v>6</x:v>
      </x:c>
      <x:c r="I499" s="100" t="n">
        <x:v>0.7499518394470215</x:v>
      </x:c>
      <x:c r="J499" s="99" t="n">
        <x:v>11</x:v>
      </x:c>
      <x:c r="K499" s="100" t="n">
        <x:v>0.015151515151515152</x:v>
      </x:c>
      <x:c r="L499" s="99" t="n">
        <x:v>20</x:v>
      </x:c>
      <x:c r="M499" s="100" t="n">
        <x:v>2.3391342163085938</x:v>
      </x:c>
    </x:row>
    <x:row r="500">
      <x:c r="A500" s="38" t="str">
        <x:v>Q013::B09TZPCR8F_review_3167411</x:v>
      </x:c>
      <x:c r="B500" s="38" t="str">
        <x:v>Q013</x:v>
      </x:c>
      <x:c r="C500" s="38" t="str">
        <x:v>B09TZPCR8F_review_3167411</x:v>
      </x:c>
      <x:c r="D500" s="38" t="str">
        <x:v>B09TZPCR8F</x:v>
      </x:c>
      <x:c r="E500" s="38" t="str">
        <x:v>bm25; hybrid_rrf; cross_encoder</x:v>
      </x:c>
      <x:c r="F500" s="99" t="n">
        <x:v>7</x:v>
      </x:c>
      <x:c r="G500" s="100" t="n">
        <x:v>29.385633318084395</x:v>
      </x:c>
      <x:c r="H500" s="99"/>
      <x:c r="I500" s="100"/>
      <x:c r="J500" s="99" t="n">
        <x:v>14</x:v>
      </x:c>
      <x:c r="K500" s="100" t="n">
        <x:v>0.014925373134328358</x:v>
      </x:c>
      <x:c r="L500" s="99" t="n">
        <x:v>14</x:v>
      </x:c>
      <x:c r="M500" s="100" t="n">
        <x:v>5.19223165512085</x:v>
      </x:c>
    </x:row>
    <x:row r="501">
      <x:c r="A501" s="38" t="str">
        <x:v>Q013::B000GFZTQO_review_1432474</x:v>
      </x:c>
      <x:c r="B501" s="38" t="str">
        <x:v>Q013</x:v>
      </x:c>
      <x:c r="C501" s="38" t="str">
        <x:v>B000GFZTQO_review_1432474</x:v>
      </x:c>
      <x:c r="D501" s="38" t="str">
        <x:v>B000GFZTQO</x:v>
      </x:c>
      <x:c r="E501" s="38" t="str">
        <x:v>dense; hybrid_rrf; cross_encoder</x:v>
      </x:c>
      <x:c r="F501" s="99"/>
      <x:c r="G501" s="100"/>
      <x:c r="H501" s="99" t="n">
        <x:v>1</x:v>
      </x:c>
      <x:c r="I501" s="100" t="n">
        <x:v>0.7680650949478149</x:v>
      </x:c>
      <x:c r="J501" s="99" t="n">
        <x:v>1</x:v>
      </x:c>
      <x:c r="K501" s="100" t="n">
        <x:v>0.01639344262295082</x:v>
      </x:c>
      <x:c r="L501" s="99" t="n">
        <x:v>4</x:v>
      </x:c>
      <x:c r="M501" s="100" t="n">
        <x:v>6.720976829528809</x:v>
      </x:c>
    </x:row>
    <x:row r="502">
      <x:c r="A502" s="38" t="str">
        <x:v>Q013::B007261COS_review_3414566</x:v>
      </x:c>
      <x:c r="B502" s="38" t="str">
        <x:v>Q013</x:v>
      </x:c>
      <x:c r="C502" s="38" t="str">
        <x:v>B007261COS_review_3414566</x:v>
      </x:c>
      <x:c r="D502" s="38" t="str">
        <x:v>B007261COS</x:v>
      </x:c>
      <x:c r="E502" s="38" t="str">
        <x:v>bm25; hybrid_rrf; cross_encoder</x:v>
      </x:c>
      <x:c r="F502" s="99" t="n">
        <x:v>6</x:v>
      </x:c>
      <x:c r="G502" s="100" t="n">
        <x:v>29.606846396606585</x:v>
      </x:c>
      <x:c r="H502" s="99"/>
      <x:c r="I502" s="100"/>
      <x:c r="J502" s="99" t="n">
        <x:v>12</x:v>
      </x:c>
      <x:c r="K502" s="100" t="n">
        <x:v>0.015151515151515152</x:v>
      </x:c>
      <x:c r="L502" s="99" t="n">
        <x:v>8</x:v>
      </x:c>
      <x:c r="M502" s="100" t="n">
        <x:v>6.2744293212890625</x:v>
      </x:c>
    </x:row>
    <x:row r="503">
      <x:c r="A503" s="38" t="str">
        <x:v>Q013::B07PJ8JM63_review_268154</x:v>
      </x:c>
      <x:c r="B503" s="38" t="str">
        <x:v>Q013</x:v>
      </x:c>
      <x:c r="C503" s="38" t="str">
        <x:v>B07PJ8JM63_review_268154</x:v>
      </x:c>
      <x:c r="D503" s="38" t="str">
        <x:v>B07PJ8JM63</x:v>
      </x:c>
      <x:c r="E503" s="38" t="str">
        <x:v>bm25</x:v>
      </x:c>
      <x:c r="F503" s="99" t="n">
        <x:v>14</x:v>
      </x:c>
      <x:c r="G503" s="100" t="n">
        <x:v>27.005175801687884</x:v>
      </x:c>
      <x:c r="H503" s="99"/>
      <x:c r="I503" s="100"/>
      <x:c r="J503" s="99"/>
      <x:c r="K503" s="100"/>
      <x:c r="L503" s="99"/>
      <x:c r="M503" s="100"/>
    </x:row>
    <x:row r="504">
      <x:c r="A504" s="38" t="str">
        <x:v>Q013::B09YYY6P98_review_3009934</x:v>
      </x:c>
      <x:c r="B504" s="38" t="str">
        <x:v>Q013</x:v>
      </x:c>
      <x:c r="C504" s="38" t="str">
        <x:v>B09YYY6P98_review_3009934</x:v>
      </x:c>
      <x:c r="D504" s="38" t="str">
        <x:v>B09YYY6P98</x:v>
      </x:c>
      <x:c r="E504" s="38" t="str">
        <x:v>bm25</x:v>
      </x:c>
      <x:c r="F504" s="99" t="n">
        <x:v>15</x:v>
      </x:c>
      <x:c r="G504" s="100" t="n">
        <x:v>26.868054625084774</x:v>
      </x:c>
      <x:c r="H504" s="99"/>
      <x:c r="I504" s="100"/>
      <x:c r="J504" s="99"/>
      <x:c r="K504" s="100"/>
      <x:c r="L504" s="99"/>
      <x:c r="M504" s="100"/>
    </x:row>
    <x:row r="505">
      <x:c r="A505" s="38" t="str">
        <x:v>Q013::B000GFZTQO_review_1432495</x:v>
      </x:c>
      <x:c r="B505" s="38" t="str">
        <x:v>Q013</x:v>
      </x:c>
      <x:c r="C505" s="38" t="str">
        <x:v>B000GFZTQO_review_1432495</x:v>
      </x:c>
      <x:c r="D505" s="38" t="str">
        <x:v>B000GFZTQO</x:v>
      </x:c>
      <x:c r="E505" s="38" t="str">
        <x:v>dense</x:v>
      </x:c>
      <x:c r="F505" s="99"/>
      <x:c r="G505" s="100"/>
      <x:c r="H505" s="99" t="n">
        <x:v>15</x:v>
      </x:c>
      <x:c r="I505" s="100" t="n">
        <x:v>0.7406858801841736</x:v>
      </x:c>
      <x:c r="J505" s="99"/>
      <x:c r="K505" s="100"/>
      <x:c r="L505" s="99"/>
      <x:c r="M505" s="100"/>
    </x:row>
    <x:row r="506">
      <x:c r="A506" s="38" t="str">
        <x:v>Q013::B000A8QDW6_review_3430449</x:v>
      </x:c>
      <x:c r="B506" s="38" t="str">
        <x:v>Q013</x:v>
      </x:c>
      <x:c r="C506" s="38" t="str">
        <x:v>B000A8QDW6_review_3430449</x:v>
      </x:c>
      <x:c r="D506" s="38" t="str">
        <x:v>B000A8QDW6</x:v>
      </x:c>
      <x:c r="E506" s="38" t="str">
        <x:v>bm25; hybrid_rrf; cross_encoder</x:v>
      </x:c>
      <x:c r="F506" s="99" t="n">
        <x:v>5</x:v>
      </x:c>
      <x:c r="G506" s="100" t="n">
        <x:v>30.28970904250461</x:v>
      </x:c>
      <x:c r="H506" s="99"/>
      <x:c r="I506" s="100"/>
      <x:c r="J506" s="99" t="n">
        <x:v>9</x:v>
      </x:c>
      <x:c r="K506" s="100" t="n">
        <x:v>0.015384615384615385</x:v>
      </x:c>
      <x:c r="L506" s="99" t="n">
        <x:v>16</x:v>
      </x:c>
      <x:c r="M506" s="100" t="n">
        <x:v>4.8494367599487305</x:v>
      </x:c>
    </x:row>
    <x:row r="507">
      <x:c r="A507" s="38" t="str">
        <x:v>Q013::B00PHRVPJG_review_2567469</x:v>
      </x:c>
      <x:c r="B507" s="38" t="str">
        <x:v>Q013</x:v>
      </x:c>
      <x:c r="C507" s="38" t="str">
        <x:v>B00PHRVPJG_review_2567469</x:v>
      </x:c>
      <x:c r="D507" s="38" t="str">
        <x:v>B00PHRVPJG</x:v>
      </x:c>
      <x:c r="E507" s="38" t="str">
        <x:v>bm25</x:v>
      </x:c>
      <x:c r="F507" s="99" t="n">
        <x:v>18</x:v>
      </x:c>
      <x:c r="G507" s="100" t="n">
        <x:v>26.556187893359542</x:v>
      </x:c>
      <x:c r="H507" s="99"/>
      <x:c r="I507" s="100"/>
      <x:c r="J507" s="99"/>
      <x:c r="K507" s="100"/>
      <x:c r="L507" s="99"/>
      <x:c r="M507" s="100"/>
    </x:row>
    <x:row r="508">
      <x:c r="A508" s="38" t="str">
        <x:v>Q013::B0000CC619_review_595380</x:v>
      </x:c>
      <x:c r="B508" s="38" t="str">
        <x:v>Q013</x:v>
      </x:c>
      <x:c r="C508" s="38" t="str">
        <x:v>B0000CC619_review_595380</x:v>
      </x:c>
      <x:c r="D508" s="38" t="str">
        <x:v>B0000CC619</x:v>
      </x:c>
      <x:c r="E508" s="38" t="str">
        <x:v>bm25</x:v>
      </x:c>
      <x:c r="F508" s="99" t="n">
        <x:v>11</x:v>
      </x:c>
      <x:c r="G508" s="100" t="n">
        <x:v>27.934891309768698</x:v>
      </x:c>
      <x:c r="H508" s="99"/>
      <x:c r="I508" s="100"/>
      <x:c r="J508" s="99"/>
      <x:c r="K508" s="100"/>
      <x:c r="L508" s="99"/>
      <x:c r="M508" s="100"/>
    </x:row>
    <x:row r="509">
      <x:c r="A509" s="38" t="str">
        <x:v>Q013::B00BBZTHS4_review_1336824</x:v>
      </x:c>
      <x:c r="B509" s="38" t="str">
        <x:v>Q013</x:v>
      </x:c>
      <x:c r="C509" s="38" t="str">
        <x:v>B00BBZTHS4_review_1336824</x:v>
      </x:c>
      <x:c r="D509" s="38" t="str">
        <x:v>B00BBZTHS4</x:v>
      </x:c>
      <x:c r="E509" s="38" t="str">
        <x:v>dense</x:v>
      </x:c>
      <x:c r="F509" s="99"/>
      <x:c r="G509" s="100"/>
      <x:c r="H509" s="99" t="n">
        <x:v>12</x:v>
      </x:c>
      <x:c r="I509" s="100" t="n">
        <x:v>0.742071270942688</x:v>
      </x:c>
      <x:c r="J509" s="99"/>
      <x:c r="K509" s="100"/>
      <x:c r="L509" s="99"/>
      <x:c r="M509" s="100"/>
    </x:row>
    <x:row r="510">
      <x:c r="A510" s="38" t="str">
        <x:v>Q013::B00ARDJKWO_review_1567137</x:v>
      </x:c>
      <x:c r="B510" s="38" t="str">
        <x:v>Q013</x:v>
      </x:c>
      <x:c r="C510" s="38" t="str">
        <x:v>B00ARDJKWO_review_1567137</x:v>
      </x:c>
      <x:c r="D510" s="38" t="str">
        <x:v>B00ARDJKWO</x:v>
      </x:c>
      <x:c r="E510" s="38" t="str">
        <x:v>bm25; hybrid_rrf; cross_encoder</x:v>
      </x:c>
      <x:c r="F510" s="99" t="n">
        <x:v>10</x:v>
      </x:c>
      <x:c r="G510" s="100" t="n">
        <x:v>28.43559708935493</x:v>
      </x:c>
      <x:c r="H510" s="99"/>
      <x:c r="I510" s="100"/>
      <x:c r="J510" s="99" t="n">
        <x:v>20</x:v>
      </x:c>
      <x:c r="K510" s="100" t="n">
        <x:v>0.014285714285714285</x:v>
      </x:c>
      <x:c r="L510" s="99" t="n">
        <x:v>19</x:v>
      </x:c>
      <x:c r="M510" s="100" t="n">
        <x:v>3.6991288661956787</x:v>
      </x:c>
    </x:row>
    <x:row r="511">
      <x:c r="A511" s="38" t="str">
        <x:v>Q013::B005JQZT7E_review_4012242</x:v>
      </x:c>
      <x:c r="B511" s="38" t="str">
        <x:v>Q013</x:v>
      </x:c>
      <x:c r="C511" s="38" t="str">
        <x:v>B005JQZT7E_review_4012242</x:v>
      </x:c>
      <x:c r="D511" s="38" t="str">
        <x:v>B005JQZT7E</x:v>
      </x:c>
      <x:c r="E511" s="38" t="str">
        <x:v>dense; hybrid_rrf; cross_encoder</x:v>
      </x:c>
      <x:c r="F511" s="99"/>
      <x:c r="G511" s="100"/>
      <x:c r="H511" s="99" t="n">
        <x:v>3</x:v>
      </x:c>
      <x:c r="I511" s="100" t="n">
        <x:v>0.7519705891609192</x:v>
      </x:c>
      <x:c r="J511" s="99" t="n">
        <x:v>6</x:v>
      </x:c>
      <x:c r="K511" s="100" t="n">
        <x:v>0.015873015873015872</x:v>
      </x:c>
      <x:c r="L511" s="99" t="n">
        <x:v>18</x:v>
      </x:c>
      <x:c r="M511" s="100" t="n">
        <x:v>4.50571346282959</x:v>
      </x:c>
    </x:row>
    <x:row r="512">
      <x:c r="A512" s="38" t="str">
        <x:v>Q013::B006T7QXOA_review_3824874</x:v>
      </x:c>
      <x:c r="B512" s="38" t="str">
        <x:v>Q013</x:v>
      </x:c>
      <x:c r="C512" s="38" t="str">
        <x:v>B006T7QXOA_review_3824874</x:v>
      </x:c>
      <x:c r="D512" s="38" t="str">
        <x:v>B006T7QXOA</x:v>
      </x:c>
      <x:c r="E512" s="38" t="str">
        <x:v>dense</x:v>
      </x:c>
      <x:c r="F512" s="99"/>
      <x:c r="G512" s="100"/>
      <x:c r="H512" s="99" t="n">
        <x:v>13</x:v>
      </x:c>
      <x:c r="I512" s="100" t="n">
        <x:v>0.7417547106742859</x:v>
      </x:c>
      <x:c r="J512" s="99"/>
      <x:c r="K512" s="100"/>
      <x:c r="L512" s="99"/>
      <x:c r="M512" s="100"/>
    </x:row>
    <x:row r="513">
      <x:c r="A513" s="38" t="str">
        <x:v>Q013::B00PHRVANC_review_2043969</x:v>
      </x:c>
      <x:c r="B513" s="38" t="str">
        <x:v>Q013</x:v>
      </x:c>
      <x:c r="C513" s="38" t="str">
        <x:v>B00PHRVANC_review_2043969</x:v>
      </x:c>
      <x:c r="D513" s="38" t="str">
        <x:v>B00PHRVANC</x:v>
      </x:c>
      <x:c r="E513" s="38" t="str">
        <x:v>dense; hybrid_rrf; cross_encoder</x:v>
      </x:c>
      <x:c r="F513" s="99"/>
      <x:c r="G513" s="100"/>
      <x:c r="H513" s="99" t="n">
        <x:v>7</x:v>
      </x:c>
      <x:c r="I513" s="100" t="n">
        <x:v>0.7486051321029663</x:v>
      </x:c>
      <x:c r="J513" s="99" t="n">
        <x:v>13</x:v>
      </x:c>
      <x:c r="K513" s="100" t="n">
        <x:v>0.014925373134328358</x:v>
      </x:c>
      <x:c r="L513" s="99" t="n">
        <x:v>9</x:v>
      </x:c>
      <x:c r="M513" s="100" t="n">
        <x:v>6.127068519592285</x:v>
      </x:c>
    </x:row>
    <x:row r="514">
      <x:c r="A514" s="38" t="str">
        <x:v>Q014::B00KQQSZRS_review_619759</x:v>
      </x:c>
      <x:c r="B514" s="38" t="str">
        <x:v>Q014</x:v>
      </x:c>
      <x:c r="C514" s="38" t="str">
        <x:v>B00KQQSZRS_review_619759</x:v>
      </x:c>
      <x:c r="D514" s="38" t="str">
        <x:v>B00KQQSZRS</x:v>
      </x:c>
      <x:c r="E514" s="38" t="str">
        <x:v>bm25</x:v>
      </x:c>
      <x:c r="F514" s="99" t="n">
        <x:v>13</x:v>
      </x:c>
      <x:c r="G514" s="100" t="n">
        <x:v>23.020065617257398</x:v>
      </x:c>
      <x:c r="H514" s="99"/>
      <x:c r="I514" s="100"/>
      <x:c r="J514" s="99"/>
      <x:c r="K514" s="100"/>
      <x:c r="L514" s="99"/>
      <x:c r="M514" s="100"/>
    </x:row>
    <x:row r="515">
      <x:c r="A515" s="38" t="str">
        <x:v>Q014::B002P3KMP8_review_454898</x:v>
      </x:c>
      <x:c r="B515" s="38" t="str">
        <x:v>Q014</x:v>
      </x:c>
      <x:c r="C515" s="38" t="str">
        <x:v>B002P3KMP8_review_454898</x:v>
      </x:c>
      <x:c r="D515" s="38" t="str">
        <x:v>B002P3KMP8</x:v>
      </x:c>
      <x:c r="E515" s="38" t="str">
        <x:v>bm25</x:v>
      </x:c>
      <x:c r="F515" s="99" t="n">
        <x:v>18</x:v>
      </x:c>
      <x:c r="G515" s="100" t="n">
        <x:v>22.930225536314772</x:v>
      </x:c>
      <x:c r="H515" s="99"/>
      <x:c r="I515" s="100"/>
      <x:c r="J515" s="99"/>
      <x:c r="K515" s="100"/>
      <x:c r="L515" s="99"/>
      <x:c r="M515" s="100"/>
    </x:row>
    <x:row r="516">
      <x:c r="A516" s="38" t="str">
        <x:v>Q014::B00OK7AV0S_review_4038880</x:v>
      </x:c>
      <x:c r="B516" s="38" t="str">
        <x:v>Q014</x:v>
      </x:c>
      <x:c r="C516" s="38" t="str">
        <x:v>B00OK7AV0S_review_4038880</x:v>
      </x:c>
      <x:c r="D516" s="38" t="str">
        <x:v>B00OK7AV0S</x:v>
      </x:c>
      <x:c r="E516" s="38" t="str">
        <x:v>bm25</x:v>
      </x:c>
      <x:c r="F516" s="99" t="n">
        <x:v>15</x:v>
      </x:c>
      <x:c r="G516" s="100" t="n">
        <x:v>22.996704258919</x:v>
      </x:c>
      <x:c r="H516" s="99"/>
      <x:c r="I516" s="100"/>
      <x:c r="J516" s="99"/>
      <x:c r="K516" s="100"/>
      <x:c r="L516" s="99"/>
      <x:c r="M516" s="100"/>
    </x:row>
    <x:row r="517">
      <x:c r="A517" s="38" t="str">
        <x:v>Q014::B00IA819NQ_review_1601396</x:v>
      </x:c>
      <x:c r="B517" s="38" t="str">
        <x:v>Q014</x:v>
      </x:c>
      <x:c r="C517" s="38" t="str">
        <x:v>B00IA819NQ_review_1601396</x:v>
      </x:c>
      <x:c r="D517" s="38" t="str">
        <x:v>B00IA819NQ</x:v>
      </x:c>
      <x:c r="E517" s="38" t="str">
        <x:v>bm25; hybrid_rrf; cross_encoder</x:v>
      </x:c>
      <x:c r="F517" s="99" t="n">
        <x:v>2</x:v>
      </x:c>
      <x:c r="G517" s="100" t="n">
        <x:v>26.29652885787028</x:v>
      </x:c>
      <x:c r="H517" s="99"/>
      <x:c r="I517" s="100"/>
      <x:c r="J517" s="99" t="n">
        <x:v>4</x:v>
      </x:c>
      <x:c r="K517" s="100" t="n">
        <x:v>0.016129032258064516</x:v>
      </x:c>
      <x:c r="L517" s="99" t="n">
        <x:v>5</x:v>
      </x:c>
      <x:c r="M517" s="100" t="n">
        <x:v>-2.2773265838623047</x:v>
      </x:c>
    </x:row>
    <x:row r="518">
      <x:c r="A518" s="38" t="str">
        <x:v>Q014::B000EGNZC0_review_3215427</x:v>
      </x:c>
      <x:c r="B518" s="38" t="str">
        <x:v>Q014</x:v>
      </x:c>
      <x:c r="C518" s="38" t="str">
        <x:v>B000EGNZC0_review_3215427</x:v>
      </x:c>
      <x:c r="D518" s="38" t="str">
        <x:v>B000EGNZC0</x:v>
      </x:c>
      <x:c r="E518" s="38" t="str">
        <x:v>dense</x:v>
      </x:c>
      <x:c r="F518" s="99"/>
      <x:c r="G518" s="100"/>
      <x:c r="H518" s="99" t="n">
        <x:v>16</x:v>
      </x:c>
      <x:c r="I518" s="100" t="n">
        <x:v>0.7397969365119934</x:v>
      </x:c>
      <x:c r="J518" s="99"/>
      <x:c r="K518" s="100"/>
      <x:c r="L518" s="99"/>
      <x:c r="M518" s="100"/>
    </x:row>
    <x:row r="519">
      <x:c r="A519" s="38" t="str">
        <x:v>Q014::B0002T471C_review_1368246</x:v>
      </x:c>
      <x:c r="B519" s="38" t="str">
        <x:v>Q014</x:v>
      </x:c>
      <x:c r="C519" s="38" t="str">
        <x:v>B0002T471C_review_1368246</x:v>
      </x:c>
      <x:c r="D519" s="38" t="str">
        <x:v>B0002T471C</x:v>
      </x:c>
      <x:c r="E519" s="38" t="str">
        <x:v>dense</x:v>
      </x:c>
      <x:c r="F519" s="99"/>
      <x:c r="G519" s="100"/>
      <x:c r="H519" s="99" t="n">
        <x:v>12</x:v>
      </x:c>
      <x:c r="I519" s="100" t="n">
        <x:v>0.740415096282959</x:v>
      </x:c>
      <x:c r="J519" s="99"/>
      <x:c r="K519" s="100"/>
      <x:c r="L519" s="99"/>
      <x:c r="M519" s="100"/>
    </x:row>
    <x:row r="520">
      <x:c r="A520" s="38" t="str">
        <x:v>Q014::B004L54EQG_review_4196260</x:v>
      </x:c>
      <x:c r="B520" s="38" t="str">
        <x:v>Q014</x:v>
      </x:c>
      <x:c r="C520" s="38" t="str">
        <x:v>B004L54EQG_review_4196260</x:v>
      </x:c>
      <x:c r="D520" s="38" t="str">
        <x:v>B004L54EQG</x:v>
      </x:c>
      <x:c r="E520" s="38" t="str">
        <x:v>dense; hybrid_rrf; cross_encoder</x:v>
      </x:c>
      <x:c r="F520" s="99"/>
      <x:c r="G520" s="100"/>
      <x:c r="H520" s="99" t="n">
        <x:v>4</x:v>
      </x:c>
      <x:c r="I520" s="100" t="n">
        <x:v>0.753223180770874</x:v>
      </x:c>
      <x:c r="J520" s="99" t="n">
        <x:v>7</x:v>
      </x:c>
      <x:c r="K520" s="100" t="n">
        <x:v>0.015625</x:v>
      </x:c>
      <x:c r="L520" s="99" t="n">
        <x:v>8</x:v>
      </x:c>
      <x:c r="M520" s="100" t="n">
        <x:v>-2.987227439880371</x:v>
      </x:c>
    </x:row>
    <x:row r="521">
      <x:c r="A521" s="38" t="str">
        <x:v>Q014::B018J184S6_review_1493652</x:v>
      </x:c>
      <x:c r="B521" s="38" t="str">
        <x:v>Q014</x:v>
      </x:c>
      <x:c r="C521" s="38" t="str">
        <x:v>B018J184S6_review_1493652</x:v>
      </x:c>
      <x:c r="D521" s="38" t="str">
        <x:v>B018J184S6</x:v>
      </x:c>
      <x:c r="E521" s="38" t="str">
        <x:v>bm25</x:v>
      </x:c>
      <x:c r="F521" s="99" t="n">
        <x:v>16</x:v>
      </x:c>
      <x:c r="G521" s="100" t="n">
        <x:v>22.98481663436888</x:v>
      </x:c>
      <x:c r="H521" s="99"/>
      <x:c r="I521" s="100"/>
      <x:c r="J521" s="99"/>
      <x:c r="K521" s="100"/>
      <x:c r="L521" s="99"/>
      <x:c r="M521" s="100"/>
    </x:row>
    <x:row r="522">
      <x:c r="A522" s="38" t="str">
        <x:v>Q014::B005EE9Z8U_review_3563767</x:v>
      </x:c>
      <x:c r="B522" s="38" t="str">
        <x:v>Q014</x:v>
      </x:c>
      <x:c r="C522" s="38" t="str">
        <x:v>B005EE9Z8U_review_3563767</x:v>
      </x:c>
      <x:c r="D522" s="38" t="str">
        <x:v>B005EE9Z8U</x:v>
      </x:c>
      <x:c r="E522" s="38" t="str">
        <x:v>bm25</x:v>
      </x:c>
      <x:c r="F522" s="99" t="n">
        <x:v>19</x:v>
      </x:c>
      <x:c r="G522" s="100" t="n">
        <x:v>22.90285220111394</x:v>
      </x:c>
      <x:c r="H522" s="99"/>
      <x:c r="I522" s="100"/>
      <x:c r="J522" s="99"/>
      <x:c r="K522" s="100"/>
      <x:c r="L522" s="99"/>
      <x:c r="M522" s="100"/>
    </x:row>
    <x:row r="523">
      <x:c r="A523" s="38" t="str">
        <x:v>Q014::B000CP10O8_review_323679</x:v>
      </x:c>
      <x:c r="B523" s="38" t="str">
        <x:v>Q014</x:v>
      </x:c>
      <x:c r="C523" s="38" t="str">
        <x:v>B000CP10O8_review_323679</x:v>
      </x:c>
      <x:c r="D523" s="38" t="str">
        <x:v>B000CP10O8</x:v>
      </x:c>
      <x:c r="E523" s="38" t="str">
        <x:v>dense; hybrid_rrf; cross_encoder</x:v>
      </x:c>
      <x:c r="F523" s="99"/>
      <x:c r="G523" s="100"/>
      <x:c r="H523" s="99" t="n">
        <x:v>5</x:v>
      </x:c>
      <x:c r="I523" s="100" t="n">
        <x:v>0.7502389550209045</x:v>
      </x:c>
      <x:c r="J523" s="99" t="n">
        <x:v>9</x:v>
      </x:c>
      <x:c r="K523" s="100" t="n">
        <x:v>0.015384615384615385</x:v>
      </x:c>
      <x:c r="L523" s="99" t="n">
        <x:v>13</x:v>
      </x:c>
      <x:c r="M523" s="100" t="n">
        <x:v>-5.59915828704834</x:v>
      </x:c>
    </x:row>
    <x:row r="524">
      <x:c r="A524" s="38" t="str">
        <x:v>Q014::B00261T8LI_review_1182026</x:v>
      </x:c>
      <x:c r="B524" s="38" t="str">
        <x:v>Q014</x:v>
      </x:c>
      <x:c r="C524" s="38" t="str">
        <x:v>B00261T8LI_review_1182026</x:v>
      </x:c>
      <x:c r="D524" s="38" t="str">
        <x:v>B00261T8LI</x:v>
      </x:c>
      <x:c r="E524" s="38" t="str">
        <x:v>dense</x:v>
      </x:c>
      <x:c r="F524" s="99"/>
      <x:c r="G524" s="100"/>
      <x:c r="H524" s="99" t="n">
        <x:v>17</x:v>
      </x:c>
      <x:c r="I524" s="100" t="n">
        <x:v>0.7395175695419312</x:v>
      </x:c>
      <x:c r="J524" s="99"/>
      <x:c r="K524" s="100"/>
      <x:c r="L524" s="99"/>
      <x:c r="M524" s="100"/>
    </x:row>
    <x:row r="525">
      <x:c r="A525" s="38" t="str">
        <x:v>Q014::B077W1XFTZ_review_550138</x:v>
      </x:c>
      <x:c r="B525" s="38" t="str">
        <x:v>Q014</x:v>
      </x:c>
      <x:c r="C525" s="38" t="str">
        <x:v>B077W1XFTZ_review_550138</x:v>
      </x:c>
      <x:c r="D525" s="38" t="str">
        <x:v>B077W1XFTZ</x:v>
      </x:c>
      <x:c r="E525" s="38" t="str">
        <x:v>bm25; hybrid_rrf; cross_encoder</x:v>
      </x:c>
      <x:c r="F525" s="99" t="n">
        <x:v>7</x:v>
      </x:c>
      <x:c r="G525" s="100" t="n">
        <x:v>23.792640026340088</x:v>
      </x:c>
      <x:c r="H525" s="99"/>
      <x:c r="I525" s="100"/>
      <x:c r="J525" s="99" t="n">
        <x:v>14</x:v>
      </x:c>
      <x:c r="K525" s="100" t="n">
        <x:v>0.014925373134328358</x:v>
      </x:c>
      <x:c r="L525" s="99" t="n">
        <x:v>12</x:v>
      </x:c>
      <x:c r="M525" s="100" t="n">
        <x:v>-5.395265579223633</x:v>
      </x:c>
    </x:row>
    <x:row r="526">
      <x:c r="A526" s="38" t="str">
        <x:v>Q014::B00383WNF6_review_1767306</x:v>
      </x:c>
      <x:c r="B526" s="38" t="str">
        <x:v>Q014</x:v>
      </x:c>
      <x:c r="C526" s="38" t="str">
        <x:v>B00383WNF6_review_1767306</x:v>
      </x:c>
      <x:c r="D526" s="38" t="str">
        <x:v>B00383WNF6</x:v>
      </x:c>
      <x:c r="E526" s="38" t="str">
        <x:v>dense</x:v>
      </x:c>
      <x:c r="F526" s="99"/>
      <x:c r="G526" s="100"/>
      <x:c r="H526" s="99" t="n">
        <x:v>15</x:v>
      </x:c>
      <x:c r="I526" s="100" t="n">
        <x:v>0.7398704886436462</x:v>
      </x:c>
      <x:c r="J526" s="99"/>
      <x:c r="K526" s="100"/>
      <x:c r="L526" s="99"/>
      <x:c r="M526" s="100"/>
    </x:row>
    <x:row r="527">
      <x:c r="A527" s="38" t="str">
        <x:v>Q014::B00F8BOPT8_review_3516482</x:v>
      </x:c>
      <x:c r="B527" s="38" t="str">
        <x:v>Q014</x:v>
      </x:c>
      <x:c r="C527" s="38" t="str">
        <x:v>B00F8BOPT8_review_3516482</x:v>
      </x:c>
      <x:c r="D527" s="38" t="str">
        <x:v>B00F8BOPT8</x:v>
      </x:c>
      <x:c r="E527" s="38" t="str">
        <x:v>dense</x:v>
      </x:c>
      <x:c r="F527" s="99"/>
      <x:c r="G527" s="100"/>
      <x:c r="H527" s="99" t="n">
        <x:v>20</x:v>
      </x:c>
      <x:c r="I527" s="100" t="n">
        <x:v>0.7385475635528564</x:v>
      </x:c>
      <x:c r="J527" s="99"/>
      <x:c r="K527" s="100"/>
      <x:c r="L527" s="99"/>
      <x:c r="M527" s="100"/>
    </x:row>
    <x:row r="528">
      <x:c r="A528" s="38" t="str">
        <x:v>Q014::B0046ZG7OI_review_2461846</x:v>
      </x:c>
      <x:c r="B528" s="38" t="str">
        <x:v>Q014</x:v>
      </x:c>
      <x:c r="C528" s="38" t="str">
        <x:v>B0046ZG7OI_review_2461846</x:v>
      </x:c>
      <x:c r="D528" s="38" t="str">
        <x:v>B0046ZG7OI</x:v>
      </x:c>
      <x:c r="E528" s="38" t="str">
        <x:v>dense; hybrid_rrf; cross_encoder</x:v>
      </x:c>
      <x:c r="F528" s="99"/>
      <x:c r="G528" s="100"/>
      <x:c r="H528" s="99" t="n">
        <x:v>10</x:v>
      </x:c>
      <x:c r="I528" s="100" t="n">
        <x:v>0.7404900789260864</x:v>
      </x:c>
      <x:c r="J528" s="99" t="n">
        <x:v>19</x:v>
      </x:c>
      <x:c r="K528" s="100" t="n">
        <x:v>0.014285714285714285</x:v>
      </x:c>
      <x:c r="L528" s="99" t="n">
        <x:v>16</x:v>
      </x:c>
      <x:c r="M528" s="100" t="n">
        <x:v>-6.4870500564575195</x:v>
      </x:c>
    </x:row>
    <x:row r="529">
      <x:c r="A529" s="38" t="str">
        <x:v>Q014::B0000D8G7E_review_1411895</x:v>
      </x:c>
      <x:c r="B529" s="38" t="str">
        <x:v>Q014</x:v>
      </x:c>
      <x:c r="C529" s="38" t="str">
        <x:v>B0000D8G7E_review_1411895</x:v>
      </x:c>
      <x:c r="D529" s="38" t="str">
        <x:v>B0000D8G7E</x:v>
      </x:c>
      <x:c r="E529" s="38" t="str">
        <x:v>dense; hybrid_rrf; cross_encoder</x:v>
      </x:c>
      <x:c r="F529" s="99"/>
      <x:c r="G529" s="100"/>
      <x:c r="H529" s="99" t="n">
        <x:v>1</x:v>
      </x:c>
      <x:c r="I529" s="100" t="n">
        <x:v>0.7759165167808533</x:v>
      </x:c>
      <x:c r="J529" s="99" t="n">
        <x:v>1</x:v>
      </x:c>
      <x:c r="K529" s="100" t="n">
        <x:v>0.01639344262295082</x:v>
      </x:c>
      <x:c r="L529" s="99" t="n">
        <x:v>1</x:v>
      </x:c>
      <x:c r="M529" s="100" t="n">
        <x:v>1.4369874000549316</x:v>
      </x:c>
    </x:row>
    <x:row r="530">
      <x:c r="A530" s="38" t="str">
        <x:v>Q014::B005OMOKN2_review_732943</x:v>
      </x:c>
      <x:c r="B530" s="38" t="str">
        <x:v>Q014</x:v>
      </x:c>
      <x:c r="C530" s="38" t="str">
        <x:v>B005OMOKN2_review_732943</x:v>
      </x:c>
      <x:c r="D530" s="38" t="str">
        <x:v>B005OMOKN2</x:v>
      </x:c>
      <x:c r="E530" s="38" t="str">
        <x:v>dense</x:v>
      </x:c>
      <x:c r="F530" s="99"/>
      <x:c r="G530" s="100"/>
      <x:c r="H530" s="99" t="n">
        <x:v>14</x:v>
      </x:c>
      <x:c r="I530" s="100" t="n">
        <x:v>0.7401620149612427</x:v>
      </x:c>
      <x:c r="J530" s="99"/>
      <x:c r="K530" s="100"/>
      <x:c r="L530" s="99"/>
      <x:c r="M530" s="100"/>
    </x:row>
    <x:row r="531">
      <x:c r="A531" s="38" t="str">
        <x:v>Q014::B00BW4USGY_review_3634449</x:v>
      </x:c>
      <x:c r="B531" s="38" t="str">
        <x:v>Q014</x:v>
      </x:c>
      <x:c r="C531" s="38" t="str">
        <x:v>B00BW4USGY_review_3634449</x:v>
      </x:c>
      <x:c r="D531" s="38" t="str">
        <x:v>B00BW4USGY</x:v>
      </x:c>
      <x:c r="E531" s="38" t="str">
        <x:v>bm25; hybrid_rrf; cross_encoder</x:v>
      </x:c>
      <x:c r="F531" s="99" t="n">
        <x:v>6</x:v>
      </x:c>
      <x:c r="G531" s="100" t="n">
        <x:v>23.901931360747824</x:v>
      </x:c>
      <x:c r="H531" s="99"/>
      <x:c r="I531" s="100"/>
      <x:c r="J531" s="99" t="n">
        <x:v>12</x:v>
      </x:c>
      <x:c r="K531" s="100" t="n">
        <x:v>0.015151515151515152</x:v>
      </x:c>
      <x:c r="L531" s="99" t="n">
        <x:v>20</x:v>
      </x:c>
      <x:c r="M531" s="100" t="n">
        <x:v>-8.225475311279297</x:v>
      </x:c>
    </x:row>
    <x:row r="532">
      <x:c r="A532" s="38" t="str">
        <x:v>Q014::B00D49VO3G_review_2003423</x:v>
      </x:c>
      <x:c r="B532" s="38" t="str">
        <x:v>Q014</x:v>
      </x:c>
      <x:c r="C532" s="38" t="str">
        <x:v>B00D49VO3G_review_2003423</x:v>
      </x:c>
      <x:c r="D532" s="38" t="str">
        <x:v>B00D49VO3G</x:v>
      </x:c>
      <x:c r="E532" s="38" t="str">
        <x:v>bm25; hybrid_rrf; cross_encoder</x:v>
      </x:c>
      <x:c r="F532" s="99" t="n">
        <x:v>4</x:v>
      </x:c>
      <x:c r="G532" s="100" t="n">
        <x:v>25.1743610781736</x:v>
      </x:c>
      <x:c r="H532" s="99"/>
      <x:c r="I532" s="100"/>
      <x:c r="J532" s="99" t="n">
        <x:v>8</x:v>
      </x:c>
      <x:c r="K532" s="100" t="n">
        <x:v>0.015625</x:v>
      </x:c>
      <x:c r="L532" s="99" t="n">
        <x:v>4</x:v>
      </x:c>
      <x:c r="M532" s="100" t="n">
        <x:v>-1.9694039821624756</x:v>
      </x:c>
    </x:row>
    <x:row r="533">
      <x:c r="A533" s="38" t="str">
        <x:v>Q014::B0046ZG7OI_review_2461843</x:v>
      </x:c>
      <x:c r="B533" s="38" t="str">
        <x:v>Q014</x:v>
      </x:c>
      <x:c r="C533" s="38" t="str">
        <x:v>B0046ZG7OI_review_2461843</x:v>
      </x:c>
      <x:c r="D533" s="38" t="str">
        <x:v>B0046ZG7OI</x:v>
      </x:c>
      <x:c r="E533" s="38" t="str">
        <x:v>dense</x:v>
      </x:c>
      <x:c r="F533" s="99"/>
      <x:c r="G533" s="100"/>
      <x:c r="H533" s="99" t="n">
        <x:v>18</x:v>
      </x:c>
      <x:c r="I533" s="100" t="n">
        <x:v>0.7389469742774963</x:v>
      </x:c>
      <x:c r="J533" s="99"/>
      <x:c r="K533" s="100"/>
      <x:c r="L533" s="99"/>
      <x:c r="M533" s="100"/>
    </x:row>
    <x:row r="534">
      <x:c r="A534" s="38" t="str">
        <x:v>Q014::B0000D8G7E_review_1411879</x:v>
      </x:c>
      <x:c r="B534" s="38" t="str">
        <x:v>Q014</x:v>
      </x:c>
      <x:c r="C534" s="38" t="str">
        <x:v>B0000D8G7E_review_1411879</x:v>
      </x:c>
      <x:c r="D534" s="38" t="str">
        <x:v>B0000D8G7E</x:v>
      </x:c>
      <x:c r="E534" s="38" t="str">
        <x:v>dense; hybrid_rrf; cross_encoder</x:v>
      </x:c>
      <x:c r="F534" s="99"/>
      <x:c r="G534" s="100"/>
      <x:c r="H534" s="99" t="n">
        <x:v>8</x:v>
      </x:c>
      <x:c r="I534" s="100" t="n">
        <x:v>0.744644284248352</x:v>
      </x:c>
      <x:c r="J534" s="99" t="n">
        <x:v>15</x:v>
      </x:c>
      <x:c r="K534" s="100" t="n">
        <x:v>0.014705882352941176</x:v>
      </x:c>
      <x:c r="L534" s="99" t="n">
        <x:v>10</x:v>
      </x:c>
      <x:c r="M534" s="100" t="n">
        <x:v>-4.673340797424316</x:v>
      </x:c>
    </x:row>
    <x:row r="535">
      <x:c r="A535" s="38" t="str">
        <x:v>Q014::B00BLRJMQ4_review_595675</x:v>
      </x:c>
      <x:c r="B535" s="38" t="str">
        <x:v>Q014</x:v>
      </x:c>
      <x:c r="C535" s="38" t="str">
        <x:v>B00BLRJMQ4_review_595675</x:v>
      </x:c>
      <x:c r="D535" s="38" t="str">
        <x:v>B00BLRJMQ4</x:v>
      </x:c>
      <x:c r="E535" s="38" t="str">
        <x:v>bm25; hybrid_rrf; cross_encoder</x:v>
      </x:c>
      <x:c r="F535" s="99" t="n">
        <x:v>10</x:v>
      </x:c>
      <x:c r="G535" s="100" t="n">
        <x:v>23.433761337123777</x:v>
      </x:c>
      <x:c r="H535" s="99"/>
      <x:c r="I535" s="100"/>
      <x:c r="J535" s="99" t="n">
        <x:v>20</x:v>
      </x:c>
      <x:c r="K535" s="100" t="n">
        <x:v>0.014285714285714285</x:v>
      </x:c>
      <x:c r="L535" s="99" t="n">
        <x:v>7</x:v>
      </x:c>
      <x:c r="M535" s="100" t="n">
        <x:v>-2.605173110961914</x:v>
      </x:c>
    </x:row>
    <x:row r="536">
      <x:c r="A536" s="38" t="str">
        <x:v>Q014::B06WWMLFJ7_review_1079831</x:v>
      </x:c>
      <x:c r="B536" s="38" t="str">
        <x:v>Q014</x:v>
      </x:c>
      <x:c r="C536" s="38" t="str">
        <x:v>B06WWMLFJ7_review_1079831</x:v>
      </x:c>
      <x:c r="D536" s="38" t="str">
        <x:v>B06WWMLFJ7</x:v>
      </x:c>
      <x:c r="E536" s="38" t="str">
        <x:v>bm25</x:v>
      </x:c>
      <x:c r="F536" s="99" t="n">
        <x:v>14</x:v>
      </x:c>
      <x:c r="G536" s="100" t="n">
        <x:v>23.01728376147384</x:v>
      </x:c>
      <x:c r="H536" s="99"/>
      <x:c r="I536" s="100"/>
      <x:c r="J536" s="99"/>
      <x:c r="K536" s="100"/>
      <x:c r="L536" s="99"/>
      <x:c r="M536" s="100"/>
    </x:row>
    <x:row r="537">
      <x:c r="A537" s="38" t="str">
        <x:v>Q014::B07RWPGWX3_review_4200827</x:v>
      </x:c>
      <x:c r="B537" s="38" t="str">
        <x:v>Q014</x:v>
      </x:c>
      <x:c r="C537" s="38" t="str">
        <x:v>B07RWPGWX3_review_4200827</x:v>
      </x:c>
      <x:c r="D537" s="38" t="str">
        <x:v>B07RWPGWX3</x:v>
      </x:c>
      <x:c r="E537" s="38" t="str">
        <x:v>bm25; hybrid_rrf; cross_encoder</x:v>
      </x:c>
      <x:c r="F537" s="99" t="n">
        <x:v>3</x:v>
      </x:c>
      <x:c r="G537" s="100" t="n">
        <x:v>25.733242672854125</x:v>
      </x:c>
      <x:c r="H537" s="99"/>
      <x:c r="I537" s="100"/>
      <x:c r="J537" s="99" t="n">
        <x:v>6</x:v>
      </x:c>
      <x:c r="K537" s="100" t="n">
        <x:v>0.015873015873015872</x:v>
      </x:c>
      <x:c r="L537" s="99" t="n">
        <x:v>9</x:v>
      </x:c>
      <x:c r="M537" s="100" t="n">
        <x:v>-4.548393249511719</x:v>
      </x:c>
    </x:row>
    <x:row r="538">
      <x:c r="A538" s="38" t="str">
        <x:v>Q014::B00UNNQQ34_review_1873896</x:v>
      </x:c>
      <x:c r="B538" s="38" t="str">
        <x:v>Q014</x:v>
      </x:c>
      <x:c r="C538" s="38" t="str">
        <x:v>B00UNNQQ34_review_1873896</x:v>
      </x:c>
      <x:c r="D538" s="38" t="str">
        <x:v>B00UNNQQ34</x:v>
      </x:c>
      <x:c r="E538" s="38" t="str">
        <x:v>bm25; hybrid_rrf; cross_encoder</x:v>
      </x:c>
      <x:c r="F538" s="99" t="n">
        <x:v>5</x:v>
      </x:c>
      <x:c r="G538" s="100" t="n">
        <x:v>24.602705482645757</x:v>
      </x:c>
      <x:c r="H538" s="99"/>
      <x:c r="I538" s="100"/>
      <x:c r="J538" s="99" t="n">
        <x:v>10</x:v>
      </x:c>
      <x:c r="K538" s="100" t="n">
        <x:v>0.015384615384615385</x:v>
      </x:c>
      <x:c r="L538" s="99" t="n">
        <x:v>18</x:v>
      </x:c>
      <x:c r="M538" s="100" t="n">
        <x:v>-6.9840826988220215</x:v>
      </x:c>
    </x:row>
    <x:row r="539">
      <x:c r="A539" s="38" t="str">
        <x:v>Q014::B004S233D2_review_2933501</x:v>
      </x:c>
      <x:c r="B539" s="38" t="str">
        <x:v>Q014</x:v>
      </x:c>
      <x:c r="C539" s="38" t="str">
        <x:v>B004S233D2_review_2933501</x:v>
      </x:c>
      <x:c r="D539" s="38" t="str">
        <x:v>B004S233D2</x:v>
      </x:c>
      <x:c r="E539" s="38" t="str">
        <x:v>bm25</x:v>
      </x:c>
      <x:c r="F539" s="99" t="n">
        <x:v>11</x:v>
      </x:c>
      <x:c r="G539" s="100" t="n">
        <x:v>23.036243740724967</x:v>
      </x:c>
      <x:c r="H539" s="99"/>
      <x:c r="I539" s="100"/>
      <x:c r="J539" s="99"/>
      <x:c r="K539" s="100"/>
      <x:c r="L539" s="99"/>
      <x:c r="M539" s="100"/>
    </x:row>
    <x:row r="540">
      <x:c r="A540" s="38" t="str">
        <x:v>Q014::B002LITT7O_review_1309461</x:v>
      </x:c>
      <x:c r="B540" s="38" t="str">
        <x:v>Q014</x:v>
      </x:c>
      <x:c r="C540" s="38" t="str">
        <x:v>B002LITT7O_review_1309461</x:v>
      </x:c>
      <x:c r="D540" s="38" t="str">
        <x:v>B002LITT7O</x:v>
      </x:c>
      <x:c r="E540" s="38" t="str">
        <x:v>bm25; hybrid_rrf; cross_encoder</x:v>
      </x:c>
      <x:c r="F540" s="99" t="n">
        <x:v>1</x:v>
      </x:c>
      <x:c r="G540" s="100" t="n">
        <x:v>28.181759680977052</x:v>
      </x:c>
      <x:c r="H540" s="99"/>
      <x:c r="I540" s="100"/>
      <x:c r="J540" s="99" t="n">
        <x:v>2</x:v>
      </x:c>
      <x:c r="K540" s="100" t="n">
        <x:v>0.01639344262295082</x:v>
      </x:c>
      <x:c r="L540" s="99" t="n">
        <x:v>2</x:v>
      </x:c>
      <x:c r="M540" s="100" t="n">
        <x:v>-0.6137356758117676</x:v>
      </x:c>
    </x:row>
    <x:row r="541">
      <x:c r="A541" s="38" t="str">
        <x:v>Q014::B0B5L66FRT_review_1101124</x:v>
      </x:c>
      <x:c r="B541" s="38" t="str">
        <x:v>Q014</x:v>
      </x:c>
      <x:c r="C541" s="38" t="str">
        <x:v>B0B5L66FRT_review_1101124</x:v>
      </x:c>
      <x:c r="D541" s="38" t="str">
        <x:v>B0B5L66FRT</x:v>
      </x:c>
      <x:c r="E541" s="38" t="str">
        <x:v>bm25</x:v>
      </x:c>
      <x:c r="F541" s="99" t="n">
        <x:v>12</x:v>
      </x:c>
      <x:c r="G541" s="100" t="n">
        <x:v>23.026869860670992</x:v>
      </x:c>
      <x:c r="H541" s="99"/>
      <x:c r="I541" s="100"/>
      <x:c r="J541" s="99"/>
      <x:c r="K541" s="100"/>
      <x:c r="L541" s="99"/>
      <x:c r="M541" s="100"/>
    </x:row>
    <x:row r="542">
      <x:c r="A542" s="38" t="str">
        <x:v>Q014::B002V2RRYC_review_3889011</x:v>
      </x:c>
      <x:c r="B542" s="38" t="str">
        <x:v>Q014</x:v>
      </x:c>
      <x:c r="C542" s="38" t="str">
        <x:v>B002V2RRYC_review_3889011</x:v>
      </x:c>
      <x:c r="D542" s="38" t="str">
        <x:v>B002V2RRYC</x:v>
      </x:c>
      <x:c r="E542" s="38" t="str">
        <x:v>bm25</x:v>
      </x:c>
      <x:c r="F542" s="99" t="n">
        <x:v>17</x:v>
      </x:c>
      <x:c r="G542" s="100" t="n">
        <x:v>22.94048529446598</x:v>
      </x:c>
      <x:c r="H542" s="99"/>
      <x:c r="I542" s="100"/>
      <x:c r="J542" s="99"/>
      <x:c r="K542" s="100"/>
      <x:c r="L542" s="99"/>
      <x:c r="M542" s="100"/>
    </x:row>
    <x:row r="543">
      <x:c r="A543" s="38" t="str">
        <x:v>Q014::B003ZN8QUU_review_4166048</x:v>
      </x:c>
      <x:c r="B543" s="38" t="str">
        <x:v>Q014</x:v>
      </x:c>
      <x:c r="C543" s="38" t="str">
        <x:v>B003ZN8QUU_review_4166048</x:v>
      </x:c>
      <x:c r="D543" s="38" t="str">
        <x:v>B003ZN8QUU</x:v>
      </x:c>
      <x:c r="E543" s="38" t="str">
        <x:v>bm25; hybrid_rrf; cross_encoder</x:v>
      </x:c>
      <x:c r="F543" s="99" t="n">
        <x:v>8</x:v>
      </x:c>
      <x:c r="G543" s="100" t="n">
        <x:v>23.786776216280394</x:v>
      </x:c>
      <x:c r="H543" s="99"/>
      <x:c r="I543" s="100"/>
      <x:c r="J543" s="99" t="n">
        <x:v>16</x:v>
      </x:c>
      <x:c r="K543" s="100" t="n">
        <x:v>0.014705882352941176</x:v>
      </x:c>
      <x:c r="L543" s="99" t="n">
        <x:v>15</x:v>
      </x:c>
      <x:c r="M543" s="100" t="n">
        <x:v>-6.031177520751953</x:v>
      </x:c>
    </x:row>
    <x:row r="544">
      <x:c r="A544" s="38" t="str">
        <x:v>Q014::B06W2MD6G9_review_147440</x:v>
      </x:c>
      <x:c r="B544" s="38" t="str">
        <x:v>Q014</x:v>
      </x:c>
      <x:c r="C544" s="38" t="str">
        <x:v>B06W2MD6G9_review_147440</x:v>
      </x:c>
      <x:c r="D544" s="38" t="str">
        <x:v>B06W2MD6G9</x:v>
      </x:c>
      <x:c r="E544" s="38" t="str">
        <x:v>bm25; hybrid_rrf; cross_encoder</x:v>
      </x:c>
      <x:c r="F544" s="99" t="n">
        <x:v>9</x:v>
      </x:c>
      <x:c r="G544" s="100" t="n">
        <x:v>23.742728732633736</x:v>
      </x:c>
      <x:c r="H544" s="99"/>
      <x:c r="I544" s="100"/>
      <x:c r="J544" s="99" t="n">
        <x:v>18</x:v>
      </x:c>
      <x:c r="K544" s="100" t="n">
        <x:v>0.014492753623188406</x:v>
      </x:c>
      <x:c r="L544" s="99" t="n">
        <x:v>6</x:v>
      </x:c>
      <x:c r="M544" s="100" t="n">
        <x:v>-2.411008834838867</x:v>
      </x:c>
    </x:row>
    <x:row r="545">
      <x:c r="A545" s="38" t="str">
        <x:v>Q014::B00Z9QUZIM_review_3506035</x:v>
      </x:c>
      <x:c r="B545" s="38" t="str">
        <x:v>Q014</x:v>
      </x:c>
      <x:c r="C545" s="38" t="str">
        <x:v>B00Z9QUZIM_review_3506035</x:v>
      </x:c>
      <x:c r="D545" s="38" t="str">
        <x:v>B00Z9QUZIM</x:v>
      </x:c>
      <x:c r="E545" s="38" t="str">
        <x:v>dense; hybrid_rrf; cross_encoder</x:v>
      </x:c>
      <x:c r="F545" s="99"/>
      <x:c r="G545" s="100"/>
      <x:c r="H545" s="99" t="n">
        <x:v>9</x:v>
      </x:c>
      <x:c r="I545" s="100" t="n">
        <x:v>0.7427470684051514</x:v>
      </x:c>
      <x:c r="J545" s="99" t="n">
        <x:v>17</x:v>
      </x:c>
      <x:c r="K545" s="100" t="n">
        <x:v>0.014492753623188406</x:v>
      </x:c>
      <x:c r="L545" s="99" t="n">
        <x:v>17</x:v>
      </x:c>
      <x:c r="M545" s="100" t="n">
        <x:v>-6.586650848388672</x:v>
      </x:c>
    </x:row>
    <x:row r="546">
      <x:c r="A546" s="38" t="str">
        <x:v>Q014::B07H4SZF7P_review_1984416</x:v>
      </x:c>
      <x:c r="B546" s="38" t="str">
        <x:v>Q014</x:v>
      </x:c>
      <x:c r="C546" s="38" t="str">
        <x:v>B07H4SZF7P_review_1984416</x:v>
      </x:c>
      <x:c r="D546" s="38" t="str">
        <x:v>B07H4SZF7P</x:v>
      </x:c>
      <x:c r="E546" s="38" t="str">
        <x:v>bm25</x:v>
      </x:c>
      <x:c r="F546" s="99" t="n">
        <x:v>20</x:v>
      </x:c>
      <x:c r="G546" s="100" t="n">
        <x:v>22.891574588471485</x:v>
      </x:c>
      <x:c r="H546" s="99"/>
      <x:c r="I546" s="100"/>
      <x:c r="J546" s="99"/>
      <x:c r="K546" s="100"/>
      <x:c r="L546" s="99"/>
      <x:c r="M546" s="100"/>
    </x:row>
    <x:row r="547">
      <x:c r="A547" s="38" t="str">
        <x:v>Q014::B0046ZG7OI_review_2461825</x:v>
      </x:c>
      <x:c r="B547" s="38" t="str">
        <x:v>Q014</x:v>
      </x:c>
      <x:c r="C547" s="38" t="str">
        <x:v>B0046ZG7OI_review_2461825</x:v>
      </x:c>
      <x:c r="D547" s="38" t="str">
        <x:v>B0046ZG7OI</x:v>
      </x:c>
      <x:c r="E547" s="38" t="str">
        <x:v>dense</x:v>
      </x:c>
      <x:c r="F547" s="99"/>
      <x:c r="G547" s="100"/>
      <x:c r="H547" s="99" t="n">
        <x:v>11</x:v>
      </x:c>
      <x:c r="I547" s="100" t="n">
        <x:v>0.7404797077178955</x:v>
      </x:c>
      <x:c r="J547" s="99"/>
      <x:c r="K547" s="100"/>
      <x:c r="L547" s="99"/>
      <x:c r="M547" s="100"/>
    </x:row>
    <x:row r="548">
      <x:c r="A548" s="38" t="str">
        <x:v>Q014::B00G0J3FRK_review_2362779</x:v>
      </x:c>
      <x:c r="B548" s="38" t="str">
        <x:v>Q014</x:v>
      </x:c>
      <x:c r="C548" s="38" t="str">
        <x:v>B00G0J3FRK_review_2362779</x:v>
      </x:c>
      <x:c r="D548" s="38" t="str">
        <x:v>B00G0J3FRK</x:v>
      </x:c>
      <x:c r="E548" s="38" t="str">
        <x:v>dense; hybrid_rrf; cross_encoder</x:v>
      </x:c>
      <x:c r="F548" s="99"/>
      <x:c r="G548" s="100"/>
      <x:c r="H548" s="99" t="n">
        <x:v>2</x:v>
      </x:c>
      <x:c r="I548" s="100" t="n">
        <x:v>0.7741206884384155</x:v>
      </x:c>
      <x:c r="J548" s="99" t="n">
        <x:v>3</x:v>
      </x:c>
      <x:c r="K548" s="100" t="n">
        <x:v>0.016129032258064516</x:v>
      </x:c>
      <x:c r="L548" s="99" t="n">
        <x:v>11</x:v>
      </x:c>
      <x:c r="M548" s="100" t="n">
        <x:v>-4.7108154296875</x:v>
      </x:c>
    </x:row>
    <x:row r="549">
      <x:c r="A549" s="38" t="str">
        <x:v>Q014::B00008XY4E_review_2346776</x:v>
      </x:c>
      <x:c r="B549" s="38" t="str">
        <x:v>Q014</x:v>
      </x:c>
      <x:c r="C549" s="38" t="str">
        <x:v>B00008XY4E_review_2346776</x:v>
      </x:c>
      <x:c r="D549" s="38" t="str">
        <x:v>B00008XY4E</x:v>
      </x:c>
      <x:c r="E549" s="38" t="str">
        <x:v>dense; hybrid_rrf; cross_encoder</x:v>
      </x:c>
      <x:c r="F549" s="99"/>
      <x:c r="G549" s="100"/>
      <x:c r="H549" s="99" t="n">
        <x:v>7</x:v>
      </x:c>
      <x:c r="I549" s="100" t="n">
        <x:v>0.7463077306747437</x:v>
      </x:c>
      <x:c r="J549" s="99" t="n">
        <x:v>13</x:v>
      </x:c>
      <x:c r="K549" s="100" t="n">
        <x:v>0.014925373134328358</x:v>
      </x:c>
      <x:c r="L549" s="99" t="n">
        <x:v>14</x:v>
      </x:c>
      <x:c r="M549" s="100" t="n">
        <x:v>-5.885219573974609</x:v>
      </x:c>
    </x:row>
    <x:row r="550">
      <x:c r="A550" s="38" t="str">
        <x:v>Q014::B00005T3MW_review_1194160</x:v>
      </x:c>
      <x:c r="B550" s="38" t="str">
        <x:v>Q014</x:v>
      </x:c>
      <x:c r="C550" s="38" t="str">
        <x:v>B00005T3MW_review_1194160</x:v>
      </x:c>
      <x:c r="D550" s="38" t="str">
        <x:v>B00005T3MW</x:v>
      </x:c>
      <x:c r="E550" s="38" t="str">
        <x:v>dense</x:v>
      </x:c>
      <x:c r="F550" s="99"/>
      <x:c r="G550" s="100"/>
      <x:c r="H550" s="99" t="n">
        <x:v>19</x:v>
      </x:c>
      <x:c r="I550" s="100" t="n">
        <x:v>0.7386726140975952</x:v>
      </x:c>
      <x:c r="J550" s="99"/>
      <x:c r="K550" s="100"/>
      <x:c r="L550" s="99"/>
      <x:c r="M550" s="100"/>
    </x:row>
    <x:row r="551">
      <x:c r="A551" s="38" t="str">
        <x:v>Q014::B00Z9QVHHK_review_3496173</x:v>
      </x:c>
      <x:c r="B551" s="38" t="str">
        <x:v>Q014</x:v>
      </x:c>
      <x:c r="C551" s="38" t="str">
        <x:v>B00Z9QVHHK_review_3496173</x:v>
      </x:c>
      <x:c r="D551" s="38" t="str">
        <x:v>B00Z9QVHHK</x:v>
      </x:c>
      <x:c r="E551" s="38" t="str">
        <x:v>dense; hybrid_rrf; cross_encoder</x:v>
      </x:c>
      <x:c r="F551" s="99"/>
      <x:c r="G551" s="100"/>
      <x:c r="H551" s="99" t="n">
        <x:v>3</x:v>
      </x:c>
      <x:c r="I551" s="100" t="n">
        <x:v>0.7559516429901123</x:v>
      </x:c>
      <x:c r="J551" s="99" t="n">
        <x:v>5</x:v>
      </x:c>
      <x:c r="K551" s="100" t="n">
        <x:v>0.015873015873015872</x:v>
      </x:c>
      <x:c r="L551" s="99" t="n">
        <x:v>3</x:v>
      </x:c>
      <x:c r="M551" s="100" t="n">
        <x:v>-1.0401074886322021</x:v>
      </x:c>
    </x:row>
    <x:row r="552">
      <x:c r="A552" s="38" t="str">
        <x:v>Q014::B000E4BA5Q_review_499982</x:v>
      </x:c>
      <x:c r="B552" s="38" t="str">
        <x:v>Q014</x:v>
      </x:c>
      <x:c r="C552" s="38" t="str">
        <x:v>B000E4BA5Q_review_499982</x:v>
      </x:c>
      <x:c r="D552" s="38" t="str">
        <x:v>B000E4BA5Q</x:v>
      </x:c>
      <x:c r="E552" s="38" t="str">
        <x:v>dense</x:v>
      </x:c>
      <x:c r="F552" s="99"/>
      <x:c r="G552" s="100"/>
      <x:c r="H552" s="99" t="n">
        <x:v>13</x:v>
      </x:c>
      <x:c r="I552" s="100" t="n">
        <x:v>0.7404085993766785</x:v>
      </x:c>
      <x:c r="J552" s="99"/>
      <x:c r="K552" s="100"/>
      <x:c r="L552" s="99"/>
      <x:c r="M552" s="100"/>
    </x:row>
    <x:row r="553">
      <x:c r="A553" s="38" t="str">
        <x:v>Q014::B0046ZG7OI_review_2461839</x:v>
      </x:c>
      <x:c r="B553" s="38" t="str">
        <x:v>Q014</x:v>
      </x:c>
      <x:c r="C553" s="38" t="str">
        <x:v>B0046ZG7OI_review_2461839</x:v>
      </x:c>
      <x:c r="D553" s="38" t="str">
        <x:v>B0046ZG7OI</x:v>
      </x:c>
      <x:c r="E553" s="38" t="str">
        <x:v>dense; hybrid_rrf; cross_encoder</x:v>
      </x:c>
      <x:c r="F553" s="99"/>
      <x:c r="G553" s="100"/>
      <x:c r="H553" s="99" t="n">
        <x:v>6</x:v>
      </x:c>
      <x:c r="I553" s="100" t="n">
        <x:v>0.7463091015815735</x:v>
      </x:c>
      <x:c r="J553" s="99" t="n">
        <x:v>11</x:v>
      </x:c>
      <x:c r="K553" s="100" t="n">
        <x:v>0.015151515151515152</x:v>
      </x:c>
      <x:c r="L553" s="99" t="n">
        <x:v>19</x:v>
      </x:c>
      <x:c r="M553" s="100" t="n">
        <x:v>-7.304368019104004</x:v>
      </x:c>
    </x:row>
    <x:row r="554">
      <x:c r="A554" s="38" t="str">
        <x:v>Q015::B073XLJV8P_review_2307590</x:v>
      </x:c>
      <x:c r="B554" s="38" t="str">
        <x:v>Q015</x:v>
      </x:c>
      <x:c r="C554" s="38" t="str">
        <x:v>B073XLJV8P_review_2307590</x:v>
      </x:c>
      <x:c r="D554" s="38" t="str">
        <x:v>B073XLJV8P</x:v>
      </x:c>
      <x:c r="E554" s="38" t="str">
        <x:v>bm25; hybrid_rrf; cross_encoder</x:v>
      </x:c>
      <x:c r="F554" s="99" t="n">
        <x:v>9</x:v>
      </x:c>
      <x:c r="G554" s="100" t="n">
        <x:v>34.33201187392601</x:v>
      </x:c>
      <x:c r="H554" s="99"/>
      <x:c r="I554" s="100"/>
      <x:c r="J554" s="99" t="n">
        <x:v>18</x:v>
      </x:c>
      <x:c r="K554" s="100" t="n">
        <x:v>0.014492753623188406</x:v>
      </x:c>
      <x:c r="L554" s="99" t="n">
        <x:v>19</x:v>
      </x:c>
      <x:c r="M554" s="100" t="n">
        <x:v>-1.3402327299118042</x:v>
      </x:c>
    </x:row>
    <x:row r="555">
      <x:c r="A555" s="38" t="str">
        <x:v>Q015::B000RZC38K_review_3024904</x:v>
      </x:c>
      <x:c r="B555" s="38" t="str">
        <x:v>Q015</x:v>
      </x:c>
      <x:c r="C555" s="38" t="str">
        <x:v>B000RZC38K_review_3024904</x:v>
      </x:c>
      <x:c r="D555" s="38" t="str">
        <x:v>B000RZC38K</x:v>
      </x:c>
      <x:c r="E555" s="38" t="str">
        <x:v>bm25</x:v>
      </x:c>
      <x:c r="F555" s="99" t="n">
        <x:v>11</x:v>
      </x:c>
      <x:c r="G555" s="100" t="n">
        <x:v>34.18443695517976</x:v>
      </x:c>
      <x:c r="H555" s="99"/>
      <x:c r="I555" s="100"/>
      <x:c r="J555" s="99"/>
      <x:c r="K555" s="100"/>
      <x:c r="L555" s="99"/>
      <x:c r="M555" s="100"/>
    </x:row>
    <x:row r="556">
      <x:c r="A556" s="38" t="str">
        <x:v>Q015::B00EHSLAK0_review_4015807</x:v>
      </x:c>
      <x:c r="B556" s="38" t="str">
        <x:v>Q015</x:v>
      </x:c>
      <x:c r="C556" s="38" t="str">
        <x:v>B00EHSLAK0_review_4015807</x:v>
      </x:c>
      <x:c r="D556" s="38" t="str">
        <x:v>B00EHSLAK0</x:v>
      </x:c>
      <x:c r="E556" s="38" t="str">
        <x:v>dense; hybrid_rrf; cross_encoder</x:v>
      </x:c>
      <x:c r="F556" s="99"/>
      <x:c r="G556" s="100"/>
      <x:c r="H556" s="99" t="n">
        <x:v>6</x:v>
      </x:c>
      <x:c r="I556" s="100" t="n">
        <x:v>0.7632554769515991</x:v>
      </x:c>
      <x:c r="J556" s="99" t="n">
        <x:v>11</x:v>
      </x:c>
      <x:c r="K556" s="100" t="n">
        <x:v>0.015151515151515152</x:v>
      </x:c>
      <x:c r="L556" s="99" t="n">
        <x:v>13</x:v>
      </x:c>
      <x:c r="M556" s="100" t="n">
        <x:v>1.3976306915283203</x:v>
      </x:c>
    </x:row>
    <x:row r="557">
      <x:c r="A557" s="38" t="str">
        <x:v>Q015::B00A2ONP2E_review_4093082</x:v>
      </x:c>
      <x:c r="B557" s="38" t="str">
        <x:v>Q015</x:v>
      </x:c>
      <x:c r="C557" s="38" t="str">
        <x:v>B00A2ONP2E_review_4093082</x:v>
      </x:c>
      <x:c r="D557" s="38" t="str">
        <x:v>B00A2ONP2E</x:v>
      </x:c>
      <x:c r="E557" s="38" t="str">
        <x:v>dense; hybrid_rrf; cross_encoder</x:v>
      </x:c>
      <x:c r="F557" s="99"/>
      <x:c r="G557" s="100"/>
      <x:c r="H557" s="99" t="n">
        <x:v>2</x:v>
      </x:c>
      <x:c r="I557" s="100" t="n">
        <x:v>0.7828851342201233</x:v>
      </x:c>
      <x:c r="J557" s="99" t="n">
        <x:v>3</x:v>
      </x:c>
      <x:c r="K557" s="100" t="n">
        <x:v>0.016129032258064516</x:v>
      </x:c>
      <x:c r="L557" s="99" t="n">
        <x:v>17</x:v>
      </x:c>
      <x:c r="M557" s="100" t="n">
        <x:v>-0.5798048377037048</x:v>
      </x:c>
    </x:row>
    <x:row r="558">
      <x:c r="A558" s="38" t="str">
        <x:v>Q015::B000EXHYK2_review_1087656</x:v>
      </x:c>
      <x:c r="B558" s="38" t="str">
        <x:v>Q015</x:v>
      </x:c>
      <x:c r="C558" s="38" t="str">
        <x:v>B000EXHYK2_review_1087656</x:v>
      </x:c>
      <x:c r="D558" s="38" t="str">
        <x:v>B000EXHYK2</x:v>
      </x:c>
      <x:c r="E558" s="38" t="str">
        <x:v>dense</x:v>
      </x:c>
      <x:c r="F558" s="99"/>
      <x:c r="G558" s="100"/>
      <x:c r="H558" s="99" t="n">
        <x:v>15</x:v>
      </x:c>
      <x:c r="I558" s="100" t="n">
        <x:v>0.7574960589408875</x:v>
      </x:c>
      <x:c r="J558" s="99"/>
      <x:c r="K558" s="100"/>
      <x:c r="L558" s="99"/>
      <x:c r="M558" s="100"/>
    </x:row>
    <x:row r="559">
      <x:c r="A559" s="38" t="str">
        <x:v>Q015::B07P67Z2TM_review_3541985</x:v>
      </x:c>
      <x:c r="B559" s="38" t="str">
        <x:v>Q015</x:v>
      </x:c>
      <x:c r="C559" s="38" t="str">
        <x:v>B07P67Z2TM_review_3541985</x:v>
      </x:c>
      <x:c r="D559" s="38" t="str">
        <x:v>B07P67Z2TM</x:v>
      </x:c>
      <x:c r="E559" s="38" t="str">
        <x:v>bm25</x:v>
      </x:c>
      <x:c r="F559" s="99" t="n">
        <x:v>19</x:v>
      </x:c>
      <x:c r="G559" s="100" t="n">
        <x:v>33.23513586733363</x:v>
      </x:c>
      <x:c r="H559" s="99"/>
      <x:c r="I559" s="100"/>
      <x:c r="J559" s="99"/>
      <x:c r="K559" s="100"/>
      <x:c r="L559" s="99"/>
      <x:c r="M559" s="100"/>
    </x:row>
    <x:row r="560">
      <x:c r="A560" s="38" t="str">
        <x:v>Q015::B001AYW91I_review_2908787</x:v>
      </x:c>
      <x:c r="B560" s="38" t="str">
        <x:v>Q015</x:v>
      </x:c>
      <x:c r="C560" s="38" t="str">
        <x:v>B001AYW91I_review_2908787</x:v>
      </x:c>
      <x:c r="D560" s="38" t="str">
        <x:v>B001AYW91I</x:v>
      </x:c>
      <x:c r="E560" s="38" t="str">
        <x:v>bm25; hybrid_rrf; cross_encoder</x:v>
      </x:c>
      <x:c r="F560" s="99" t="n">
        <x:v>1</x:v>
      </x:c>
      <x:c r="G560" s="100" t="n">
        <x:v>45.923800183672405</x:v>
      </x:c>
      <x:c r="H560" s="99"/>
      <x:c r="I560" s="100"/>
      <x:c r="J560" s="99" t="n">
        <x:v>1</x:v>
      </x:c>
      <x:c r="K560" s="100" t="n">
        <x:v>0.01639344262295082</x:v>
      </x:c>
      <x:c r="L560" s="99" t="n">
        <x:v>1</x:v>
      </x:c>
      <x:c r="M560" s="100" t="n">
        <x:v>6.941058158874512</x:v>
      </x:c>
    </x:row>
    <x:row r="561">
      <x:c r="A561" s="38" t="str">
        <x:v>Q015::B00HYMA7GO_review_3895405</x:v>
      </x:c>
      <x:c r="B561" s="38" t="str">
        <x:v>Q015</x:v>
      </x:c>
      <x:c r="C561" s="38" t="str">
        <x:v>B00HYMA7GO_review_3895405</x:v>
      </x:c>
      <x:c r="D561" s="38" t="str">
        <x:v>B00HYMA7GO</x:v>
      </x:c>
      <x:c r="E561" s="38" t="str">
        <x:v>dense</x:v>
      </x:c>
      <x:c r="F561" s="99"/>
      <x:c r="G561" s="100"/>
      <x:c r="H561" s="99" t="n">
        <x:v>12</x:v>
      </x:c>
      <x:c r="I561" s="100" t="n">
        <x:v>0.7580956220626831</x:v>
      </x:c>
      <x:c r="J561" s="99"/>
      <x:c r="K561" s="100"/>
      <x:c r="L561" s="99"/>
      <x:c r="M561" s="100"/>
    </x:row>
    <x:row r="562">
      <x:c r="A562" s="38" t="str">
        <x:v>Q015::B071P2JW8F_review_1602938</x:v>
      </x:c>
      <x:c r="B562" s="38" t="str">
        <x:v>Q015</x:v>
      </x:c>
      <x:c r="C562" s="38" t="str">
        <x:v>B071P2JW8F_review_1602938</x:v>
      </x:c>
      <x:c r="D562" s="38" t="str">
        <x:v>B071P2JW8F</x:v>
      </x:c>
      <x:c r="E562" s="38" t="str">
        <x:v>bm25; hybrid_rrf; cross_encoder</x:v>
      </x:c>
      <x:c r="F562" s="99" t="n">
        <x:v>3</x:v>
      </x:c>
      <x:c r="G562" s="100" t="n">
        <x:v>35.505766217486055</x:v>
      </x:c>
      <x:c r="H562" s="99"/>
      <x:c r="I562" s="100"/>
      <x:c r="J562" s="99" t="n">
        <x:v>6</x:v>
      </x:c>
      <x:c r="K562" s="100" t="n">
        <x:v>0.015873015873015872</x:v>
      </x:c>
      <x:c r="L562" s="99" t="n">
        <x:v>5</x:v>
      </x:c>
      <x:c r="M562" s="100" t="n">
        <x:v>4.799802303314209</x:v>
      </x:c>
    </x:row>
    <x:row r="563">
      <x:c r="A563" s="38" t="str">
        <x:v>Q015::B01C9YDZYW_review_3164578</x:v>
      </x:c>
      <x:c r="B563" s="38" t="str">
        <x:v>Q015</x:v>
      </x:c>
      <x:c r="C563" s="38" t="str">
        <x:v>B01C9YDZYW_review_3164578</x:v>
      </x:c>
      <x:c r="D563" s="38" t="str">
        <x:v>B01C9YDZYW</x:v>
      </x:c>
      <x:c r="E563" s="38" t="str">
        <x:v>bm25; hybrid_rrf; cross_encoder</x:v>
      </x:c>
      <x:c r="F563" s="99" t="n">
        <x:v>8</x:v>
      </x:c>
      <x:c r="G563" s="100" t="n">
        <x:v>34.38906300428098</x:v>
      </x:c>
      <x:c r="H563" s="99"/>
      <x:c r="I563" s="100"/>
      <x:c r="J563" s="99" t="n">
        <x:v>16</x:v>
      </x:c>
      <x:c r="K563" s="100" t="n">
        <x:v>0.014705882352941176</x:v>
      </x:c>
      <x:c r="L563" s="99" t="n">
        <x:v>16</x:v>
      </x:c>
      <x:c r="M563" s="100" t="n">
        <x:v>-0.13680307567119598</x:v>
      </x:c>
    </x:row>
    <x:row r="564">
      <x:c r="A564" s="38" t="str">
        <x:v>Q015::B00009XVM0_review_1290387</x:v>
      </x:c>
      <x:c r="B564" s="38" t="str">
        <x:v>Q015</x:v>
      </x:c>
      <x:c r="C564" s="38" t="str">
        <x:v>B00009XVM0_review_1290387</x:v>
      </x:c>
      <x:c r="D564" s="38" t="str">
        <x:v>B00009XVM0</x:v>
      </x:c>
      <x:c r="E564" s="38" t="str">
        <x:v>bm25</x:v>
      </x:c>
      <x:c r="F564" s="99" t="n">
        <x:v>17</x:v>
      </x:c>
      <x:c r="G564" s="100" t="n">
        <x:v>33.38617299916497</x:v>
      </x:c>
      <x:c r="H564" s="99"/>
      <x:c r="I564" s="100"/>
      <x:c r="J564" s="99"/>
      <x:c r="K564" s="100"/>
      <x:c r="L564" s="99"/>
      <x:c r="M564" s="100"/>
    </x:row>
    <x:row r="565">
      <x:c r="A565" s="38" t="str">
        <x:v>Q015::B000EXM06U_review_3981439</x:v>
      </x:c>
      <x:c r="B565" s="38" t="str">
        <x:v>Q015</x:v>
      </x:c>
      <x:c r="C565" s="38" t="str">
        <x:v>B000EXM06U_review_3981439</x:v>
      </x:c>
      <x:c r="D565" s="38" t="str">
        <x:v>B000EXM06U</x:v>
      </x:c>
      <x:c r="E565" s="38" t="str">
        <x:v>dense</x:v>
      </x:c>
      <x:c r="F565" s="99"/>
      <x:c r="G565" s="100"/>
      <x:c r="H565" s="99" t="n">
        <x:v>17</x:v>
      </x:c>
      <x:c r="I565" s="100" t="n">
        <x:v>0.7574228048324585</x:v>
      </x:c>
      <x:c r="J565" s="99"/>
      <x:c r="K565" s="100"/>
      <x:c r="L565" s="99"/>
      <x:c r="M565" s="100"/>
    </x:row>
    <x:row r="566">
      <x:c r="A566" s="38" t="str">
        <x:v>Q015::B007525SLM_review_825270</x:v>
      </x:c>
      <x:c r="B566" s="38" t="str">
        <x:v>Q015</x:v>
      </x:c>
      <x:c r="C566" s="38" t="str">
        <x:v>B007525SLM_review_825270</x:v>
      </x:c>
      <x:c r="D566" s="38" t="str">
        <x:v>B007525SLM</x:v>
      </x:c>
      <x:c r="E566" s="38" t="str">
        <x:v>bm25; hybrid_rrf; cross_encoder</x:v>
      </x:c>
      <x:c r="F566" s="99" t="n">
        <x:v>4</x:v>
      </x:c>
      <x:c r="G566" s="100" t="n">
        <x:v>35.4155181796761</x:v>
      </x:c>
      <x:c r="H566" s="99"/>
      <x:c r="I566" s="100"/>
      <x:c r="J566" s="99" t="n">
        <x:v>8</x:v>
      </x:c>
      <x:c r="K566" s="100" t="n">
        <x:v>0.015625</x:v>
      </x:c>
      <x:c r="L566" s="99" t="n">
        <x:v>7</x:v>
      </x:c>
      <x:c r="M566" s="100" t="n">
        <x:v>4.515990257263184</x:v>
      </x:c>
    </x:row>
    <x:row r="567">
      <x:c r="A567" s="38" t="str">
        <x:v>Q015::B000LSKBP0_review_2929467</x:v>
      </x:c>
      <x:c r="B567" s="38" t="str">
        <x:v>Q015</x:v>
      </x:c>
      <x:c r="C567" s="38" t="str">
        <x:v>B000LSKBP0_review_2929467</x:v>
      </x:c>
      <x:c r="D567" s="38" t="str">
        <x:v>B000LSKBP0</x:v>
      </x:c>
      <x:c r="E567" s="38" t="str">
        <x:v>dense; hybrid_rrf; cross_encoder</x:v>
      </x:c>
      <x:c r="F567" s="99"/>
      <x:c r="G567" s="100"/>
      <x:c r="H567" s="99" t="n">
        <x:v>10</x:v>
      </x:c>
      <x:c r="I567" s="100" t="n">
        <x:v>0.7587341070175171</x:v>
      </x:c>
      <x:c r="J567" s="99" t="n">
        <x:v>19</x:v>
      </x:c>
      <x:c r="K567" s="100" t="n">
        <x:v>0.014285714285714285</x:v>
      </x:c>
      <x:c r="L567" s="99" t="n">
        <x:v>8</x:v>
      </x:c>
      <x:c r="M567" s="100" t="n">
        <x:v>4.4951910972595215</x:v>
      </x:c>
    </x:row>
    <x:row r="568">
      <x:c r="A568" s="38" t="str">
        <x:v>Q015::B00A2ONSF8_review_1569664</x:v>
      </x:c>
      <x:c r="B568" s="38" t="str">
        <x:v>Q015</x:v>
      </x:c>
      <x:c r="C568" s="38" t="str">
        <x:v>B00A2ONSF8_review_1569664</x:v>
      </x:c>
      <x:c r="D568" s="38" t="str">
        <x:v>B00A2ONSF8</x:v>
      </x:c>
      <x:c r="E568" s="38" t="str">
        <x:v>dense; hybrid_rrf; cross_encoder</x:v>
      </x:c>
      <x:c r="F568" s="99"/>
      <x:c r="G568" s="100"/>
      <x:c r="H568" s="99" t="n">
        <x:v>5</x:v>
      </x:c>
      <x:c r="I568" s="100" t="n">
        <x:v>0.7663285732269287</x:v>
      </x:c>
      <x:c r="J568" s="99" t="n">
        <x:v>9</x:v>
      </x:c>
      <x:c r="K568" s="100" t="n">
        <x:v>0.015384615384615385</x:v>
      </x:c>
      <x:c r="L568" s="99" t="n">
        <x:v>12</x:v>
      </x:c>
      <x:c r="M568" s="100" t="n">
        <x:v>2.2361884117126465</x:v>
      </x:c>
    </x:row>
    <x:row r="569">
      <x:c r="A569" s="38" t="str">
        <x:v>Q015::B01F8L8J3U_review_1798615</x:v>
      </x:c>
      <x:c r="B569" s="38" t="str">
        <x:v>Q015</x:v>
      </x:c>
      <x:c r="C569" s="38" t="str">
        <x:v>B01F8L8J3U_review_1798615</x:v>
      </x:c>
      <x:c r="D569" s="38" t="str">
        <x:v>B01F8L8J3U</x:v>
      </x:c>
      <x:c r="E569" s="38" t="str">
        <x:v>bm25; hybrid_rrf; cross_encoder</x:v>
      </x:c>
      <x:c r="F569" s="99" t="n">
        <x:v>5</x:v>
      </x:c>
      <x:c r="G569" s="100" t="n">
        <x:v>34.82769813381864</x:v>
      </x:c>
      <x:c r="H569" s="99"/>
      <x:c r="I569" s="100"/>
      <x:c r="J569" s="99" t="n">
        <x:v>10</x:v>
      </x:c>
      <x:c r="K569" s="100" t="n">
        <x:v>0.015384615384615385</x:v>
      </x:c>
      <x:c r="L569" s="99" t="n">
        <x:v>15</x:v>
      </x:c>
      <x:c r="M569" s="100" t="n">
        <x:v>-0.09949949383735657</x:v>
      </x:c>
    </x:row>
    <x:row r="570">
      <x:c r="A570" s="38" t="str">
        <x:v>Q015::B00A2ONMQS_review_81167</x:v>
      </x:c>
      <x:c r="B570" s="38" t="str">
        <x:v>Q015</x:v>
      </x:c>
      <x:c r="C570" s="38" t="str">
        <x:v>B00A2ONMQS_review_81167</x:v>
      </x:c>
      <x:c r="D570" s="38" t="str">
        <x:v>B00A2ONMQS</x:v>
      </x:c>
      <x:c r="E570" s="38" t="str">
        <x:v>dense</x:v>
      </x:c>
      <x:c r="F570" s="99"/>
      <x:c r="G570" s="100"/>
      <x:c r="H570" s="99" t="n">
        <x:v>19</x:v>
      </x:c>
      <x:c r="I570" s="100" t="n">
        <x:v>0.7573198080062866</x:v>
      </x:c>
      <x:c r="J570" s="99"/>
      <x:c r="K570" s="100"/>
      <x:c r="L570" s="99"/>
      <x:c r="M570" s="100"/>
    </x:row>
    <x:row r="571">
      <x:c r="A571" s="38" t="str">
        <x:v>Q015::B004USLVM4_review_1126276</x:v>
      </x:c>
      <x:c r="B571" s="38" t="str">
        <x:v>Q015</x:v>
      </x:c>
      <x:c r="C571" s="38" t="str">
        <x:v>B004USLVM4_review_1126276</x:v>
      </x:c>
      <x:c r="D571" s="38" t="str">
        <x:v>B004USLVM4</x:v>
      </x:c>
      <x:c r="E571" s="38" t="str">
        <x:v>bm25</x:v>
      </x:c>
      <x:c r="F571" s="99" t="n">
        <x:v>14</x:v>
      </x:c>
      <x:c r="G571" s="100" t="n">
        <x:v>33.690629462285784</x:v>
      </x:c>
      <x:c r="H571" s="99"/>
      <x:c r="I571" s="100"/>
      <x:c r="J571" s="99"/>
      <x:c r="K571" s="100"/>
      <x:c r="L571" s="99"/>
      <x:c r="M571" s="100"/>
    </x:row>
    <x:row r="572">
      <x:c r="A572" s="38" t="str">
        <x:v>Q015::B00A4H2DRC_review_4111585</x:v>
      </x:c>
      <x:c r="B572" s="38" t="str">
        <x:v>Q015</x:v>
      </x:c>
      <x:c r="C572" s="38" t="str">
        <x:v>B00A4H2DRC_review_4111585</x:v>
      </x:c>
      <x:c r="D572" s="38" t="str">
        <x:v>B00A4H2DRC</x:v>
      </x:c>
      <x:c r="E572" s="38" t="str">
        <x:v>bm25</x:v>
      </x:c>
      <x:c r="F572" s="99" t="n">
        <x:v>18</x:v>
      </x:c>
      <x:c r="G572" s="100" t="n">
        <x:v>33.32227048156016</x:v>
      </x:c>
      <x:c r="H572" s="99"/>
      <x:c r="I572" s="100"/>
      <x:c r="J572" s="99"/>
      <x:c r="K572" s="100"/>
      <x:c r="L572" s="99"/>
      <x:c r="M572" s="100"/>
    </x:row>
    <x:row r="573">
      <x:c r="A573" s="38" t="str">
        <x:v>Q015::B00HYMA7GO_review_3895427</x:v>
      </x:c>
      <x:c r="B573" s="38" t="str">
        <x:v>Q015</x:v>
      </x:c>
      <x:c r="C573" s="38" t="str">
        <x:v>B00HYMA7GO_review_3895427</x:v>
      </x:c>
      <x:c r="D573" s="38" t="str">
        <x:v>B00HYMA7GO</x:v>
      </x:c>
      <x:c r="E573" s="38" t="str">
        <x:v>dense</x:v>
      </x:c>
      <x:c r="F573" s="99"/>
      <x:c r="G573" s="100"/>
      <x:c r="H573" s="99" t="n">
        <x:v>14</x:v>
      </x:c>
      <x:c r="I573" s="100" t="n">
        <x:v>0.7575124502182007</x:v>
      </x:c>
      <x:c r="J573" s="99"/>
      <x:c r="K573" s="100"/>
      <x:c r="L573" s="99"/>
      <x:c r="M573" s="100"/>
    </x:row>
    <x:row r="574">
      <x:c r="A574" s="38" t="str">
        <x:v>Q015::B00AFQZGH6_review_3524678</x:v>
      </x:c>
      <x:c r="B574" s="38" t="str">
        <x:v>Q015</x:v>
      </x:c>
      <x:c r="C574" s="38" t="str">
        <x:v>B00AFQZGH6_review_3524678</x:v>
      </x:c>
      <x:c r="D574" s="38" t="str">
        <x:v>B00AFQZGH6</x:v>
      </x:c>
      <x:c r="E574" s="38" t="str">
        <x:v>bm25; hybrid_rrf; cross_encoder</x:v>
      </x:c>
      <x:c r="F574" s="99" t="n">
        <x:v>10</x:v>
      </x:c>
      <x:c r="G574" s="100" t="n">
        <x:v>34.22660289720173</x:v>
      </x:c>
      <x:c r="H574" s="99"/>
      <x:c r="I574" s="100"/>
      <x:c r="J574" s="99" t="n">
        <x:v>20</x:v>
      </x:c>
      <x:c r="K574" s="100" t="n">
        <x:v>0.014285714285714285</x:v>
      </x:c>
      <x:c r="L574" s="99" t="n">
        <x:v>18</x:v>
      </x:c>
      <x:c r="M574" s="100" t="n">
        <x:v>-1.0201194286346436</x:v>
      </x:c>
    </x:row>
    <x:row r="575">
      <x:c r="A575" s="38" t="str">
        <x:v>Q015::B01HEHP73G_review_4208355</x:v>
      </x:c>
      <x:c r="B575" s="38" t="str">
        <x:v>Q015</x:v>
      </x:c>
      <x:c r="C575" s="38" t="str">
        <x:v>B01HEHP73G_review_4208355</x:v>
      </x:c>
      <x:c r="D575" s="38" t="str">
        <x:v>B01HEHP73G</x:v>
      </x:c>
      <x:c r="E575" s="38" t="str">
        <x:v>dense; hybrid_rrf; cross_encoder</x:v>
      </x:c>
      <x:c r="F575" s="99"/>
      <x:c r="G575" s="100"/>
      <x:c r="H575" s="99" t="n">
        <x:v>7</x:v>
      </x:c>
      <x:c r="I575" s="100" t="n">
        <x:v>0.7627621293067932</x:v>
      </x:c>
      <x:c r="J575" s="99" t="n">
        <x:v>13</x:v>
      </x:c>
      <x:c r="K575" s="100" t="n">
        <x:v>0.014925373134328358</x:v>
      </x:c>
      <x:c r="L575" s="99" t="n">
        <x:v>3</x:v>
      </x:c>
      <x:c r="M575" s="100" t="n">
        <x:v>5.186680793762207</x:v>
      </x:c>
    </x:row>
    <x:row r="576">
      <x:c r="A576" s="38" t="str">
        <x:v>Q015::B000S5EWGU_review_877542</x:v>
      </x:c>
      <x:c r="B576" s="38" t="str">
        <x:v>Q015</x:v>
      </x:c>
      <x:c r="C576" s="38" t="str">
        <x:v>B000S5EWGU_review_877542</x:v>
      </x:c>
      <x:c r="D576" s="38" t="str">
        <x:v>B000S5EWGU</x:v>
      </x:c>
      <x:c r="E576" s="38" t="str">
        <x:v>bm25</x:v>
      </x:c>
      <x:c r="F576" s="99" t="n">
        <x:v>20</x:v>
      </x:c>
      <x:c r="G576" s="100" t="n">
        <x:v>33.185369316587966</x:v>
      </x:c>
      <x:c r="H576" s="99"/>
      <x:c r="I576" s="100"/>
      <x:c r="J576" s="99"/>
      <x:c r="K576" s="100"/>
      <x:c r="L576" s="99"/>
      <x:c r="M576" s="100"/>
    </x:row>
    <x:row r="577">
      <x:c r="A577" s="38" t="str">
        <x:v>Q015::B00EHSL6IG_review_2609333</x:v>
      </x:c>
      <x:c r="B577" s="38" t="str">
        <x:v>Q015</x:v>
      </x:c>
      <x:c r="C577" s="38" t="str">
        <x:v>B00EHSL6IG_review_2609333</x:v>
      </x:c>
      <x:c r="D577" s="38" t="str">
        <x:v>B00EHSL6IG</x:v>
      </x:c>
      <x:c r="E577" s="38" t="str">
        <x:v>dense</x:v>
      </x:c>
      <x:c r="F577" s="99"/>
      <x:c r="G577" s="100"/>
      <x:c r="H577" s="99" t="n">
        <x:v>11</x:v>
      </x:c>
      <x:c r="I577" s="100" t="n">
        <x:v>0.7586283683776855</x:v>
      </x:c>
      <x:c r="J577" s="99"/>
      <x:c r="K577" s="100"/>
      <x:c r="L577" s="99"/>
      <x:c r="M577" s="100"/>
    </x:row>
    <x:row r="578">
      <x:c r="A578" s="38" t="str">
        <x:v>Q015::B07BRP42JK_review_1269344</x:v>
      </x:c>
      <x:c r="B578" s="38" t="str">
        <x:v>Q015</x:v>
      </x:c>
      <x:c r="C578" s="38" t="str">
        <x:v>B07BRP42JK_review_1269344</x:v>
      </x:c>
      <x:c r="D578" s="38" t="str">
        <x:v>B07BRP42JK</x:v>
      </x:c>
      <x:c r="E578" s="38" t="str">
        <x:v>bm25; hybrid_rrf; cross_encoder</x:v>
      </x:c>
      <x:c r="F578" s="99" t="n">
        <x:v>7</x:v>
      </x:c>
      <x:c r="G578" s="100" t="n">
        <x:v>34.751864148826705</x:v>
      </x:c>
      <x:c r="H578" s="99"/>
      <x:c r="I578" s="100"/>
      <x:c r="J578" s="99" t="n">
        <x:v>14</x:v>
      </x:c>
      <x:c r="K578" s="100" t="n">
        <x:v>0.014925373134328358</x:v>
      </x:c>
      <x:c r="L578" s="99" t="n">
        <x:v>11</x:v>
      </x:c>
      <x:c r="M578" s="100" t="n">
        <x:v>2.291764736175537</x:v>
      </x:c>
    </x:row>
    <x:row r="579">
      <x:c r="A579" s="38" t="str">
        <x:v>Q015::B000EXHYJI_review_1661937</x:v>
      </x:c>
      <x:c r="B579" s="38" t="str">
        <x:v>Q015</x:v>
      </x:c>
      <x:c r="C579" s="38" t="str">
        <x:v>B000EXHYJI_review_1661937</x:v>
      </x:c>
      <x:c r="D579" s="38" t="str">
        <x:v>B000EXHYJI</x:v>
      </x:c>
      <x:c r="E579" s="38" t="str">
        <x:v>dense; hybrid_rrf; cross_encoder</x:v>
      </x:c>
      <x:c r="F579" s="99"/>
      <x:c r="G579" s="100"/>
      <x:c r="H579" s="99" t="n">
        <x:v>9</x:v>
      </x:c>
      <x:c r="I579" s="100" t="n">
        <x:v>0.7589703798294067</x:v>
      </x:c>
      <x:c r="J579" s="99" t="n">
        <x:v>17</x:v>
      </x:c>
      <x:c r="K579" s="100" t="n">
        <x:v>0.014492753623188406</x:v>
      </x:c>
      <x:c r="L579" s="99" t="n">
        <x:v>20</x:v>
      </x:c>
      <x:c r="M579" s="100" t="n">
        <x:v>-2.002263069152832</x:v>
      </x:c>
    </x:row>
    <x:row r="580">
      <x:c r="A580" s="38" t="str">
        <x:v>Q015::B008HP9D9O_review_2306889</x:v>
      </x:c>
      <x:c r="B580" s="38" t="str">
        <x:v>Q015</x:v>
      </x:c>
      <x:c r="C580" s="38" t="str">
        <x:v>B008HP9D9O_review_2306889</x:v>
      </x:c>
      <x:c r="D580" s="38" t="str">
        <x:v>B008HP9D9O</x:v>
      </x:c>
      <x:c r="E580" s="38" t="str">
        <x:v>dense</x:v>
      </x:c>
      <x:c r="F580" s="99"/>
      <x:c r="G580" s="100"/>
      <x:c r="H580" s="99" t="n">
        <x:v>16</x:v>
      </x:c>
      <x:c r="I580" s="100" t="n">
        <x:v>0.7574934363365173</x:v>
      </x:c>
      <x:c r="J580" s="99"/>
      <x:c r="K580" s="100"/>
      <x:c r="L580" s="99"/>
      <x:c r="M580" s="100"/>
    </x:row>
    <x:row r="581">
      <x:c r="A581" s="38" t="str">
        <x:v>Q015::B00UJ1L194_review_4242743</x:v>
      </x:c>
      <x:c r="B581" s="38" t="str">
        <x:v>Q015</x:v>
      </x:c>
      <x:c r="C581" s="38" t="str">
        <x:v>B00UJ1L194_review_4242743</x:v>
      </x:c>
      <x:c r="D581" s="38" t="str">
        <x:v>B00UJ1L194</x:v>
      </x:c>
      <x:c r="E581" s="38" t="str">
        <x:v>dense</x:v>
      </x:c>
      <x:c r="F581" s="99"/>
      <x:c r="G581" s="100"/>
      <x:c r="H581" s="99" t="n">
        <x:v>20</x:v>
      </x:c>
      <x:c r="I581" s="100" t="n">
        <x:v>0.7562270760536194</x:v>
      </x:c>
      <x:c r="J581" s="99"/>
      <x:c r="K581" s="100"/>
      <x:c r="L581" s="99"/>
      <x:c r="M581" s="100"/>
    </x:row>
    <x:row r="582">
      <x:c r="A582" s="38" t="str">
        <x:v>Q015::B001H6W798_review_1623162</x:v>
      </x:c>
      <x:c r="B582" s="38" t="str">
        <x:v>Q015</x:v>
      </x:c>
      <x:c r="C582" s="38" t="str">
        <x:v>B001H6W798_review_1623162</x:v>
      </x:c>
      <x:c r="D582" s="38" t="str">
        <x:v>B001H6W798</x:v>
      </x:c>
      <x:c r="E582" s="38" t="str">
        <x:v>dense; hybrid_rrf; cross_encoder</x:v>
      </x:c>
      <x:c r="F582" s="99"/>
      <x:c r="G582" s="100"/>
      <x:c r="H582" s="99" t="n">
        <x:v>4</x:v>
      </x:c>
      <x:c r="I582" s="100" t="n">
        <x:v>0.7663770914077759</x:v>
      </x:c>
      <x:c r="J582" s="99" t="n">
        <x:v>7</x:v>
      </x:c>
      <x:c r="K582" s="100" t="n">
        <x:v>0.015625</x:v>
      </x:c>
      <x:c r="L582" s="99" t="n">
        <x:v>14</x:v>
      </x:c>
      <x:c r="M582" s="100" t="n">
        <x:v>1.3743131160736084</x:v>
      </x:c>
    </x:row>
    <x:row r="583">
      <x:c r="A583" s="38" t="str">
        <x:v>Q015::B008X4ULWW_review_3811856</x:v>
      </x:c>
      <x:c r="B583" s="38" t="str">
        <x:v>Q015</x:v>
      </x:c>
      <x:c r="C583" s="38" t="str">
        <x:v>B008X4ULWW_review_3811856</x:v>
      </x:c>
      <x:c r="D583" s="38" t="str">
        <x:v>B008X4ULWW</x:v>
      </x:c>
      <x:c r="E583" s="38" t="str">
        <x:v>dense; hybrid_rrf; cross_encoder</x:v>
      </x:c>
      <x:c r="F583" s="99"/>
      <x:c r="G583" s="100"/>
      <x:c r="H583" s="99" t="n">
        <x:v>1</x:v>
      </x:c>
      <x:c r="I583" s="100" t="n">
        <x:v>0.7846863865852356</x:v>
      </x:c>
      <x:c r="J583" s="99" t="n">
        <x:v>2</x:v>
      </x:c>
      <x:c r="K583" s="100" t="n">
        <x:v>0.01639344262295082</x:v>
      </x:c>
      <x:c r="L583" s="99" t="n">
        <x:v>2</x:v>
      </x:c>
      <x:c r="M583" s="100" t="n">
        <x:v>5.5196123123168945</x:v>
      </x:c>
    </x:row>
    <x:row r="584">
      <x:c r="A584" s="38" t="str">
        <x:v>Q015::B00EI3RUA8_review_4197289</x:v>
      </x:c>
      <x:c r="B584" s="38" t="str">
        <x:v>Q015</x:v>
      </x:c>
      <x:c r="C584" s="38" t="str">
        <x:v>B00EI3RUA8_review_4197289</x:v>
      </x:c>
      <x:c r="D584" s="38" t="str">
        <x:v>B00EI3RUA8</x:v>
      </x:c>
      <x:c r="E584" s="38" t="str">
        <x:v>bm25</x:v>
      </x:c>
      <x:c r="F584" s="99" t="n">
        <x:v>15</x:v>
      </x:c>
      <x:c r="G584" s="100" t="n">
        <x:v>33.66493454998565</x:v>
      </x:c>
      <x:c r="H584" s="99"/>
      <x:c r="I584" s="100"/>
      <x:c r="J584" s="99"/>
      <x:c r="K584" s="100"/>
      <x:c r="L584" s="99"/>
      <x:c r="M584" s="100"/>
    </x:row>
    <x:row r="585">
      <x:c r="A585" s="38" t="str">
        <x:v>Q015::B00EPCCHL4_review_3732852</x:v>
      </x:c>
      <x:c r="B585" s="38" t="str">
        <x:v>Q015</x:v>
      </x:c>
      <x:c r="C585" s="38" t="str">
        <x:v>B00EPCCHL4_review_3732852</x:v>
      </x:c>
      <x:c r="D585" s="38" t="str">
        <x:v>B00EPCCHL4</x:v>
      </x:c>
      <x:c r="E585" s="38" t="str">
        <x:v>dense</x:v>
      </x:c>
      <x:c r="F585" s="99"/>
      <x:c r="G585" s="100"/>
      <x:c r="H585" s="99" t="n">
        <x:v>18</x:v>
      </x:c>
      <x:c r="I585" s="100" t="n">
        <x:v>0.7573463916778564</x:v>
      </x:c>
      <x:c r="J585" s="99"/>
      <x:c r="K585" s="100"/>
      <x:c r="L585" s="99"/>
      <x:c r="M585" s="100"/>
    </x:row>
    <x:row r="586">
      <x:c r="A586" s="38" t="str">
        <x:v>Q015::B0155YDJTY_review_2298438</x:v>
      </x:c>
      <x:c r="B586" s="38" t="str">
        <x:v>Q015</x:v>
      </x:c>
      <x:c r="C586" s="38" t="str">
        <x:v>B0155YDJTY_review_2298438</x:v>
      </x:c>
      <x:c r="D586" s="38" t="str">
        <x:v>B0155YDJTY</x:v>
      </x:c>
      <x:c r="E586" s="38" t="str">
        <x:v>bm25; hybrid_rrf; cross_encoder</x:v>
      </x:c>
      <x:c r="F586" s="99" t="n">
        <x:v>2</x:v>
      </x:c>
      <x:c r="G586" s="100" t="n">
        <x:v>37.693324762586904</x:v>
      </x:c>
      <x:c r="H586" s="99"/>
      <x:c r="I586" s="100"/>
      <x:c r="J586" s="99" t="n">
        <x:v>4</x:v>
      </x:c>
      <x:c r="K586" s="100" t="n">
        <x:v>0.016129032258064516</x:v>
      </x:c>
      <x:c r="L586" s="99" t="n">
        <x:v>9</x:v>
      </x:c>
      <x:c r="M586" s="100" t="n">
        <x:v>3.897998571395874</x:v>
      </x:c>
    </x:row>
    <x:row r="587">
      <x:c r="A587" s="38" t="str">
        <x:v>Q015::B08BLBZ6TV_review_2129134</x:v>
      </x:c>
      <x:c r="B587" s="38" t="str">
        <x:v>Q015</x:v>
      </x:c>
      <x:c r="C587" s="38" t="str">
        <x:v>B08BLBZ6TV_review_2129134</x:v>
      </x:c>
      <x:c r="D587" s="38" t="str">
        <x:v>B08BLBZ6TV</x:v>
      </x:c>
      <x:c r="E587" s="38" t="str">
        <x:v>bm25</x:v>
      </x:c>
      <x:c r="F587" s="99" t="n">
        <x:v>12</x:v>
      </x:c>
      <x:c r="G587" s="100" t="n">
        <x:v>34.16587286409406</x:v>
      </x:c>
      <x:c r="H587" s="99"/>
      <x:c r="I587" s="100"/>
      <x:c r="J587" s="99"/>
      <x:c r="K587" s="100"/>
      <x:c r="L587" s="99"/>
      <x:c r="M587" s="100"/>
    </x:row>
    <x:row r="588">
      <x:c r="A588" s="38" t="str">
        <x:v>Q015::B00DM1XO98_review_1248078</x:v>
      </x:c>
      <x:c r="B588" s="38" t="str">
        <x:v>Q015</x:v>
      </x:c>
      <x:c r="C588" s="38" t="str">
        <x:v>B00DM1XO98_review_1248078</x:v>
      </x:c>
      <x:c r="D588" s="38" t="str">
        <x:v>B00DM1XO98</x:v>
      </x:c>
      <x:c r="E588" s="38" t="str">
        <x:v>bm25</x:v>
      </x:c>
      <x:c r="F588" s="99" t="n">
        <x:v>13</x:v>
      </x:c>
      <x:c r="G588" s="100" t="n">
        <x:v>33.929283026667704</x:v>
      </x:c>
      <x:c r="H588" s="99"/>
      <x:c r="I588" s="100"/>
      <x:c r="J588" s="99"/>
      <x:c r="K588" s="100"/>
      <x:c r="L588" s="99"/>
      <x:c r="M588" s="100"/>
    </x:row>
    <x:row r="589">
      <x:c r="A589" s="38" t="str">
        <x:v>Q015::B000YA6JA6_review_2733504</x:v>
      </x:c>
      <x:c r="B589" s="38" t="str">
        <x:v>Q015</x:v>
      </x:c>
      <x:c r="C589" s="38" t="str">
        <x:v>B000YA6JA6_review_2733504</x:v>
      </x:c>
      <x:c r="D589" s="38" t="str">
        <x:v>B000YA6JA6</x:v>
      </x:c>
      <x:c r="E589" s="38" t="str">
        <x:v>dense; hybrid_rrf; cross_encoder</x:v>
      </x:c>
      <x:c r="F589" s="99"/>
      <x:c r="G589" s="100"/>
      <x:c r="H589" s="99" t="n">
        <x:v>8</x:v>
      </x:c>
      <x:c r="I589" s="100" t="n">
        <x:v>0.7614464163780212</x:v>
      </x:c>
      <x:c r="J589" s="99" t="n">
        <x:v>15</x:v>
      </x:c>
      <x:c r="K589" s="100" t="n">
        <x:v>0.014705882352941176</x:v>
      </x:c>
      <x:c r="L589" s="99" t="n">
        <x:v>4</x:v>
      </x:c>
      <x:c r="M589" s="100" t="n">
        <x:v>4.803399085998535</x:v>
      </x:c>
    </x:row>
    <x:row r="590">
      <x:c r="A590" s="38" t="str">
        <x:v>Q015::B00BPZCY7G_review_1673136</x:v>
      </x:c>
      <x:c r="B590" s="38" t="str">
        <x:v>Q015</x:v>
      </x:c>
      <x:c r="C590" s="38" t="str">
        <x:v>B00BPZCY7G_review_1673136</x:v>
      </x:c>
      <x:c r="D590" s="38" t="str">
        <x:v>B00BPZCY7G</x:v>
      </x:c>
      <x:c r="E590" s="38" t="str">
        <x:v>bm25</x:v>
      </x:c>
      <x:c r="F590" s="99" t="n">
        <x:v>16</x:v>
      </x:c>
      <x:c r="G590" s="100" t="n">
        <x:v>33.65672548684273</x:v>
      </x:c>
      <x:c r="H590" s="99"/>
      <x:c r="I590" s="100"/>
      <x:c r="J590" s="99"/>
      <x:c r="K590" s="100"/>
      <x:c r="L590" s="99"/>
      <x:c r="M590" s="100"/>
    </x:row>
    <x:row r="591">
      <x:c r="A591" s="38" t="str">
        <x:v>Q015::B0000510YS_review_3052358</x:v>
      </x:c>
      <x:c r="B591" s="38" t="str">
        <x:v>Q015</x:v>
      </x:c>
      <x:c r="C591" s="38" t="str">
        <x:v>B0000510YS_review_3052358</x:v>
      </x:c>
      <x:c r="D591" s="38" t="str">
        <x:v>B0000510YS</x:v>
      </x:c>
      <x:c r="E591" s="38" t="str">
        <x:v>dense; hybrid_rrf; cross_encoder</x:v>
      </x:c>
      <x:c r="F591" s="99"/>
      <x:c r="G591" s="100"/>
      <x:c r="H591" s="99" t="n">
        <x:v>3</x:v>
      </x:c>
      <x:c r="I591" s="100" t="n">
        <x:v>0.7687265276908875</x:v>
      </x:c>
      <x:c r="J591" s="99" t="n">
        <x:v>5</x:v>
      </x:c>
      <x:c r="K591" s="100" t="n">
        <x:v>0.015873015873015872</x:v>
      </x:c>
      <x:c r="L591" s="99" t="n">
        <x:v>10</x:v>
      </x:c>
      <x:c r="M591" s="100" t="n">
        <x:v>2.940537929534912</x:v>
      </x:c>
    </x:row>
    <x:row r="592">
      <x:c r="A592" s="38" t="str">
        <x:v>Q015::B00A2ONPSS_review_2150069</x:v>
      </x:c>
      <x:c r="B592" s="38" t="str">
        <x:v>Q015</x:v>
      </x:c>
      <x:c r="C592" s="38" t="str">
        <x:v>B00A2ONPSS_review_2150069</x:v>
      </x:c>
      <x:c r="D592" s="38" t="str">
        <x:v>B00A2ONPSS</x:v>
      </x:c>
      <x:c r="E592" s="38" t="str">
        <x:v>dense</x:v>
      </x:c>
      <x:c r="F592" s="99"/>
      <x:c r="G592" s="100"/>
      <x:c r="H592" s="99" t="n">
        <x:v>13</x:v>
      </x:c>
      <x:c r="I592" s="100" t="n">
        <x:v>0.7578063011169434</x:v>
      </x:c>
      <x:c r="J592" s="99"/>
      <x:c r="K592" s="100"/>
      <x:c r="L592" s="99"/>
      <x:c r="M592" s="100"/>
    </x:row>
    <x:row r="593">
      <x:c r="A593" s="38" t="str">
        <x:v>Q015::B07C5HLJKF_review_2470294</x:v>
      </x:c>
      <x:c r="B593" s="38" t="str">
        <x:v>Q015</x:v>
      </x:c>
      <x:c r="C593" s="38" t="str">
        <x:v>B07C5HLJKF_review_2470294</x:v>
      </x:c>
      <x:c r="D593" s="38" t="str">
        <x:v>B07C5HLJKF</x:v>
      </x:c>
      <x:c r="E593" s="38" t="str">
        <x:v>bm25; hybrid_rrf; cross_encoder</x:v>
      </x:c>
      <x:c r="F593" s="99" t="n">
        <x:v>6</x:v>
      </x:c>
      <x:c r="G593" s="100" t="n">
        <x:v>34.77059840774699</x:v>
      </x:c>
      <x:c r="H593" s="99"/>
      <x:c r="I593" s="100"/>
      <x:c r="J593" s="99" t="n">
        <x:v>12</x:v>
      </x:c>
      <x:c r="K593" s="100" t="n">
        <x:v>0.015151515151515152</x:v>
      </x:c>
      <x:c r="L593" s="99" t="n">
        <x:v>6</x:v>
      </x:c>
      <x:c r="M593" s="100" t="n">
        <x:v>4.714881896972656</x:v>
      </x:c>
    </x:row>
    <x:row r="594">
      <x:c r="A594" s="38" t="str">
        <x:v>Q016::B009AB6MHU_review_866512</x:v>
      </x:c>
      <x:c r="B594" s="38" t="str">
        <x:v>Q016</x:v>
      </x:c>
      <x:c r="C594" s="38" t="str">
        <x:v>B009AB6MHU_review_866512</x:v>
      </x:c>
      <x:c r="D594" s="38" t="str">
        <x:v>B009AB6MHU</x:v>
      </x:c>
      <x:c r="E594" s="38" t="str">
        <x:v>bm25; hybrid_rrf; cross_encoder</x:v>
      </x:c>
      <x:c r="F594" s="99" t="n">
        <x:v>9</x:v>
      </x:c>
      <x:c r="G594" s="100" t="n">
        <x:v>30.008454424074895</x:v>
      </x:c>
      <x:c r="H594" s="99"/>
      <x:c r="I594" s="100"/>
      <x:c r="J594" s="99" t="n">
        <x:v>18</x:v>
      </x:c>
      <x:c r="K594" s="100" t="n">
        <x:v>0.014492753623188406</x:v>
      </x:c>
      <x:c r="L594" s="99" t="n">
        <x:v>3</x:v>
      </x:c>
      <x:c r="M594" s="100" t="n">
        <x:v>4.526002883911133</x:v>
      </x:c>
    </x:row>
    <x:row r="595">
      <x:c r="A595" s="38" t="str">
        <x:v>Q016::B005T0DXTG_review_1689352</x:v>
      </x:c>
      <x:c r="B595" s="38" t="str">
        <x:v>Q016</x:v>
      </x:c>
      <x:c r="C595" s="38" t="str">
        <x:v>B005T0DXTG_review_1689352</x:v>
      </x:c>
      <x:c r="D595" s="38" t="str">
        <x:v>B005T0DXTG</x:v>
      </x:c>
      <x:c r="E595" s="38" t="str">
        <x:v>bm25</x:v>
      </x:c>
      <x:c r="F595" s="99" t="n">
        <x:v>13</x:v>
      </x:c>
      <x:c r="G595" s="100" t="n">
        <x:v>29.707887796628874</x:v>
      </x:c>
      <x:c r="H595" s="99"/>
      <x:c r="I595" s="100"/>
      <x:c r="J595" s="99"/>
      <x:c r="K595" s="100"/>
      <x:c r="L595" s="99"/>
      <x:c r="M595" s="100"/>
    </x:row>
    <x:row r="596">
      <x:c r="A596" s="38" t="str">
        <x:v>Q016::B095RYKN78_review_3340356</x:v>
      </x:c>
      <x:c r="B596" s="38" t="str">
        <x:v>Q016</x:v>
      </x:c>
      <x:c r="C596" s="38" t="str">
        <x:v>B095RYKN78_review_3340356</x:v>
      </x:c>
      <x:c r="D596" s="38" t="str">
        <x:v>B095RYKN78</x:v>
      </x:c>
      <x:c r="E596" s="38" t="str">
        <x:v>bm25</x:v>
      </x:c>
      <x:c r="F596" s="99" t="n">
        <x:v>15</x:v>
      </x:c>
      <x:c r="G596" s="100" t="n">
        <x:v>29.41947549830317</x:v>
      </x:c>
      <x:c r="H596" s="99"/>
      <x:c r="I596" s="100"/>
      <x:c r="J596" s="99"/>
      <x:c r="K596" s="100"/>
      <x:c r="L596" s="99"/>
      <x:c r="M596" s="100"/>
    </x:row>
    <x:row r="597">
      <x:c r="A597" s="38" t="str">
        <x:v>Q016::B00J9B4FR0_review_540664</x:v>
      </x:c>
      <x:c r="B597" s="38" t="str">
        <x:v>Q016</x:v>
      </x:c>
      <x:c r="C597" s="38" t="str">
        <x:v>B00J9B4FR0_review_540664</x:v>
      </x:c>
      <x:c r="D597" s="38" t="str">
        <x:v>B00J9B4FR0</x:v>
      </x:c>
      <x:c r="E597" s="38" t="str">
        <x:v>bm25</x:v>
      </x:c>
      <x:c r="F597" s="99" t="n">
        <x:v>12</x:v>
      </x:c>
      <x:c r="G597" s="100" t="n">
        <x:v>29.718847938434404</x:v>
      </x:c>
      <x:c r="H597" s="99"/>
      <x:c r="I597" s="100"/>
      <x:c r="J597" s="99"/>
      <x:c r="K597" s="100"/>
      <x:c r="L597" s="99"/>
      <x:c r="M597" s="100"/>
    </x:row>
    <x:row r="598">
      <x:c r="A598" s="38" t="str">
        <x:v>Q016::B06XPFBCDH_review_3760789</x:v>
      </x:c>
      <x:c r="B598" s="38" t="str">
        <x:v>Q016</x:v>
      </x:c>
      <x:c r="C598" s="38" t="str">
        <x:v>B06XPFBCDH_review_3760789</x:v>
      </x:c>
      <x:c r="D598" s="38" t="str">
        <x:v>B06XPFBCDH</x:v>
      </x:c>
      <x:c r="E598" s="38" t="str">
        <x:v>bm25</x:v>
      </x:c>
      <x:c r="F598" s="99" t="n">
        <x:v>14</x:v>
      </x:c>
      <x:c r="G598" s="100" t="n">
        <x:v>29.56566153657076</x:v>
      </x:c>
      <x:c r="H598" s="99"/>
      <x:c r="I598" s="100"/>
      <x:c r="J598" s="99"/>
      <x:c r="K598" s="100"/>
      <x:c r="L598" s="99"/>
      <x:c r="M598" s="100"/>
    </x:row>
    <x:row r="599">
      <x:c r="A599" s="38" t="str">
        <x:v>Q016::B014QE0N8O_review_3516708</x:v>
      </x:c>
      <x:c r="B599" s="38" t="str">
        <x:v>Q016</x:v>
      </x:c>
      <x:c r="C599" s="38" t="str">
        <x:v>B014QE0N8O_review_3516708</x:v>
      </x:c>
      <x:c r="D599" s="38" t="str">
        <x:v>B014QE0N8O</x:v>
      </x:c>
      <x:c r="E599" s="38" t="str">
        <x:v>bm25; hybrid_rrf; cross_encoder</x:v>
      </x:c>
      <x:c r="F599" s="99" t="n">
        <x:v>1</x:v>
      </x:c>
      <x:c r="G599" s="100" t="n">
        <x:v>34.58535529812625</x:v>
      </x:c>
      <x:c r="H599" s="99"/>
      <x:c r="I599" s="100"/>
      <x:c r="J599" s="99" t="n">
        <x:v>2</x:v>
      </x:c>
      <x:c r="K599" s="100" t="n">
        <x:v>0.01639344262295082</x:v>
      </x:c>
      <x:c r="L599" s="99" t="n">
        <x:v>2</x:v>
      </x:c>
      <x:c r="M599" s="100" t="n">
        <x:v>6.439132213592529</x:v>
      </x:c>
    </x:row>
    <x:row r="600">
      <x:c r="A600" s="38" t="str">
        <x:v>Q016::B06XPFBCDH_review_3760787</x:v>
      </x:c>
      <x:c r="B600" s="38" t="str">
        <x:v>Q016</x:v>
      </x:c>
      <x:c r="C600" s="38" t="str">
        <x:v>B06XPFBCDH_review_3760787</x:v>
      </x:c>
      <x:c r="D600" s="38" t="str">
        <x:v>B06XPFBCDH</x:v>
      </x:c>
      <x:c r="E600" s="38" t="str">
        <x:v>bm25; hybrid_rrf; cross_encoder</x:v>
      </x:c>
      <x:c r="F600" s="99" t="n">
        <x:v>2</x:v>
      </x:c>
      <x:c r="G600" s="100" t="n">
        <x:v>32.33793453403742</x:v>
      </x:c>
      <x:c r="H600" s="99"/>
      <x:c r="I600" s="100"/>
      <x:c r="J600" s="99" t="n">
        <x:v>4</x:v>
      </x:c>
      <x:c r="K600" s="100" t="n">
        <x:v>0.016129032258064516</x:v>
      </x:c>
      <x:c r="L600" s="99" t="n">
        <x:v>11</x:v>
      </x:c>
      <x:c r="M600" s="100" t="n">
        <x:v>2.2878055572509766</x:v>
      </x:c>
    </x:row>
    <x:row r="601">
      <x:c r="A601" s="38" t="str">
        <x:v>Q016::B004B1Y8YI_review_2956599</x:v>
      </x:c>
      <x:c r="B601" s="38" t="str">
        <x:v>Q016</x:v>
      </x:c>
      <x:c r="C601" s="38" t="str">
        <x:v>B004B1Y8YI_review_2956599</x:v>
      </x:c>
      <x:c r="D601" s="38" t="str">
        <x:v>B004B1Y8YI</x:v>
      </x:c>
      <x:c r="E601" s="38" t="str">
        <x:v>dense</x:v>
      </x:c>
      <x:c r="F601" s="99"/>
      <x:c r="G601" s="100"/>
      <x:c r="H601" s="99" t="n">
        <x:v>18</x:v>
      </x:c>
      <x:c r="I601" s="100" t="n">
        <x:v>0.6636542081832886</x:v>
      </x:c>
      <x:c r="J601" s="99"/>
      <x:c r="K601" s="100"/>
      <x:c r="L601" s="99"/>
      <x:c r="M601" s="100"/>
    </x:row>
    <x:row r="602">
      <x:c r="A602" s="38" t="str">
        <x:v>Q016::B00GUQXKQY_review_2254816</x:v>
      </x:c>
      <x:c r="B602" s="38" t="str">
        <x:v>Q016</x:v>
      </x:c>
      <x:c r="C602" s="38" t="str">
        <x:v>B00GUQXKQY_review_2254816</x:v>
      </x:c>
      <x:c r="D602" s="38" t="str">
        <x:v>B00GUQXKQY</x:v>
      </x:c>
      <x:c r="E602" s="38" t="str">
        <x:v>dense</x:v>
      </x:c>
      <x:c r="F602" s="99"/>
      <x:c r="G602" s="100"/>
      <x:c r="H602" s="99" t="n">
        <x:v>13</x:v>
      </x:c>
      <x:c r="I602" s="100" t="n">
        <x:v>0.6683880090713501</x:v>
      </x:c>
      <x:c r="J602" s="99"/>
      <x:c r="K602" s="100"/>
      <x:c r="L602" s="99"/>
      <x:c r="M602" s="100"/>
    </x:row>
    <x:row r="603">
      <x:c r="A603" s="38" t="str">
        <x:v>Q016::B00HT6GFX4_review_3781491</x:v>
      </x:c>
      <x:c r="B603" s="38" t="str">
        <x:v>Q016</x:v>
      </x:c>
      <x:c r="C603" s="38" t="str">
        <x:v>B00HT6GFX4_review_3781491</x:v>
      </x:c>
      <x:c r="D603" s="38" t="str">
        <x:v>B00HT6GFX4</x:v>
      </x:c>
      <x:c r="E603" s="38" t="str">
        <x:v>dense; hybrid_rrf; cross_encoder</x:v>
      </x:c>
      <x:c r="F603" s="99"/>
      <x:c r="G603" s="100"/>
      <x:c r="H603" s="99" t="n">
        <x:v>6</x:v>
      </x:c>
      <x:c r="I603" s="100" t="n">
        <x:v>0.6787585020065308</x:v>
      </x:c>
      <x:c r="J603" s="99" t="n">
        <x:v>12</x:v>
      </x:c>
      <x:c r="K603" s="100" t="n">
        <x:v>0.015151515151515152</x:v>
      </x:c>
      <x:c r="L603" s="99" t="n">
        <x:v>20</x:v>
      </x:c>
      <x:c r="M603" s="100" t="n">
        <x:v>-1.6054306030273438</x:v>
      </x:c>
    </x:row>
    <x:row r="604">
      <x:c r="A604" s="38" t="str">
        <x:v>Q016::B00F0ZQX7Y_review_3286605</x:v>
      </x:c>
      <x:c r="B604" s="38" t="str">
        <x:v>Q016</x:v>
      </x:c>
      <x:c r="C604" s="38" t="str">
        <x:v>B00F0ZQX7Y_review_3286605</x:v>
      </x:c>
      <x:c r="D604" s="38" t="str">
        <x:v>B00F0ZQX7Y</x:v>
      </x:c>
      <x:c r="E604" s="38" t="str">
        <x:v>dense</x:v>
      </x:c>
      <x:c r="F604" s="99"/>
      <x:c r="G604" s="100"/>
      <x:c r="H604" s="99" t="n">
        <x:v>12</x:v>
      </x:c>
      <x:c r="I604" s="100" t="n">
        <x:v>0.6697089672088623</x:v>
      </x:c>
      <x:c r="J604" s="99"/>
      <x:c r="K604" s="100"/>
      <x:c r="L604" s="99"/>
      <x:c r="M604" s="100"/>
    </x:row>
    <x:row r="605">
      <x:c r="A605" s="38" t="str">
        <x:v>Q016::B004B1Y8YI_review_2956606</x:v>
      </x:c>
      <x:c r="B605" s="38" t="str">
        <x:v>Q016</x:v>
      </x:c>
      <x:c r="C605" s="38" t="str">
        <x:v>B004B1Y8YI_review_2956606</x:v>
      </x:c>
      <x:c r="D605" s="38" t="str">
        <x:v>B004B1Y8YI</x:v>
      </x:c>
      <x:c r="E605" s="38" t="str">
        <x:v>dense</x:v>
      </x:c>
      <x:c r="F605" s="99"/>
      <x:c r="G605" s="100"/>
      <x:c r="H605" s="99" t="n">
        <x:v>11</x:v>
      </x:c>
      <x:c r="I605" s="100" t="n">
        <x:v>0.6704207062721252</x:v>
      </x:c>
      <x:c r="J605" s="99"/>
      <x:c r="K605" s="100"/>
      <x:c r="L605" s="99"/>
      <x:c r="M605" s="100"/>
    </x:row>
    <x:row r="606">
      <x:c r="A606" s="38" t="str">
        <x:v>Q016::B002NZVCRA_review_2677625</x:v>
      </x:c>
      <x:c r="B606" s="38" t="str">
        <x:v>Q016</x:v>
      </x:c>
      <x:c r="C606" s="38" t="str">
        <x:v>B002NZVCRA_review_2677625</x:v>
      </x:c>
      <x:c r="D606" s="38" t="str">
        <x:v>B002NZVCRA</x:v>
      </x:c>
      <x:c r="E606" s="38" t="str">
        <x:v>bm25</x:v>
      </x:c>
      <x:c r="F606" s="99" t="n">
        <x:v>18</x:v>
      </x:c>
      <x:c r="G606" s="100" t="n">
        <x:v>29.21879021489261</x:v>
      </x:c>
      <x:c r="H606" s="99"/>
      <x:c r="I606" s="100"/>
      <x:c r="J606" s="99"/>
      <x:c r="K606" s="100"/>
      <x:c r="L606" s="99"/>
      <x:c r="M606" s="100"/>
    </x:row>
    <x:row r="607">
      <x:c r="A607" s="38" t="str">
        <x:v>Q016::B00V6AX2IU_review_1633776</x:v>
      </x:c>
      <x:c r="B607" s="38" t="str">
        <x:v>Q016</x:v>
      </x:c>
      <x:c r="C607" s="38" t="str">
        <x:v>B00V6AX2IU_review_1633776</x:v>
      </x:c>
      <x:c r="D607" s="38" t="str">
        <x:v>B00V6AX2IU</x:v>
      </x:c>
      <x:c r="E607" s="38" t="str">
        <x:v>dense; hybrid_rrf; cross_encoder</x:v>
      </x:c>
      <x:c r="F607" s="99"/>
      <x:c r="G607" s="100"/>
      <x:c r="H607" s="99" t="n">
        <x:v>8</x:v>
      </x:c>
      <x:c r="I607" s="100" t="n">
        <x:v>0.6752533316612244</x:v>
      </x:c>
      <x:c r="J607" s="99" t="n">
        <x:v>15</x:v>
      </x:c>
      <x:c r="K607" s="100" t="n">
        <x:v>0.014705882352941176</x:v>
      </x:c>
      <x:c r="L607" s="99" t="n">
        <x:v>12</x:v>
      </x:c>
      <x:c r="M607" s="100" t="n">
        <x:v>2.2662668228149414</x:v>
      </x:c>
    </x:row>
    <x:row r="608">
      <x:c r="A608" s="38" t="str">
        <x:v>Q016::B0BNNFGKSC_review_3713803</x:v>
      </x:c>
      <x:c r="B608" s="38" t="str">
        <x:v>Q016</x:v>
      </x:c>
      <x:c r="C608" s="38" t="str">
        <x:v>B0BNNFGKSC_review_3713803</x:v>
      </x:c>
      <x:c r="D608" s="38" t="str">
        <x:v>B0BNNFGKSC</x:v>
      </x:c>
      <x:c r="E608" s="38" t="str">
        <x:v>bm25; hybrid_rrf; cross_encoder</x:v>
      </x:c>
      <x:c r="F608" s="99" t="n">
        <x:v>4</x:v>
      </x:c>
      <x:c r="G608" s="100" t="n">
        <x:v>31.291993125805966</x:v>
      </x:c>
      <x:c r="H608" s="99"/>
      <x:c r="I608" s="100"/>
      <x:c r="J608" s="99" t="n">
        <x:v>8</x:v>
      </x:c>
      <x:c r="K608" s="100" t="n">
        <x:v>0.015625</x:v>
      </x:c>
      <x:c r="L608" s="99" t="n">
        <x:v>17</x:v>
      </x:c>
      <x:c r="M608" s="100" t="n">
        <x:v>-0.0969674289226532</x:v>
      </x:c>
    </x:row>
    <x:row r="609">
      <x:c r="A609" s="38" t="str">
        <x:v>Q016::B01K6PBSK4_review_971089</x:v>
      </x:c>
      <x:c r="B609" s="38" t="str">
        <x:v>Q016</x:v>
      </x:c>
      <x:c r="C609" s="38" t="str">
        <x:v>B01K6PBSK4_review_971089</x:v>
      </x:c>
      <x:c r="D609" s="38" t="str">
        <x:v>B01K6PBSK4</x:v>
      </x:c>
      <x:c r="E609" s="38" t="str">
        <x:v>dense; hybrid_rrf; cross_encoder</x:v>
      </x:c>
      <x:c r="F609" s="99"/>
      <x:c r="G609" s="100"/>
      <x:c r="H609" s="99" t="n">
        <x:v>2</x:v>
      </x:c>
      <x:c r="I609" s="100" t="n">
        <x:v>0.6872290372848511</x:v>
      </x:c>
      <x:c r="J609" s="99" t="n">
        <x:v>3</x:v>
      </x:c>
      <x:c r="K609" s="100" t="n">
        <x:v>0.016129032258064516</x:v>
      </x:c>
      <x:c r="L609" s="99" t="n">
        <x:v>6</x:v>
      </x:c>
      <x:c r="M609" s="100" t="n">
        <x:v>3.333280563354492</x:v>
      </x:c>
    </x:row>
    <x:row r="610">
      <x:c r="A610" s="38" t="str">
        <x:v>Q016::B00MC1O3P8_review_1301732</x:v>
      </x:c>
      <x:c r="B610" s="38" t="str">
        <x:v>Q016</x:v>
      </x:c>
      <x:c r="C610" s="38" t="str">
        <x:v>B00MC1O3P8_review_1301732</x:v>
      </x:c>
      <x:c r="D610" s="38" t="str">
        <x:v>B00MC1O3P8</x:v>
      </x:c>
      <x:c r="E610" s="38" t="str">
        <x:v>dense</x:v>
      </x:c>
      <x:c r="F610" s="99"/>
      <x:c r="G610" s="100"/>
      <x:c r="H610" s="99" t="n">
        <x:v>16</x:v>
      </x:c>
      <x:c r="I610" s="100" t="n">
        <x:v>0.6664159297943115</x:v>
      </x:c>
      <x:c r="J610" s="99"/>
      <x:c r="K610" s="100"/>
      <x:c r="L610" s="99"/>
      <x:c r="M610" s="100"/>
    </x:row>
    <x:row r="611">
      <x:c r="A611" s="38" t="str">
        <x:v>Q016::B0099I81MI_review_181721</x:v>
      </x:c>
      <x:c r="B611" s="38" t="str">
        <x:v>Q016</x:v>
      </x:c>
      <x:c r="C611" s="38" t="str">
        <x:v>B0099I81MI_review_181721</x:v>
      </x:c>
      <x:c r="D611" s="38" t="str">
        <x:v>B0099I81MI</x:v>
      </x:c>
      <x:c r="E611" s="38" t="str">
        <x:v>dense; hybrid_rrf; cross_encoder</x:v>
      </x:c>
      <x:c r="F611" s="99"/>
      <x:c r="G611" s="100"/>
      <x:c r="H611" s="99" t="n">
        <x:v>9</x:v>
      </x:c>
      <x:c r="I611" s="100" t="n">
        <x:v>0.6742336750030518</x:v>
      </x:c>
      <x:c r="J611" s="99" t="n">
        <x:v>17</x:v>
      </x:c>
      <x:c r="K611" s="100" t="n">
        <x:v>0.014492753623188406</x:v>
      </x:c>
      <x:c r="L611" s="99" t="n">
        <x:v>9</x:v>
      </x:c>
      <x:c r="M611" s="100" t="n">
        <x:v>2.479520082473755</x:v>
      </x:c>
    </x:row>
    <x:row r="612">
      <x:c r="A612" s="38" t="str">
        <x:v>Q016::B00J9B4FR0_review_540668</x:v>
      </x:c>
      <x:c r="B612" s="38" t="str">
        <x:v>Q016</x:v>
      </x:c>
      <x:c r="C612" s="38" t="str">
        <x:v>B00J9B4FR0_review_540668</x:v>
      </x:c>
      <x:c r="D612" s="38" t="str">
        <x:v>B00J9B4FR0</x:v>
      </x:c>
      <x:c r="E612" s="38" t="str">
        <x:v>bm25</x:v>
      </x:c>
      <x:c r="F612" s="99" t="n">
        <x:v>11</x:v>
      </x:c>
      <x:c r="G612" s="100" t="n">
        <x:v>29.740130727388163</x:v>
      </x:c>
      <x:c r="H612" s="99"/>
      <x:c r="I612" s="100"/>
      <x:c r="J612" s="99"/>
      <x:c r="K612" s="100"/>
      <x:c r="L612" s="99"/>
      <x:c r="M612" s="100"/>
    </x:row>
    <x:row r="613">
      <x:c r="A613" s="38" t="str">
        <x:v>Q016::B01ENUVPP6_review_1005167</x:v>
      </x:c>
      <x:c r="B613" s="38" t="str">
        <x:v>Q016</x:v>
      </x:c>
      <x:c r="C613" s="38" t="str">
        <x:v>B01ENUVPP6_review_1005167</x:v>
      </x:c>
      <x:c r="D613" s="38" t="str">
        <x:v>B01ENUVPP6</x:v>
      </x:c>
      <x:c r="E613" s="38" t="str">
        <x:v>bm25; hybrid_rrf; cross_encoder</x:v>
      </x:c>
      <x:c r="F613" s="99" t="n">
        <x:v>5</x:v>
      </x:c>
      <x:c r="G613" s="100" t="n">
        <x:v>30.392097225207305</x:v>
      </x:c>
      <x:c r="H613" s="99"/>
      <x:c r="I613" s="100"/>
      <x:c r="J613" s="99" t="n">
        <x:v>10</x:v>
      </x:c>
      <x:c r="K613" s="100" t="n">
        <x:v>0.015384615384615385</x:v>
      </x:c>
      <x:c r="L613" s="99" t="n">
        <x:v>14</x:v>
      </x:c>
      <x:c r="M613" s="100" t="n">
        <x:v>0.4096144437789917</x:v>
      </x:c>
    </x:row>
    <x:row r="614">
      <x:c r="A614" s="38" t="str">
        <x:v>Q016::B005GME5QM_review_1018253</x:v>
      </x:c>
      <x:c r="B614" s="38" t="str">
        <x:v>Q016</x:v>
      </x:c>
      <x:c r="C614" s="38" t="str">
        <x:v>B005GME5QM_review_1018253</x:v>
      </x:c>
      <x:c r="D614" s="38" t="str">
        <x:v>B005GME5QM</x:v>
      </x:c>
      <x:c r="E614" s="38" t="str">
        <x:v>dense; hybrid_rrf; cross_encoder</x:v>
      </x:c>
      <x:c r="F614" s="99"/>
      <x:c r="G614" s="100"/>
      <x:c r="H614" s="99" t="n">
        <x:v>1</x:v>
      </x:c>
      <x:c r="I614" s="100" t="n">
        <x:v>0.6878478527069092</x:v>
      </x:c>
      <x:c r="J614" s="99" t="n">
        <x:v>1</x:v>
      </x:c>
      <x:c r="K614" s="100" t="n">
        <x:v>0.01639344262295082</x:v>
      </x:c>
      <x:c r="L614" s="99" t="n">
        <x:v>5</x:v>
      </x:c>
      <x:c r="M614" s="100" t="n">
        <x:v>3.8996596336364746</x:v>
      </x:c>
    </x:row>
    <x:row r="615">
      <x:c r="A615" s="38" t="str">
        <x:v>Q016::B00F0ZQXEW_review_2837895</x:v>
      </x:c>
      <x:c r="B615" s="38" t="str">
        <x:v>Q016</x:v>
      </x:c>
      <x:c r="C615" s="38" t="str">
        <x:v>B00F0ZQXEW_review_2837895</x:v>
      </x:c>
      <x:c r="D615" s="38" t="str">
        <x:v>B00F0ZQXEW</x:v>
      </x:c>
      <x:c r="E615" s="38" t="str">
        <x:v>dense</x:v>
      </x:c>
      <x:c r="F615" s="99"/>
      <x:c r="G615" s="100"/>
      <x:c r="H615" s="99" t="n">
        <x:v>19</x:v>
      </x:c>
      <x:c r="I615" s="100" t="n">
        <x:v>0.6630698442459106</x:v>
      </x:c>
      <x:c r="J615" s="99"/>
      <x:c r="K615" s="100"/>
      <x:c r="L615" s="99"/>
      <x:c r="M615" s="100"/>
    </x:row>
    <x:row r="616">
      <x:c r="A616" s="38" t="str">
        <x:v>Q016::B00MXL9APK_review_2103604</x:v>
      </x:c>
      <x:c r="B616" s="38" t="str">
        <x:v>Q016</x:v>
      </x:c>
      <x:c r="C616" s="38" t="str">
        <x:v>B00MXL9APK_review_2103604</x:v>
      </x:c>
      <x:c r="D616" s="38" t="str">
        <x:v>B00MXL9APK</x:v>
      </x:c>
      <x:c r="E616" s="38" t="str">
        <x:v>dense</x:v>
      </x:c>
      <x:c r="F616" s="99"/>
      <x:c r="G616" s="100"/>
      <x:c r="H616" s="99" t="n">
        <x:v>17</x:v>
      </x:c>
      <x:c r="I616" s="100" t="n">
        <x:v>0.6639980673789978</x:v>
      </x:c>
      <x:c r="J616" s="99"/>
      <x:c r="K616" s="100"/>
      <x:c r="L616" s="99"/>
      <x:c r="M616" s="100"/>
    </x:row>
    <x:row r="617">
      <x:c r="A617" s="38" t="str">
        <x:v>Q016::B009ABL586_review_1810592</x:v>
      </x:c>
      <x:c r="B617" s="38" t="str">
        <x:v>Q016</x:v>
      </x:c>
      <x:c r="C617" s="38" t="str">
        <x:v>B009ABL586_review_1810592</x:v>
      </x:c>
      <x:c r="D617" s="38" t="str">
        <x:v>B009ABL586</x:v>
      </x:c>
      <x:c r="E617" s="38" t="str">
        <x:v>dense; hybrid_rrf; cross_encoder</x:v>
      </x:c>
      <x:c r="F617" s="99"/>
      <x:c r="G617" s="100"/>
      <x:c r="H617" s="99" t="n">
        <x:v>4</x:v>
      </x:c>
      <x:c r="I617" s="100" t="n">
        <x:v>0.6809768676757812</x:v>
      </x:c>
      <x:c r="J617" s="99" t="n">
        <x:v>7</x:v>
      </x:c>
      <x:c r="K617" s="100" t="n">
        <x:v>0.015625</x:v>
      </x:c>
      <x:c r="L617" s="99" t="n">
        <x:v>16</x:v>
      </x:c>
      <x:c r="M617" s="100" t="n">
        <x:v>-0.04873395711183548</x:v>
      </x:c>
    </x:row>
    <x:row r="618">
      <x:c r="A618" s="38" t="str">
        <x:v>Q016::B09PVXGS7L_review_2607147</x:v>
      </x:c>
      <x:c r="B618" s="38" t="str">
        <x:v>Q016</x:v>
      </x:c>
      <x:c r="C618" s="38" t="str">
        <x:v>B09PVXGS7L_review_2607147</x:v>
      </x:c>
      <x:c r="D618" s="38" t="str">
        <x:v>B09PVXGS7L</x:v>
      </x:c>
      <x:c r="E618" s="38" t="str">
        <x:v>bm25</x:v>
      </x:c>
      <x:c r="F618" s="99" t="n">
        <x:v>16</x:v>
      </x:c>
      <x:c r="G618" s="100" t="n">
        <x:v>29.411026659726648</x:v>
      </x:c>
      <x:c r="H618" s="99"/>
      <x:c r="I618" s="100"/>
      <x:c r="J618" s="99"/>
      <x:c r="K618" s="100"/>
      <x:c r="L618" s="99"/>
      <x:c r="M618" s="100"/>
    </x:row>
    <x:row r="619">
      <x:c r="A619" s="38" t="str">
        <x:v>Q016::B00MXL9APK_review_2103605</x:v>
      </x:c>
      <x:c r="B619" s="38" t="str">
        <x:v>Q016</x:v>
      </x:c>
      <x:c r="C619" s="38" t="str">
        <x:v>B00MXL9APK_review_2103605</x:v>
      </x:c>
      <x:c r="D619" s="38" t="str">
        <x:v>B00MXL9APK</x:v>
      </x:c>
      <x:c r="E619" s="38" t="str">
        <x:v>dense; hybrid_rrf; cross_encoder</x:v>
      </x:c>
      <x:c r="F619" s="99"/>
      <x:c r="G619" s="100"/>
      <x:c r="H619" s="99" t="n">
        <x:v>10</x:v>
      </x:c>
      <x:c r="I619" s="100" t="n">
        <x:v>0.673541247844696</x:v>
      </x:c>
      <x:c r="J619" s="99" t="n">
        <x:v>20</x:v>
      </x:c>
      <x:c r="K619" s="100" t="n">
        <x:v>0.014285714285714285</x:v>
      </x:c>
      <x:c r="L619" s="99" t="n">
        <x:v>19</x:v>
      </x:c>
      <x:c r="M619" s="100" t="n">
        <x:v>-0.24296152591705322</x:v>
      </x:c>
    </x:row>
    <x:row r="620">
      <x:c r="A620" s="38" t="str">
        <x:v>Q016::B00SVYTR7E_review_2932431</x:v>
      </x:c>
      <x:c r="B620" s="38" t="str">
        <x:v>Q016</x:v>
      </x:c>
      <x:c r="C620" s="38" t="str">
        <x:v>B00SVYTR7E_review_2932431</x:v>
      </x:c>
      <x:c r="D620" s="38" t="str">
        <x:v>B00SVYTR7E</x:v>
      </x:c>
      <x:c r="E620" s="38" t="str">
        <x:v>bm25</x:v>
      </x:c>
      <x:c r="F620" s="99" t="n">
        <x:v>20</x:v>
      </x:c>
      <x:c r="G620" s="100" t="n">
        <x:v>29.093181026348773</x:v>
      </x:c>
      <x:c r="H620" s="99"/>
      <x:c r="I620" s="100"/>
      <x:c r="J620" s="99"/>
      <x:c r="K620" s="100"/>
      <x:c r="L620" s="99"/>
      <x:c r="M620" s="100"/>
    </x:row>
    <x:row r="621">
      <x:c r="A621" s="38" t="str">
        <x:v>Q016::B07BVFTMCC_review_2955002</x:v>
      </x:c>
      <x:c r="B621" s="38" t="str">
        <x:v>Q016</x:v>
      </x:c>
      <x:c r="C621" s="38" t="str">
        <x:v>B07BVFTMCC_review_2955002</x:v>
      </x:c>
      <x:c r="D621" s="38" t="str">
        <x:v>B07BVFTMCC</x:v>
      </x:c>
      <x:c r="E621" s="38" t="str">
        <x:v>bm25</x:v>
      </x:c>
      <x:c r="F621" s="99" t="n">
        <x:v>17</x:v>
      </x:c>
      <x:c r="G621" s="100" t="n">
        <x:v>29.39435252079658</x:v>
      </x:c>
      <x:c r="H621" s="99"/>
      <x:c r="I621" s="100"/>
      <x:c r="J621" s="99"/>
      <x:c r="K621" s="100"/>
      <x:c r="L621" s="99"/>
      <x:c r="M621" s="100"/>
    </x:row>
    <x:row r="622">
      <x:c r="A622" s="38" t="str">
        <x:v>Q016::B00GWQ0B0U_review_2112006</x:v>
      </x:c>
      <x:c r="B622" s="38" t="str">
        <x:v>Q016</x:v>
      </x:c>
      <x:c r="C622" s="38" t="str">
        <x:v>B00GWQ0B0U_review_2112006</x:v>
      </x:c>
      <x:c r="D622" s="38" t="str">
        <x:v>B00GWQ0B0U</x:v>
      </x:c>
      <x:c r="E622" s="38" t="str">
        <x:v>dense; hybrid_rrf; cross_encoder</x:v>
      </x:c>
      <x:c r="F622" s="99"/>
      <x:c r="G622" s="100"/>
      <x:c r="H622" s="99" t="n">
        <x:v>7</x:v>
      </x:c>
      <x:c r="I622" s="100" t="n">
        <x:v>0.6767382621765137</x:v>
      </x:c>
      <x:c r="J622" s="99" t="n">
        <x:v>13</x:v>
      </x:c>
      <x:c r="K622" s="100" t="n">
        <x:v>0.014925373134328358</x:v>
      </x:c>
      <x:c r="L622" s="99" t="n">
        <x:v>7</x:v>
      </x:c>
      <x:c r="M622" s="100" t="n">
        <x:v>3.1050209999084473</x:v>
      </x:c>
    </x:row>
    <x:row r="623">
      <x:c r="A623" s="38" t="str">
        <x:v>Q016::B00DLYOFU8_review_306641</x:v>
      </x:c>
      <x:c r="B623" s="38" t="str">
        <x:v>Q016</x:v>
      </x:c>
      <x:c r="C623" s="38" t="str">
        <x:v>B00DLYOFU8_review_306641</x:v>
      </x:c>
      <x:c r="D623" s="38" t="str">
        <x:v>B00DLYOFU8</x:v>
      </x:c>
      <x:c r="E623" s="38" t="str">
        <x:v>bm25; hybrid_rrf; cross_encoder</x:v>
      </x:c>
      <x:c r="F623" s="99" t="n">
        <x:v>3</x:v>
      </x:c>
      <x:c r="G623" s="100" t="n">
        <x:v>31.950294097593467</x:v>
      </x:c>
      <x:c r="H623" s="99"/>
      <x:c r="I623" s="100"/>
      <x:c r="J623" s="99" t="n">
        <x:v>5</x:v>
      </x:c>
      <x:c r="K623" s="100" t="n">
        <x:v>0.015873015873015872</x:v>
      </x:c>
      <x:c r="L623" s="99" t="n">
        <x:v>18</x:v>
      </x:c>
      <x:c r="M623" s="100" t="n">
        <x:v>-0.1127367615699768</x:v>
      </x:c>
    </x:row>
    <x:row r="624">
      <x:c r="A624" s="38" t="str">
        <x:v>Q016::B00EWHMMJO_review_905266</x:v>
      </x:c>
      <x:c r="B624" s="38" t="str">
        <x:v>Q016</x:v>
      </x:c>
      <x:c r="C624" s="38" t="str">
        <x:v>B00EWHMMJO_review_905266</x:v>
      </x:c>
      <x:c r="D624" s="38" t="str">
        <x:v>B00EWHMMJO</x:v>
      </x:c>
      <x:c r="E624" s="38" t="str">
        <x:v>bm25; hybrid_rrf; cross_encoder</x:v>
      </x:c>
      <x:c r="F624" s="99" t="n">
        <x:v>6</x:v>
      </x:c>
      <x:c r="G624" s="100" t="n">
        <x:v>30.286685848322985</x:v>
      </x:c>
      <x:c r="H624" s="99"/>
      <x:c r="I624" s="100"/>
      <x:c r="J624" s="99" t="n">
        <x:v>11</x:v>
      </x:c>
      <x:c r="K624" s="100" t="n">
        <x:v>0.015151515151515152</x:v>
      </x:c>
      <x:c r="L624" s="99" t="n">
        <x:v>1</x:v>
      </x:c>
      <x:c r="M624" s="100" t="n">
        <x:v>6.701056480407715</x:v>
      </x:c>
    </x:row>
    <x:row r="625">
      <x:c r="A625" s="38" t="str">
        <x:v>Q016::B00Z7STPYM_review_1720825</x:v>
      </x:c>
      <x:c r="B625" s="38" t="str">
        <x:v>Q016</x:v>
      </x:c>
      <x:c r="C625" s="38" t="str">
        <x:v>B00Z7STPYM_review_1720825</x:v>
      </x:c>
      <x:c r="D625" s="38" t="str">
        <x:v>B00Z7STPYM</x:v>
      </x:c>
      <x:c r="E625" s="38" t="str">
        <x:v>dense</x:v>
      </x:c>
      <x:c r="F625" s="99"/>
      <x:c r="G625" s="100"/>
      <x:c r="H625" s="99" t="n">
        <x:v>14</x:v>
      </x:c>
      <x:c r="I625" s="100" t="n">
        <x:v>0.6674072742462158</x:v>
      </x:c>
      <x:c r="J625" s="99"/>
      <x:c r="K625" s="100"/>
      <x:c r="L625" s="99"/>
      <x:c r="M625" s="100"/>
    </x:row>
    <x:row r="626">
      <x:c r="A626" s="38" t="str">
        <x:v>Q016::B0812DR63S_review_199641</x:v>
      </x:c>
      <x:c r="B626" s="38" t="str">
        <x:v>Q016</x:v>
      </x:c>
      <x:c r="C626" s="38" t="str">
        <x:v>B0812DR63S_review_199641</x:v>
      </x:c>
      <x:c r="D626" s="38" t="str">
        <x:v>B0812DR63S</x:v>
      </x:c>
      <x:c r="E626" s="38" t="str">
        <x:v>bm25; hybrid_rrf; cross_encoder</x:v>
      </x:c>
      <x:c r="F626" s="99" t="n">
        <x:v>7</x:v>
      </x:c>
      <x:c r="G626" s="100" t="n">
        <x:v>30.286514831094706</x:v>
      </x:c>
      <x:c r="H626" s="99"/>
      <x:c r="I626" s="100"/>
      <x:c r="J626" s="99" t="n">
        <x:v>14</x:v>
      </x:c>
      <x:c r="K626" s="100" t="n">
        <x:v>0.014925373134328358</x:v>
      </x:c>
      <x:c r="L626" s="99" t="n">
        <x:v>8</x:v>
      </x:c>
      <x:c r="M626" s="100" t="n">
        <x:v>2.7295007705688477</x:v>
      </x:c>
    </x:row>
    <x:row r="627">
      <x:c r="A627" s="38" t="str">
        <x:v>Q016::B00Z7SZUW8_review_2666843</x:v>
      </x:c>
      <x:c r="B627" s="38" t="str">
        <x:v>Q016</x:v>
      </x:c>
      <x:c r="C627" s="38" t="str">
        <x:v>B00Z7SZUW8_review_2666843</x:v>
      </x:c>
      <x:c r="D627" s="38" t="str">
        <x:v>B00Z7SZUW8</x:v>
      </x:c>
      <x:c r="E627" s="38" t="str">
        <x:v>dense</x:v>
      </x:c>
      <x:c r="F627" s="99"/>
      <x:c r="G627" s="100"/>
      <x:c r="H627" s="99" t="n">
        <x:v>20</x:v>
      </x:c>
      <x:c r="I627" s="100" t="n">
        <x:v>0.6629987359046936</x:v>
      </x:c>
      <x:c r="J627" s="99"/>
      <x:c r="K627" s="100"/>
      <x:c r="L627" s="99"/>
      <x:c r="M627" s="100"/>
    </x:row>
    <x:row r="628">
      <x:c r="A628" s="38" t="str">
        <x:v>Q016::B00FG03PWE_review_742440</x:v>
      </x:c>
      <x:c r="B628" s="38" t="str">
        <x:v>Q016</x:v>
      </x:c>
      <x:c r="C628" s="38" t="str">
        <x:v>B00FG03PWE_review_742440</x:v>
      </x:c>
      <x:c r="D628" s="38" t="str">
        <x:v>B00FG03PWE</x:v>
      </x:c>
      <x:c r="E628" s="38" t="str">
        <x:v>dense; hybrid_rrf; cross_encoder</x:v>
      </x:c>
      <x:c r="F628" s="99"/>
      <x:c r="G628" s="100"/>
      <x:c r="H628" s="99" t="n">
        <x:v>3</x:v>
      </x:c>
      <x:c r="I628" s="100" t="n">
        <x:v>0.684140682220459</x:v>
      </x:c>
      <x:c r="J628" s="99" t="n">
        <x:v>6</x:v>
      </x:c>
      <x:c r="K628" s="100" t="n">
        <x:v>0.015873015873015872</x:v>
      </x:c>
      <x:c r="L628" s="99" t="n">
        <x:v>15</x:v>
      </x:c>
      <x:c r="M628" s="100" t="n">
        <x:v>0.13638649880886078</x:v>
      </x:c>
    </x:row>
    <x:row r="629">
      <x:c r="A629" s="38" t="str">
        <x:v>Q016::B004B1Y8YI_review_2956589</x:v>
      </x:c>
      <x:c r="B629" s="38" t="str">
        <x:v>Q016</x:v>
      </x:c>
      <x:c r="C629" s="38" t="str">
        <x:v>B004B1Y8YI_review_2956589</x:v>
      </x:c>
      <x:c r="D629" s="38" t="str">
        <x:v>B004B1Y8YI</x:v>
      </x:c>
      <x:c r="E629" s="38" t="str">
        <x:v>dense</x:v>
      </x:c>
      <x:c r="F629" s="99"/>
      <x:c r="G629" s="100"/>
      <x:c r="H629" s="99" t="n">
        <x:v>15</x:v>
      </x:c>
      <x:c r="I629" s="100" t="n">
        <x:v>0.66697758436203</x:v>
      </x:c>
      <x:c r="J629" s="99"/>
      <x:c r="K629" s="100"/>
      <x:c r="L629" s="99"/>
      <x:c r="M629" s="100"/>
    </x:row>
    <x:row r="630">
      <x:c r="A630" s="38" t="str">
        <x:v>Q016::B06XPFBCDH_review_3760798</x:v>
      </x:c>
      <x:c r="B630" s="38" t="str">
        <x:v>Q016</x:v>
      </x:c>
      <x:c r="C630" s="38" t="str">
        <x:v>B06XPFBCDH_review_3760798</x:v>
      </x:c>
      <x:c r="D630" s="38" t="str">
        <x:v>B06XPFBCDH</x:v>
      </x:c>
      <x:c r="E630" s="38" t="str">
        <x:v>bm25</x:v>
      </x:c>
      <x:c r="F630" s="99" t="n">
        <x:v>19</x:v>
      </x:c>
      <x:c r="G630" s="100" t="n">
        <x:v>29.208638341807216</x:v>
      </x:c>
      <x:c r="H630" s="99"/>
      <x:c r="I630" s="100"/>
      <x:c r="J630" s="99"/>
      <x:c r="K630" s="100"/>
      <x:c r="L630" s="99"/>
      <x:c r="M630" s="100"/>
    </x:row>
    <x:row r="631">
      <x:c r="A631" s="38" t="str">
        <x:v>Q016::B00N28AUK2_review_2255295</x:v>
      </x:c>
      <x:c r="B631" s="38" t="str">
        <x:v>Q016</x:v>
      </x:c>
      <x:c r="C631" s="38" t="str">
        <x:v>B00N28AUK2_review_2255295</x:v>
      </x:c>
      <x:c r="D631" s="38" t="str">
        <x:v>B00N28AUK2</x:v>
      </x:c>
      <x:c r="E631" s="38" t="str">
        <x:v>dense; hybrid_rrf; cross_encoder</x:v>
      </x:c>
      <x:c r="F631" s="99"/>
      <x:c r="G631" s="100"/>
      <x:c r="H631" s="99" t="n">
        <x:v>5</x:v>
      </x:c>
      <x:c r="I631" s="100" t="n">
        <x:v>0.6791645288467407</x:v>
      </x:c>
      <x:c r="J631" s="99" t="n">
        <x:v>9</x:v>
      </x:c>
      <x:c r="K631" s="100" t="n">
        <x:v>0.015384615384615385</x:v>
      </x:c>
      <x:c r="L631" s="99" t="n">
        <x:v>13</x:v>
      </x:c>
      <x:c r="M631" s="100" t="n">
        <x:v>0.7840126752853394</x:v>
      </x:c>
    </x:row>
    <x:row r="632">
      <x:c r="A632" s="38" t="str">
        <x:v>Q016::B0812DR63S_review_199638</x:v>
      </x:c>
      <x:c r="B632" s="38" t="str">
        <x:v>Q016</x:v>
      </x:c>
      <x:c r="C632" s="38" t="str">
        <x:v>B0812DR63S_review_199638</x:v>
      </x:c>
      <x:c r="D632" s="38" t="str">
        <x:v>B0812DR63S</x:v>
      </x:c>
      <x:c r="E632" s="38" t="str">
        <x:v>bm25; hybrid_rrf; cross_encoder</x:v>
      </x:c>
      <x:c r="F632" s="99" t="n">
        <x:v>8</x:v>
      </x:c>
      <x:c r="G632" s="100" t="n">
        <x:v>30.210960071172437</x:v>
      </x:c>
      <x:c r="H632" s="99"/>
      <x:c r="I632" s="100"/>
      <x:c r="J632" s="99" t="n">
        <x:v>16</x:v>
      </x:c>
      <x:c r="K632" s="100" t="n">
        <x:v>0.014705882352941176</x:v>
      </x:c>
      <x:c r="L632" s="99" t="n">
        <x:v>10</x:v>
      </x:c>
      <x:c r="M632" s="100" t="n">
        <x:v>2.454005479812622</x:v>
      </x:c>
    </x:row>
    <x:row r="633">
      <x:c r="A633" s="38" t="str">
        <x:v>Q016::B00GX1R9EA_review_2991520</x:v>
      </x:c>
      <x:c r="B633" s="38" t="str">
        <x:v>Q016</x:v>
      </x:c>
      <x:c r="C633" s="38" t="str">
        <x:v>B00GX1R9EA_review_2991520</x:v>
      </x:c>
      <x:c r="D633" s="38" t="str">
        <x:v>B00GX1R9EA</x:v>
      </x:c>
      <x:c r="E633" s="38" t="str">
        <x:v>bm25; hybrid_rrf; cross_encoder</x:v>
      </x:c>
      <x:c r="F633" s="99" t="n">
        <x:v>10</x:v>
      </x:c>
      <x:c r="G633" s="100" t="n">
        <x:v>29.86145645593963</x:v>
      </x:c>
      <x:c r="H633" s="99"/>
      <x:c r="I633" s="100"/>
      <x:c r="J633" s="99" t="n">
        <x:v>19</x:v>
      </x:c>
      <x:c r="K633" s="100" t="n">
        <x:v>0.014285714285714285</x:v>
      </x:c>
      <x:c r="L633" s="99" t="n">
        <x:v>4</x:v>
      </x:c>
      <x:c r="M633" s="100" t="n">
        <x:v>3.9804625511169434</x:v>
      </x:c>
    </x:row>
    <x:row r="634">
      <x:c r="A634" s="38" t="str">
        <x:v>Q017::B0BZGY3MPS_review_3167090</x:v>
      </x:c>
      <x:c r="B634" s="38" t="str">
        <x:v>Q017</x:v>
      </x:c>
      <x:c r="C634" s="38" t="str">
        <x:v>B0BZGY3MPS_review_3167090</x:v>
      </x:c>
      <x:c r="D634" s="38" t="str">
        <x:v>B0BZGY3MPS</x:v>
      </x:c>
      <x:c r="E634" s="38" t="str">
        <x:v>dense; hybrid_rrf; cross_encoder</x:v>
      </x:c>
      <x:c r="F634" s="99"/>
      <x:c r="G634" s="100"/>
      <x:c r="H634" s="99" t="n">
        <x:v>9</x:v>
      </x:c>
      <x:c r="I634" s="100" t="n">
        <x:v>0.7701336145401001</x:v>
      </x:c>
      <x:c r="J634" s="99" t="n">
        <x:v>18</x:v>
      </x:c>
      <x:c r="K634" s="100" t="n">
        <x:v>0.014492753623188406</x:v>
      </x:c>
      <x:c r="L634" s="99" t="n">
        <x:v>5</x:v>
      </x:c>
      <x:c r="M634" s="100" t="n">
        <x:v>2.5359771251678467</x:v>
      </x:c>
    </x:row>
    <x:row r="635">
      <x:c r="A635" s="38" t="str">
        <x:v>Q017::B0106IS5XY_review_1617573</x:v>
      </x:c>
      <x:c r="B635" s="38" t="str">
        <x:v>Q017</x:v>
      </x:c>
      <x:c r="C635" s="38" t="str">
        <x:v>B0106IS5XY_review_1617573</x:v>
      </x:c>
      <x:c r="D635" s="38" t="str">
        <x:v>B0106IS5XY</x:v>
      </x:c>
      <x:c r="E635" s="38" t="str">
        <x:v>bm25; hybrid_rrf; cross_encoder</x:v>
      </x:c>
      <x:c r="F635" s="99" t="n">
        <x:v>10</x:v>
      </x:c>
      <x:c r="G635" s="100" t="n">
        <x:v>28.7391307516687</x:v>
      </x:c>
      <x:c r="H635" s="99"/>
      <x:c r="I635" s="100"/>
      <x:c r="J635" s="99" t="n">
        <x:v>19</x:v>
      </x:c>
      <x:c r="K635" s="100" t="n">
        <x:v>0.014285714285714285</x:v>
      </x:c>
      <x:c r="L635" s="99" t="n">
        <x:v>16</x:v>
      </x:c>
      <x:c r="M635" s="100" t="n">
        <x:v>-2.0937893390655518</x:v>
      </x:c>
    </x:row>
    <x:row r="636">
      <x:c r="A636" s="38" t="str">
        <x:v>Q017::B07VQJDGX2_review_3626163</x:v>
      </x:c>
      <x:c r="B636" s="38" t="str">
        <x:v>Q017</x:v>
      </x:c>
      <x:c r="C636" s="38" t="str">
        <x:v>B07VQJDGX2_review_3626163</x:v>
      </x:c>
      <x:c r="D636" s="38" t="str">
        <x:v>B07VQJDGX2</x:v>
      </x:c>
      <x:c r="E636" s="38" t="str">
        <x:v>dense; hybrid_rrf; cross_encoder</x:v>
      </x:c>
      <x:c r="F636" s="99"/>
      <x:c r="G636" s="100"/>
      <x:c r="H636" s="99" t="n">
        <x:v>7</x:v>
      </x:c>
      <x:c r="I636" s="100" t="n">
        <x:v>0.7716466188430786</x:v>
      </x:c>
      <x:c r="J636" s="99" t="n">
        <x:v>13</x:v>
      </x:c>
      <x:c r="K636" s="100" t="n">
        <x:v>0.014925373134328358</x:v>
      </x:c>
      <x:c r="L636" s="99" t="n">
        <x:v>12</x:v>
      </x:c>
      <x:c r="M636" s="100" t="n">
        <x:v>0.0005598664283752441</x:v>
      </x:c>
    </x:row>
    <x:row r="637">
      <x:c r="A637" s="38" t="str">
        <x:v>Q017::B0BZGY3MPS_review_3167101</x:v>
      </x:c>
      <x:c r="B637" s="38" t="str">
        <x:v>Q017</x:v>
      </x:c>
      <x:c r="C637" s="38" t="str">
        <x:v>B0BZGY3MPS_review_3167101</x:v>
      </x:c>
      <x:c r="D637" s="38" t="str">
        <x:v>B0BZGY3MPS</x:v>
      </x:c>
      <x:c r="E637" s="38" t="str">
        <x:v>dense</x:v>
      </x:c>
      <x:c r="F637" s="99"/>
      <x:c r="G637" s="100"/>
      <x:c r="H637" s="99" t="n">
        <x:v>14</x:v>
      </x:c>
      <x:c r="I637" s="100" t="n">
        <x:v>0.7685613632202148</x:v>
      </x:c>
      <x:c r="J637" s="99"/>
      <x:c r="K637" s="100"/>
      <x:c r="L637" s="99"/>
      <x:c r="M637" s="100"/>
    </x:row>
    <x:row r="638">
      <x:c r="A638" s="38" t="str">
        <x:v>Q017::B08HRB2W3L_review_332777</x:v>
      </x:c>
      <x:c r="B638" s="38" t="str">
        <x:v>Q017</x:v>
      </x:c>
      <x:c r="C638" s="38" t="str">
        <x:v>B08HRB2W3L_review_332777</x:v>
      </x:c>
      <x:c r="D638" s="38" t="str">
        <x:v>B08HRB2W3L</x:v>
      </x:c>
      <x:c r="E638" s="38" t="str">
        <x:v>bm25; hybrid_rrf; cross_encoder</x:v>
      </x:c>
      <x:c r="F638" s="99" t="n">
        <x:v>5</x:v>
      </x:c>
      <x:c r="G638" s="100" t="n">
        <x:v>30.479214080504036</x:v>
      </x:c>
      <x:c r="H638" s="99"/>
      <x:c r="I638" s="100"/>
      <x:c r="J638" s="99" t="n">
        <x:v>10</x:v>
      </x:c>
      <x:c r="K638" s="100" t="n">
        <x:v>0.015384615384615385</x:v>
      </x:c>
      <x:c r="L638" s="99" t="n">
        <x:v>1</x:v>
      </x:c>
      <x:c r="M638" s="100" t="n">
        <x:v>3.887160301208496</x:v>
      </x:c>
    </x:row>
    <x:row r="639">
      <x:c r="A639" s="38" t="str">
        <x:v>Q017::B00L98FLR4_review_4164089</x:v>
      </x:c>
      <x:c r="B639" s="38" t="str">
        <x:v>Q017</x:v>
      </x:c>
      <x:c r="C639" s="38" t="str">
        <x:v>B00L98FLR4_review_4164089</x:v>
      </x:c>
      <x:c r="D639" s="38" t="str">
        <x:v>B00L98FLR4</x:v>
      </x:c>
      <x:c r="E639" s="38" t="str">
        <x:v>bm25; hybrid_rrf; cross_encoder</x:v>
      </x:c>
      <x:c r="F639" s="99" t="n">
        <x:v>2</x:v>
      </x:c>
      <x:c r="G639" s="100" t="n">
        <x:v>31.63643033687773</x:v>
      </x:c>
      <x:c r="H639" s="99"/>
      <x:c r="I639" s="100"/>
      <x:c r="J639" s="99" t="n">
        <x:v>3</x:v>
      </x:c>
      <x:c r="K639" s="100" t="n">
        <x:v>0.016129032258064516</x:v>
      </x:c>
      <x:c r="L639" s="99" t="n">
        <x:v>20</x:v>
      </x:c>
      <x:c r="M639" s="100" t="n">
        <x:v>-5.412444114685059</x:v>
      </x:c>
    </x:row>
    <x:row r="640">
      <x:c r="A640" s="38" t="str">
        <x:v>Q017::B08HR9H86W_review_2375819</x:v>
      </x:c>
      <x:c r="B640" s="38" t="str">
        <x:v>Q017</x:v>
      </x:c>
      <x:c r="C640" s="38" t="str">
        <x:v>B08HR9H86W_review_2375819</x:v>
      </x:c>
      <x:c r="D640" s="38" t="str">
        <x:v>B08HR9H86W</x:v>
      </x:c>
      <x:c r="E640" s="38" t="str">
        <x:v>bm25</x:v>
      </x:c>
      <x:c r="F640" s="99" t="n">
        <x:v>17</x:v>
      </x:c>
      <x:c r="G640" s="100" t="n">
        <x:v>28.327938316836942</x:v>
      </x:c>
      <x:c r="H640" s="99"/>
      <x:c r="I640" s="100"/>
      <x:c r="J640" s="99"/>
      <x:c r="K640" s="100"/>
      <x:c r="L640" s="99"/>
      <x:c r="M640" s="100"/>
    </x:row>
    <x:row r="641">
      <x:c r="A641" s="38" t="str">
        <x:v>Q017::B00OHR4VXY_review_883099</x:v>
      </x:c>
      <x:c r="B641" s="38" t="str">
        <x:v>Q017</x:v>
      </x:c>
      <x:c r="C641" s="38" t="str">
        <x:v>B00OHR4VXY_review_883099</x:v>
      </x:c>
      <x:c r="D641" s="38" t="str">
        <x:v>B00OHR4VXY</x:v>
      </x:c>
      <x:c r="E641" s="38" t="str">
        <x:v>dense; hybrid_rrf; cross_encoder</x:v>
      </x:c>
      <x:c r="F641" s="99"/>
      <x:c r="G641" s="100"/>
      <x:c r="H641" s="99" t="n">
        <x:v>5</x:v>
      </x:c>
      <x:c r="I641" s="100" t="n">
        <x:v>0.7773082256317139</x:v>
      </x:c>
      <x:c r="J641" s="99" t="n">
        <x:v>9</x:v>
      </x:c>
      <x:c r="K641" s="100" t="n">
        <x:v>0.015384615384615385</x:v>
      </x:c>
      <x:c r="L641" s="99" t="n">
        <x:v>17</x:v>
      </x:c>
      <x:c r="M641" s="100" t="n">
        <x:v>-2.165100336074829</x:v>
      </x:c>
    </x:row>
    <x:row r="642">
      <x:c r="A642" s="38" t="str">
        <x:v>Q017::B0C4JPSG3C_review_1248350</x:v>
      </x:c>
      <x:c r="B642" s="38" t="str">
        <x:v>Q017</x:v>
      </x:c>
      <x:c r="C642" s="38" t="str">
        <x:v>B0C4JPSG3C_review_1248350</x:v>
      </x:c>
      <x:c r="D642" s="38" t="str">
        <x:v>B0C4JPSG3C</x:v>
      </x:c>
      <x:c r="E642" s="38" t="str">
        <x:v>bm25</x:v>
      </x:c>
      <x:c r="F642" s="99" t="n">
        <x:v>15</x:v>
      </x:c>
      <x:c r="G642" s="100" t="n">
        <x:v>28.375828532058378</x:v>
      </x:c>
      <x:c r="H642" s="99"/>
      <x:c r="I642" s="100"/>
      <x:c r="J642" s="99"/>
      <x:c r="K642" s="100"/>
      <x:c r="L642" s="99"/>
      <x:c r="M642" s="100"/>
    </x:row>
    <x:row r="643">
      <x:c r="A643" s="38" t="str">
        <x:v>Q017::B0BZGY3MPS_review_3167055</x:v>
      </x:c>
      <x:c r="B643" s="38" t="str">
        <x:v>Q017</x:v>
      </x:c>
      <x:c r="C643" s="38" t="str">
        <x:v>B0BZGY3MPS_review_3167055</x:v>
      </x:c>
      <x:c r="D643" s="38" t="str">
        <x:v>B0BZGY3MPS</x:v>
      </x:c>
      <x:c r="E643" s="38" t="str">
        <x:v>dense</x:v>
      </x:c>
      <x:c r="F643" s="99"/>
      <x:c r="G643" s="100"/>
      <x:c r="H643" s="99" t="n">
        <x:v>15</x:v>
      </x:c>
      <x:c r="I643" s="100" t="n">
        <x:v>0.7682170867919922</x:v>
      </x:c>
      <x:c r="J643" s="99"/>
      <x:c r="K643" s="100"/>
      <x:c r="L643" s="99"/>
      <x:c r="M643" s="100"/>
    </x:row>
    <x:row r="644">
      <x:c r="A644" s="38" t="str">
        <x:v>Q017::B0BZ44YQZC_spec</x:v>
      </x:c>
      <x:c r="B644" s="38" t="str">
        <x:v>Q017</x:v>
      </x:c>
      <x:c r="C644" s="38" t="str">
        <x:v>B0BZ44YQZC_spec</x:v>
      </x:c>
      <x:c r="D644" s="38" t="str">
        <x:v>B0BZ44YQZC</x:v>
      </x:c>
      <x:c r="E644" s="38" t="str">
        <x:v>dense</x:v>
      </x:c>
      <x:c r="F644" s="99"/>
      <x:c r="G644" s="100"/>
      <x:c r="H644" s="99" t="n">
        <x:v>18</x:v>
      </x:c>
      <x:c r="I644" s="100" t="n">
        <x:v>0.767510712146759</x:v>
      </x:c>
      <x:c r="J644" s="99"/>
      <x:c r="K644" s="100"/>
      <x:c r="L644" s="99"/>
      <x:c r="M644" s="100"/>
    </x:row>
    <x:row r="645">
      <x:c r="A645" s="38" t="str">
        <x:v>Q017::B09R82YNZ1_review_2023512</x:v>
      </x:c>
      <x:c r="B645" s="38" t="str">
        <x:v>Q017</x:v>
      </x:c>
      <x:c r="C645" s="38" t="str">
        <x:v>B09R82YNZ1_review_2023512</x:v>
      </x:c>
      <x:c r="D645" s="38" t="str">
        <x:v>B09R82YNZ1</x:v>
      </x:c>
      <x:c r="E645" s="38" t="str">
        <x:v>bm25; hybrid_rrf; cross_encoder</x:v>
      </x:c>
      <x:c r="F645" s="99" t="n">
        <x:v>3</x:v>
      </x:c>
      <x:c r="G645" s="100" t="n">
        <x:v>31.37607416758486</x:v>
      </x:c>
      <x:c r="H645" s="99"/>
      <x:c r="I645" s="100"/>
      <x:c r="J645" s="99" t="n">
        <x:v>5</x:v>
      </x:c>
      <x:c r="K645" s="100" t="n">
        <x:v>0.015873015873015872</x:v>
      </x:c>
      <x:c r="L645" s="99" t="n">
        <x:v>15</x:v>
      </x:c>
      <x:c r="M645" s="100" t="n">
        <x:v>-1.6279388666152954</x:v>
      </x:c>
    </x:row>
    <x:row r="646">
      <x:c r="A646" s="38" t="str">
        <x:v>Q017::B00YMSOCS2_review_2764982</x:v>
      </x:c>
      <x:c r="B646" s="38" t="str">
        <x:v>Q017</x:v>
      </x:c>
      <x:c r="C646" s="38" t="str">
        <x:v>B00YMSOCS2_review_2764982</x:v>
      </x:c>
      <x:c r="D646" s="38" t="str">
        <x:v>B00YMSOCS2</x:v>
      </x:c>
      <x:c r="E646" s="38" t="str">
        <x:v>bm25</x:v>
      </x:c>
      <x:c r="F646" s="99" t="n">
        <x:v>12</x:v>
      </x:c>
      <x:c r="G646" s="100" t="n">
        <x:v>28.629148672924618</x:v>
      </x:c>
      <x:c r="H646" s="99"/>
      <x:c r="I646" s="100"/>
      <x:c r="J646" s="99"/>
      <x:c r="K646" s="100"/>
      <x:c r="L646" s="99"/>
      <x:c r="M646" s="100"/>
    </x:row>
    <x:row r="647">
      <x:c r="A647" s="38" t="str">
        <x:v>Q017::B09R83DB2K_review_3782443</x:v>
      </x:c>
      <x:c r="B647" s="38" t="str">
        <x:v>Q017</x:v>
      </x:c>
      <x:c r="C647" s="38" t="str">
        <x:v>B09R83DB2K_review_3782443</x:v>
      </x:c>
      <x:c r="D647" s="38" t="str">
        <x:v>B09R83DB2K</x:v>
      </x:c>
      <x:c r="E647" s="38" t="str">
        <x:v>bm25</x:v>
      </x:c>
      <x:c r="F647" s="99" t="n">
        <x:v>19</x:v>
      </x:c>
      <x:c r="G647" s="100" t="n">
        <x:v>27.96504699942134</x:v>
      </x:c>
      <x:c r="H647" s="99"/>
      <x:c r="I647" s="100"/>
      <x:c r="J647" s="99"/>
      <x:c r="K647" s="100"/>
      <x:c r="L647" s="99"/>
      <x:c r="M647" s="100"/>
    </x:row>
    <x:row r="648">
      <x:c r="A648" s="38" t="str">
        <x:v>Q017::B08VJ4WV7G_spec</x:v>
      </x:c>
      <x:c r="B648" s="38" t="str">
        <x:v>Q017</x:v>
      </x:c>
      <x:c r="C648" s="38" t="str">
        <x:v>B08VJ4WV7G_spec</x:v>
      </x:c>
      <x:c r="D648" s="38" t="str">
        <x:v>B08VJ4WV7G</x:v>
      </x:c>
      <x:c r="E648" s="38" t="str">
        <x:v>dense</x:v>
      </x:c>
      <x:c r="F648" s="99"/>
      <x:c r="G648" s="100"/>
      <x:c r="H648" s="99" t="n">
        <x:v>13</x:v>
      </x:c>
      <x:c r="I648" s="100" t="n">
        <x:v>0.7689748406410217</x:v>
      </x:c>
      <x:c r="J648" s="99"/>
      <x:c r="K648" s="100"/>
      <x:c r="L648" s="99"/>
      <x:c r="M648" s="100"/>
    </x:row>
    <x:row r="649">
      <x:c r="A649" s="38" t="str">
        <x:v>Q017::B076X2C4Y3_review_3630656</x:v>
      </x:c>
      <x:c r="B649" s="38" t="str">
        <x:v>Q017</x:v>
      </x:c>
      <x:c r="C649" s="38" t="str">
        <x:v>B076X2C4Y3_review_3630656</x:v>
      </x:c>
      <x:c r="D649" s="38" t="str">
        <x:v>B076X2C4Y3</x:v>
      </x:c>
      <x:c r="E649" s="38" t="str">
        <x:v>bm25</x:v>
      </x:c>
      <x:c r="F649" s="99" t="n">
        <x:v>18</x:v>
      </x:c>
      <x:c r="G649" s="100" t="n">
        <x:v>28.137640446696103</x:v>
      </x:c>
      <x:c r="H649" s="99"/>
      <x:c r="I649" s="100"/>
      <x:c r="J649" s="99"/>
      <x:c r="K649" s="100"/>
      <x:c r="L649" s="99"/>
      <x:c r="M649" s="100"/>
    </x:row>
    <x:row r="650">
      <x:c r="A650" s="38" t="str">
        <x:v>Q017::B0BZGY3MPS_review_3167059</x:v>
      </x:c>
      <x:c r="B650" s="38" t="str">
        <x:v>Q017</x:v>
      </x:c>
      <x:c r="C650" s="38" t="str">
        <x:v>B0BZGY3MPS_review_3167059</x:v>
      </x:c>
      <x:c r="D650" s="38" t="str">
        <x:v>B0BZGY3MPS</x:v>
      </x:c>
      <x:c r="E650" s="38" t="str">
        <x:v>dense; hybrid_rrf; cross_encoder</x:v>
      </x:c>
      <x:c r="F650" s="99"/>
      <x:c r="G650" s="100"/>
      <x:c r="H650" s="99" t="n">
        <x:v>8</x:v>
      </x:c>
      <x:c r="I650" s="100" t="n">
        <x:v>0.7709227204322815</x:v>
      </x:c>
      <x:c r="J650" s="99" t="n">
        <x:v>16</x:v>
      </x:c>
      <x:c r="K650" s="100" t="n">
        <x:v>0.014705882352941176</x:v>
      </x:c>
      <x:c r="L650" s="99" t="n">
        <x:v>2</x:v>
      </x:c>
      <x:c r="M650" s="100" t="n">
        <x:v>3.390723943710327</x:v>
      </x:c>
    </x:row>
    <x:row r="651">
      <x:c r="A651" s="38" t="str">
        <x:v>Q017::B07W7YBBVQ_review_783085</x:v>
      </x:c>
      <x:c r="B651" s="38" t="str">
        <x:v>Q017</x:v>
      </x:c>
      <x:c r="C651" s="38" t="str">
        <x:v>B07W7YBBVQ_review_783085</x:v>
      </x:c>
      <x:c r="D651" s="38" t="str">
        <x:v>B07W7YBBVQ</x:v>
      </x:c>
      <x:c r="E651" s="38" t="str">
        <x:v>bm25; hybrid_rrf; cross_encoder</x:v>
      </x:c>
      <x:c r="F651" s="99" t="n">
        <x:v>7</x:v>
      </x:c>
      <x:c r="G651" s="100" t="n">
        <x:v>29.960626866597277</x:v>
      </x:c>
      <x:c r="H651" s="99"/>
      <x:c r="I651" s="100"/>
      <x:c r="J651" s="99" t="n">
        <x:v>14</x:v>
      </x:c>
      <x:c r="K651" s="100" t="n">
        <x:v>0.014925373134328358</x:v>
      </x:c>
      <x:c r="L651" s="99" t="n">
        <x:v>3</x:v>
      </x:c>
      <x:c r="M651" s="100" t="n">
        <x:v>3.0290169715881348</x:v>
      </x:c>
    </x:row>
    <x:row r="652">
      <x:c r="A652" s="38" t="str">
        <x:v>Q017::B0106IS5XY_review_1617618</x:v>
      </x:c>
      <x:c r="B652" s="38" t="str">
        <x:v>Q017</x:v>
      </x:c>
      <x:c r="C652" s="38" t="str">
        <x:v>B0106IS5XY_review_1617618</x:v>
      </x:c>
      <x:c r="D652" s="38" t="str">
        <x:v>B0106IS5XY</x:v>
      </x:c>
      <x:c r="E652" s="38" t="str">
        <x:v>bm25</x:v>
      </x:c>
      <x:c r="F652" s="99" t="n">
        <x:v>11</x:v>
      </x:c>
      <x:c r="G652" s="100" t="n">
        <x:v>28.733784530067652</x:v>
      </x:c>
      <x:c r="H652" s="99"/>
      <x:c r="I652" s="100"/>
      <x:c r="J652" s="99"/>
      <x:c r="K652" s="100"/>
      <x:c r="L652" s="99"/>
      <x:c r="M652" s="100"/>
    </x:row>
    <x:row r="653">
      <x:c r="A653" s="38" t="str">
        <x:v>Q017::B08PV1BTMY_spec</x:v>
      </x:c>
      <x:c r="B653" s="38" t="str">
        <x:v>Q017</x:v>
      </x:c>
      <x:c r="C653" s="38" t="str">
        <x:v>B08PV1BTMY_spec</x:v>
      </x:c>
      <x:c r="D653" s="38" t="str">
        <x:v>B08PV1BTMY</x:v>
      </x:c>
      <x:c r="E653" s="38" t="str">
        <x:v>dense; hybrid_rrf; cross_encoder</x:v>
      </x:c>
      <x:c r="F653" s="99"/>
      <x:c r="G653" s="100"/>
      <x:c r="H653" s="99" t="n">
        <x:v>1</x:v>
      </x:c>
      <x:c r="I653" s="100" t="n">
        <x:v>0.7816442847251892</x:v>
      </x:c>
      <x:c r="J653" s="99" t="n">
        <x:v>2</x:v>
      </x:c>
      <x:c r="K653" s="100" t="n">
        <x:v>0.01639344262295082</x:v>
      </x:c>
      <x:c r="L653" s="99" t="n">
        <x:v>10</x:v>
      </x:c>
      <x:c r="M653" s="100" t="n">
        <x:v>0.6976622939109802</x:v>
      </x:c>
    </x:row>
    <x:row r="654">
      <x:c r="A654" s="38" t="str">
        <x:v>Q017::B01A70YMK6_review_2633662</x:v>
      </x:c>
      <x:c r="B654" s="38" t="str">
        <x:v>Q017</x:v>
      </x:c>
      <x:c r="C654" s="38" t="str">
        <x:v>B01A70YMK6_review_2633662</x:v>
      </x:c>
      <x:c r="D654" s="38" t="str">
        <x:v>B01A70YMK6</x:v>
      </x:c>
      <x:c r="E654" s="38" t="str">
        <x:v>bm25; hybrid_rrf; cross_encoder</x:v>
      </x:c>
      <x:c r="F654" s="99" t="n">
        <x:v>8</x:v>
      </x:c>
      <x:c r="G654" s="100" t="n">
        <x:v>29.272203032652452</x:v>
      </x:c>
      <x:c r="H654" s="99"/>
      <x:c r="I654" s="100"/>
      <x:c r="J654" s="99" t="n">
        <x:v>15</x:v>
      </x:c>
      <x:c r="K654" s="100" t="n">
        <x:v>0.014705882352941176</x:v>
      </x:c>
      <x:c r="L654" s="99" t="n">
        <x:v>18</x:v>
      </x:c>
      <x:c r="M654" s="100" t="n">
        <x:v>-2.9848861694335938</x:v>
      </x:c>
    </x:row>
    <x:row r="655">
      <x:c r="A655" s="38" t="str">
        <x:v>Q017::B0BJQ3MJW3_review_1836146</x:v>
      </x:c>
      <x:c r="B655" s="38" t="str">
        <x:v>Q017</x:v>
      </x:c>
      <x:c r="C655" s="38" t="str">
        <x:v>B0BJQ3MJW3_review_1836146</x:v>
      </x:c>
      <x:c r="D655" s="38" t="str">
        <x:v>B0BJQ3MJW3</x:v>
      </x:c>
      <x:c r="E655" s="38" t="str">
        <x:v>bm25</x:v>
      </x:c>
      <x:c r="F655" s="99" t="n">
        <x:v>20</x:v>
      </x:c>
      <x:c r="G655" s="100" t="n">
        <x:v>27.68557844304847</x:v>
      </x:c>
      <x:c r="H655" s="99"/>
      <x:c r="I655" s="100"/>
      <x:c r="J655" s="99"/>
      <x:c r="K655" s="100"/>
      <x:c r="L655" s="99"/>
      <x:c r="M655" s="100"/>
    </x:row>
    <x:row r="656">
      <x:c r="A656" s="38" t="str">
        <x:v>Q017::B00HWL9BQ4_review_4170190</x:v>
      </x:c>
      <x:c r="B656" s="38" t="str">
        <x:v>Q017</x:v>
      </x:c>
      <x:c r="C656" s="38" t="str">
        <x:v>B00HWL9BQ4_review_4170190</x:v>
      </x:c>
      <x:c r="D656" s="38" t="str">
        <x:v>B00HWL9BQ4</x:v>
      </x:c>
      <x:c r="E656" s="38" t="str">
        <x:v>bm25; hybrid_rrf; cross_encoder</x:v>
      </x:c>
      <x:c r="F656" s="99" t="n">
        <x:v>1</x:v>
      </x:c>
      <x:c r="G656" s="100" t="n">
        <x:v>32.32368468546867</x:v>
      </x:c>
      <x:c r="H656" s="99"/>
      <x:c r="I656" s="100"/>
      <x:c r="J656" s="99" t="n">
        <x:v>1</x:v>
      </x:c>
      <x:c r="K656" s="100" t="n">
        <x:v>0.01639344262295082</x:v>
      </x:c>
      <x:c r="L656" s="99" t="n">
        <x:v>13</x:v>
      </x:c>
      <x:c r="M656" s="100" t="n">
        <x:v>-0.12973985075950623</x:v>
      </x:c>
    </x:row>
    <x:row r="657">
      <x:c r="A657" s="38" t="str">
        <x:v>Q017::B082W13N82_review_3823345</x:v>
      </x:c>
      <x:c r="B657" s="38" t="str">
        <x:v>Q017</x:v>
      </x:c>
      <x:c r="C657" s="38" t="str">
        <x:v>B082W13N82_review_3823345</x:v>
      </x:c>
      <x:c r="D657" s="38" t="str">
        <x:v>B082W13N82</x:v>
      </x:c>
      <x:c r="E657" s="38" t="str">
        <x:v>dense</x:v>
      </x:c>
      <x:c r="F657" s="99"/>
      <x:c r="G657" s="100"/>
      <x:c r="H657" s="99" t="n">
        <x:v>11</x:v>
      </x:c>
      <x:c r="I657" s="100" t="n">
        <x:v>0.7691882848739624</x:v>
      </x:c>
      <x:c r="J657" s="99"/>
      <x:c r="K657" s="100"/>
      <x:c r="L657" s="99"/>
      <x:c r="M657" s="100"/>
    </x:row>
    <x:row r="658">
      <x:c r="A658" s="38" t="str">
        <x:v>Q017::B0BZGY3MPS_review_3167113</x:v>
      </x:c>
      <x:c r="B658" s="38" t="str">
        <x:v>Q017</x:v>
      </x:c>
      <x:c r="C658" s="38" t="str">
        <x:v>B0BZGY3MPS_review_3167113</x:v>
      </x:c>
      <x:c r="D658" s="38" t="str">
        <x:v>B0BZGY3MPS</x:v>
      </x:c>
      <x:c r="E658" s="38" t="str">
        <x:v>dense</x:v>
      </x:c>
      <x:c r="F658" s="99"/>
      <x:c r="G658" s="100"/>
      <x:c r="H658" s="99" t="n">
        <x:v>20</x:v>
      </x:c>
      <x:c r="I658" s="100" t="n">
        <x:v>0.7669832706451416</x:v>
      </x:c>
      <x:c r="J658" s="99"/>
      <x:c r="K658" s="100"/>
      <x:c r="L658" s="99"/>
      <x:c r="M658" s="100"/>
    </x:row>
    <x:row r="659">
      <x:c r="A659" s="38" t="str">
        <x:v>Q017::B0BZGY3MPS_review_3167102</x:v>
      </x:c>
      <x:c r="B659" s="38" t="str">
        <x:v>Q017</x:v>
      </x:c>
      <x:c r="C659" s="38" t="str">
        <x:v>B0BZGY3MPS_review_3167102</x:v>
      </x:c>
      <x:c r="D659" s="38" t="str">
        <x:v>B0BZGY3MPS</x:v>
      </x:c>
      <x:c r="E659" s="38" t="str">
        <x:v>dense</x:v>
      </x:c>
      <x:c r="F659" s="99"/>
      <x:c r="G659" s="100"/>
      <x:c r="H659" s="99" t="n">
        <x:v>16</x:v>
      </x:c>
      <x:c r="I659" s="100" t="n">
        <x:v>0.7681562900543213</x:v>
      </x:c>
      <x:c r="J659" s="99"/>
      <x:c r="K659" s="100"/>
      <x:c r="L659" s="99"/>
      <x:c r="M659" s="100"/>
    </x:row>
    <x:row r="660">
      <x:c r="A660" s="38" t="str">
        <x:v>Q017::B08GHG59NT_review_1465820</x:v>
      </x:c>
      <x:c r="B660" s="38" t="str">
        <x:v>Q017</x:v>
      </x:c>
      <x:c r="C660" s="38" t="str">
        <x:v>B08GHG59NT_review_1465820</x:v>
      </x:c>
      <x:c r="D660" s="38" t="str">
        <x:v>B08GHG59NT</x:v>
      </x:c>
      <x:c r="E660" s="38" t="str">
        <x:v>dense</x:v>
      </x:c>
      <x:c r="F660" s="99"/>
      <x:c r="G660" s="100"/>
      <x:c r="H660" s="99" t="n">
        <x:v>19</x:v>
      </x:c>
      <x:c r="I660" s="100" t="n">
        <x:v>0.7672099471092224</x:v>
      </x:c>
      <x:c r="J660" s="99"/>
      <x:c r="K660" s="100"/>
      <x:c r="L660" s="99"/>
      <x:c r="M660" s="100"/>
    </x:row>
    <x:row r="661">
      <x:c r="A661" s="38" t="str">
        <x:v>Q017::B011TTBX7Y_review_1780717</x:v>
      </x:c>
      <x:c r="B661" s="38" t="str">
        <x:v>Q017</x:v>
      </x:c>
      <x:c r="C661" s="38" t="str">
        <x:v>B011TTBX7Y_review_1780717</x:v>
      </x:c>
      <x:c r="D661" s="38" t="str">
        <x:v>B011TTBX7Y</x:v>
      </x:c>
      <x:c r="E661" s="38" t="str">
        <x:v>dense; hybrid_rrf; cross_encoder</x:v>
      </x:c>
      <x:c r="F661" s="99"/>
      <x:c r="G661" s="100"/>
      <x:c r="H661" s="99" t="n">
        <x:v>10</x:v>
      </x:c>
      <x:c r="I661" s="100" t="n">
        <x:v>0.7698239684104919</x:v>
      </x:c>
      <x:c r="J661" s="99" t="n">
        <x:v>20</x:v>
      </x:c>
      <x:c r="K661" s="100" t="n">
        <x:v>0.014285714285714285</x:v>
      </x:c>
      <x:c r="L661" s="99" t="n">
        <x:v>11</x:v>
      </x:c>
      <x:c r="M661" s="100" t="n">
        <x:v>0.5640745162963867</x:v>
      </x:c>
    </x:row>
    <x:row r="662">
      <x:c r="A662" s="38" t="str">
        <x:v>Q017::B08XM18CYZ_spec</x:v>
      </x:c>
      <x:c r="B662" s="38" t="str">
        <x:v>Q017</x:v>
      </x:c>
      <x:c r="C662" s="38" t="str">
        <x:v>B08XM18CYZ_spec</x:v>
      </x:c>
      <x:c r="D662" s="38" t="str">
        <x:v>B08XM18CYZ</x:v>
      </x:c>
      <x:c r="E662" s="38" t="str">
        <x:v>dense; hybrid_rrf; cross_encoder</x:v>
      </x:c>
      <x:c r="F662" s="99"/>
      <x:c r="G662" s="100"/>
      <x:c r="H662" s="99" t="n">
        <x:v>4</x:v>
      </x:c>
      <x:c r="I662" s="100" t="n">
        <x:v>0.7785552740097046</x:v>
      </x:c>
      <x:c r="J662" s="99" t="n">
        <x:v>8</x:v>
      </x:c>
      <x:c r="K662" s="100" t="n">
        <x:v>0.015625</x:v>
      </x:c>
      <x:c r="L662" s="99" t="n">
        <x:v>8</x:v>
      </x:c>
      <x:c r="M662" s="100" t="n">
        <x:v>1.2586170434951782</x:v>
      </x:c>
    </x:row>
    <x:row r="663">
      <x:c r="A663" s="38" t="str">
        <x:v>Q017::B0023B139G_review_2850947</x:v>
      </x:c>
      <x:c r="B663" s="38" t="str">
        <x:v>Q017</x:v>
      </x:c>
      <x:c r="C663" s="38" t="str">
        <x:v>B0023B139G_review_2850947</x:v>
      </x:c>
      <x:c r="D663" s="38" t="str">
        <x:v>B0023B139G</x:v>
      </x:c>
      <x:c r="E663" s="38" t="str">
        <x:v>bm25</x:v>
      </x:c>
      <x:c r="F663" s="99" t="n">
        <x:v>13</x:v>
      </x:c>
      <x:c r="G663" s="100" t="n">
        <x:v>28.619103058044455</x:v>
      </x:c>
      <x:c r="H663" s="99"/>
      <x:c r="I663" s="100"/>
      <x:c r="J663" s="99"/>
      <x:c r="K663" s="100"/>
      <x:c r="L663" s="99"/>
      <x:c r="M663" s="100"/>
    </x:row>
    <x:row r="664">
      <x:c r="A664" s="38" t="str">
        <x:v>Q017::B0BZGY3MPS_review_3167057</x:v>
      </x:c>
      <x:c r="B664" s="38" t="str">
        <x:v>Q017</x:v>
      </x:c>
      <x:c r="C664" s="38" t="str">
        <x:v>B0BZGY3MPS_review_3167057</x:v>
      </x:c>
      <x:c r="D664" s="38" t="str">
        <x:v>B0BZGY3MPS</x:v>
      </x:c>
      <x:c r="E664" s="38" t="str">
        <x:v>dense; hybrid_rrf; cross_encoder</x:v>
      </x:c>
      <x:c r="F664" s="99"/>
      <x:c r="G664" s="100"/>
      <x:c r="H664" s="99" t="n">
        <x:v>3</x:v>
      </x:c>
      <x:c r="I664" s="100" t="n">
        <x:v>0.778922438621521</x:v>
      </x:c>
      <x:c r="J664" s="99" t="n">
        <x:v>6</x:v>
      </x:c>
      <x:c r="K664" s="100" t="n">
        <x:v>0.015873015873015872</x:v>
      </x:c>
      <x:c r="L664" s="99" t="n">
        <x:v>7</x:v>
      </x:c>
      <x:c r="M664" s="100" t="n">
        <x:v>2.2552437782287598</x:v>
      </x:c>
    </x:row>
    <x:row r="665">
      <x:c r="A665" s="38" t="str">
        <x:v>Q017::B07MR28CY6_review_2471903</x:v>
      </x:c>
      <x:c r="B665" s="38" t="str">
        <x:v>Q017</x:v>
      </x:c>
      <x:c r="C665" s="38" t="str">
        <x:v>B07MR28CY6_review_2471903</x:v>
      </x:c>
      <x:c r="D665" s="38" t="str">
        <x:v>B07MR28CY6</x:v>
      </x:c>
      <x:c r="E665" s="38" t="str">
        <x:v>dense; hybrid_rrf; cross_encoder</x:v>
      </x:c>
      <x:c r="F665" s="99"/>
      <x:c r="G665" s="100"/>
      <x:c r="H665" s="99" t="n">
        <x:v>2</x:v>
      </x:c>
      <x:c r="I665" s="100" t="n">
        <x:v>0.7811470031738281</x:v>
      </x:c>
      <x:c r="J665" s="99" t="n">
        <x:v>4</x:v>
      </x:c>
      <x:c r="K665" s="100" t="n">
        <x:v>0.016129032258064516</x:v>
      </x:c>
      <x:c r="L665" s="99" t="n">
        <x:v>6</x:v>
      </x:c>
      <x:c r="M665" s="100" t="n">
        <x:v>2.4006636142730713</x:v>
      </x:c>
    </x:row>
    <x:row r="666">
      <x:c r="A666" s="38" t="str">
        <x:v>Q017::B09VQKPGX8_review_3536078</x:v>
      </x:c>
      <x:c r="B666" s="38" t="str">
        <x:v>Q017</x:v>
      </x:c>
      <x:c r="C666" s="38" t="str">
        <x:v>B09VQKPGX8_review_3536078</x:v>
      </x:c>
      <x:c r="D666" s="38" t="str">
        <x:v>B09VQKPGX8</x:v>
      </x:c>
      <x:c r="E666" s="38" t="str">
        <x:v>bm25</x:v>
      </x:c>
      <x:c r="F666" s="99" t="n">
        <x:v>14</x:v>
      </x:c>
      <x:c r="G666" s="100" t="n">
        <x:v>28.51527270215854</x:v>
      </x:c>
      <x:c r="H666" s="99"/>
      <x:c r="I666" s="100"/>
      <x:c r="J666" s="99"/>
      <x:c r="K666" s="100"/>
      <x:c r="L666" s="99"/>
      <x:c r="M666" s="100"/>
    </x:row>
    <x:row r="667">
      <x:c r="A667" s="38" t="str">
        <x:v>Q017::B0BVHYBXFR_spec</x:v>
      </x:c>
      <x:c r="B667" s="38" t="str">
        <x:v>Q017</x:v>
      </x:c>
      <x:c r="C667" s="38" t="str">
        <x:v>B0BVHYBXFR_spec</x:v>
      </x:c>
      <x:c r="D667" s="38" t="str">
        <x:v>B0BVHYBXFR</x:v>
      </x:c>
      <x:c r="E667" s="38" t="str">
        <x:v>dense; hybrid_rrf; cross_encoder</x:v>
      </x:c>
      <x:c r="F667" s="99"/>
      <x:c r="G667" s="100"/>
      <x:c r="H667" s="99" t="n">
        <x:v>6</x:v>
      </x:c>
      <x:c r="I667" s="100" t="n">
        <x:v>0.7725113034248352</x:v>
      </x:c>
      <x:c r="J667" s="99" t="n">
        <x:v>12</x:v>
      </x:c>
      <x:c r="K667" s="100" t="n">
        <x:v>0.015151515151515152</x:v>
      </x:c>
      <x:c r="L667" s="99" t="n">
        <x:v>14</x:v>
      </x:c>
      <x:c r="M667" s="100" t="n">
        <x:v>-0.2741079032421112</x:v>
      </x:c>
    </x:row>
    <x:row r="668">
      <x:c r="A668" s="38" t="str">
        <x:v>Q017::B09XVWK6RT_review_3383424</x:v>
      </x:c>
      <x:c r="B668" s="38" t="str">
        <x:v>Q017</x:v>
      </x:c>
      <x:c r="C668" s="38" t="str">
        <x:v>B09XVWK6RT_review_3383424</x:v>
      </x:c>
      <x:c r="D668" s="38" t="str">
        <x:v>B09XVWK6RT</x:v>
      </x:c>
      <x:c r="E668" s="38" t="str">
        <x:v>bm25; hybrid_rrf; cross_encoder</x:v>
      </x:c>
      <x:c r="F668" s="99" t="n">
        <x:v>9</x:v>
      </x:c>
      <x:c r="G668" s="100" t="n">
        <x:v>29.172609191696854</x:v>
      </x:c>
      <x:c r="H668" s="99"/>
      <x:c r="I668" s="100"/>
      <x:c r="J668" s="99" t="n">
        <x:v>17</x:v>
      </x:c>
      <x:c r="K668" s="100" t="n">
        <x:v>0.014492753623188406</x:v>
      </x:c>
      <x:c r="L668" s="99" t="n">
        <x:v>4</x:v>
      </x:c>
      <x:c r="M668" s="100" t="n">
        <x:v>2.8855183124542236</x:v>
      </x:c>
    </x:row>
    <x:row r="669">
      <x:c r="A669" s="38" t="str">
        <x:v>Q017::B0BZGY3MPS_review_3167061</x:v>
      </x:c>
      <x:c r="B669" s="38" t="str">
        <x:v>Q017</x:v>
      </x:c>
      <x:c r="C669" s="38" t="str">
        <x:v>B0BZGY3MPS_review_3167061</x:v>
      </x:c>
      <x:c r="D669" s="38" t="str">
        <x:v>B0BZGY3MPS</x:v>
      </x:c>
      <x:c r="E669" s="38" t="str">
        <x:v>dense</x:v>
      </x:c>
      <x:c r="F669" s="99"/>
      <x:c r="G669" s="100"/>
      <x:c r="H669" s="99" t="n">
        <x:v>17</x:v>
      </x:c>
      <x:c r="I669" s="100" t="n">
        <x:v>0.7681411504745483</x:v>
      </x:c>
      <x:c r="J669" s="99"/>
      <x:c r="K669" s="100"/>
      <x:c r="L669" s="99"/>
      <x:c r="M669" s="100"/>
    </x:row>
    <x:row r="670">
      <x:c r="A670" s="38" t="str">
        <x:v>Q017::B077S54BMP_review_3616797</x:v>
      </x:c>
      <x:c r="B670" s="38" t="str">
        <x:v>Q017</x:v>
      </x:c>
      <x:c r="C670" s="38" t="str">
        <x:v>B077S54BMP_review_3616797</x:v>
      </x:c>
      <x:c r="D670" s="38" t="str">
        <x:v>B077S54BMP</x:v>
      </x:c>
      <x:c r="E670" s="38" t="str">
        <x:v>bm25</x:v>
      </x:c>
      <x:c r="F670" s="99" t="n">
        <x:v>16</x:v>
      </x:c>
      <x:c r="G670" s="100" t="n">
        <x:v>28.36900137669691</x:v>
      </x:c>
      <x:c r="H670" s="99"/>
      <x:c r="I670" s="100"/>
      <x:c r="J670" s="99"/>
      <x:c r="K670" s="100"/>
      <x:c r="L670" s="99"/>
      <x:c r="M670" s="100"/>
    </x:row>
    <x:row r="671">
      <x:c r="A671" s="38" t="str">
        <x:v>Q017::B01N4EXGQ7_review_4182082</x:v>
      </x:c>
      <x:c r="B671" s="38" t="str">
        <x:v>Q017</x:v>
      </x:c>
      <x:c r="C671" s="38" t="str">
        <x:v>B01N4EXGQ7_review_4182082</x:v>
      </x:c>
      <x:c r="D671" s="38" t="str">
        <x:v>B01N4EXGQ7</x:v>
      </x:c>
      <x:c r="E671" s="38" t="str">
        <x:v>bm25; hybrid_rrf; cross_encoder</x:v>
      </x:c>
      <x:c r="F671" s="99" t="n">
        <x:v>4</x:v>
      </x:c>
      <x:c r="G671" s="100" t="n">
        <x:v>30.777161347725997</x:v>
      </x:c>
      <x:c r="H671" s="99"/>
      <x:c r="I671" s="100"/>
      <x:c r="J671" s="99" t="n">
        <x:v>7</x:v>
      </x:c>
      <x:c r="K671" s="100" t="n">
        <x:v>0.015625</x:v>
      </x:c>
      <x:c r="L671" s="99" t="n">
        <x:v>9</x:v>
      </x:c>
      <x:c r="M671" s="100" t="n">
        <x:v>1.1234419345855713</x:v>
      </x:c>
    </x:row>
    <x:row r="672">
      <x:c r="A672" s="38" t="str">
        <x:v>Q017::B0BFFXDM1V_review_1746227</x:v>
      </x:c>
      <x:c r="B672" s="38" t="str">
        <x:v>Q017</x:v>
      </x:c>
      <x:c r="C672" s="38" t="str">
        <x:v>B0BFFXDM1V_review_1746227</x:v>
      </x:c>
      <x:c r="D672" s="38" t="str">
        <x:v>B0BFFXDM1V</x:v>
      </x:c>
      <x:c r="E672" s="38" t="str">
        <x:v>dense</x:v>
      </x:c>
      <x:c r="F672" s="99"/>
      <x:c r="G672" s="100"/>
      <x:c r="H672" s="99" t="n">
        <x:v>12</x:v>
      </x:c>
      <x:c r="I672" s="100" t="n">
        <x:v>0.7691248655319214</x:v>
      </x:c>
      <x:c r="J672" s="99"/>
      <x:c r="K672" s="100"/>
      <x:c r="L672" s="99"/>
      <x:c r="M672" s="100"/>
    </x:row>
    <x:row r="673">
      <x:c r="A673" s="38" t="str">
        <x:v>Q017::B09VQKPGX8_review_3536087</x:v>
      </x:c>
      <x:c r="B673" s="38" t="str">
        <x:v>Q017</x:v>
      </x:c>
      <x:c r="C673" s="38" t="str">
        <x:v>B09VQKPGX8_review_3536087</x:v>
      </x:c>
      <x:c r="D673" s="38" t="str">
        <x:v>B09VQKPGX8</x:v>
      </x:c>
      <x:c r="E673" s="38" t="str">
        <x:v>bm25; hybrid_rrf; cross_encoder</x:v>
      </x:c>
      <x:c r="F673" s="99" t="n">
        <x:v>6</x:v>
      </x:c>
      <x:c r="G673" s="100" t="n">
        <x:v>30.12980670678094</x:v>
      </x:c>
      <x:c r="H673" s="99"/>
      <x:c r="I673" s="100"/>
      <x:c r="J673" s="99" t="n">
        <x:v>11</x:v>
      </x:c>
      <x:c r="K673" s="100" t="n">
        <x:v>0.015151515151515152</x:v>
      </x:c>
      <x:c r="L673" s="99" t="n">
        <x:v>19</x:v>
      </x:c>
      <x:c r="M673" s="100" t="n">
        <x:v>-3.111265182495117</x:v>
      </x:c>
    </x:row>
    <x:row r="674">
      <x:c r="A674" s="38" t="str">
        <x:v>Q018::B00006JPES_review_2066928</x:v>
      </x:c>
      <x:c r="B674" s="38" t="str">
        <x:v>Q018</x:v>
      </x:c>
      <x:c r="C674" s="38" t="str">
        <x:v>B00006JPES_review_2066928</x:v>
      </x:c>
      <x:c r="D674" s="38" t="str">
        <x:v>B00006JPES</x:v>
      </x:c>
      <x:c r="E674" s="38" t="str">
        <x:v>bm25; hybrid_rrf; cross_encoder</x:v>
      </x:c>
      <x:c r="F674" s="99" t="n">
        <x:v>11</x:v>
      </x:c>
      <x:c r="G674" s="100" t="n">
        <x:v>20.08967812091482</x:v>
      </x:c>
      <x:c r="H674" s="99"/>
      <x:c r="I674" s="100"/>
      <x:c r="J674" s="99" t="n">
        <x:v>20</x:v>
      </x:c>
      <x:c r="K674" s="100" t="n">
        <x:v>0.014084507042253521</x:v>
      </x:c>
      <x:c r="L674" s="99" t="n">
        <x:v>13</x:v>
      </x:c>
      <x:c r="M674" s="100" t="n">
        <x:v>-2.995558738708496</x:v>
      </x:c>
    </x:row>
    <x:row r="675">
      <x:c r="A675" s="38" t="str">
        <x:v>Q018::B0026SKZO0_review_2781306</x:v>
      </x:c>
      <x:c r="B675" s="38" t="str">
        <x:v>Q018</x:v>
      </x:c>
      <x:c r="C675" s="38" t="str">
        <x:v>B0026SKZO0_review_2781306</x:v>
      </x:c>
      <x:c r="D675" s="38" t="str">
        <x:v>B0026SKZO0</x:v>
      </x:c>
      <x:c r="E675" s="38" t="str">
        <x:v>dense</x:v>
      </x:c>
      <x:c r="F675" s="99"/>
      <x:c r="G675" s="100"/>
      <x:c r="H675" s="99" t="n">
        <x:v>13</x:v>
      </x:c>
      <x:c r="I675" s="100" t="n">
        <x:v>0.7307062149047852</x:v>
      </x:c>
      <x:c r="J675" s="99"/>
      <x:c r="K675" s="100"/>
      <x:c r="L675" s="99"/>
      <x:c r="M675" s="100"/>
    </x:row>
    <x:row r="676">
      <x:c r="A676" s="38" t="str">
        <x:v>Q018::B01D84D3IU_review_2589493</x:v>
      </x:c>
      <x:c r="B676" s="38" t="str">
        <x:v>Q018</x:v>
      </x:c>
      <x:c r="C676" s="38" t="str">
        <x:v>B01D84D3IU_review_2589493</x:v>
      </x:c>
      <x:c r="D676" s="38" t="str">
        <x:v>B01D84D3IU</x:v>
      </x:c>
      <x:c r="E676" s="38" t="str">
        <x:v>bm25; hybrid_rrf; cross_encoder</x:v>
      </x:c>
      <x:c r="F676" s="99" t="n">
        <x:v>4</x:v>
      </x:c>
      <x:c r="G676" s="100" t="n">
        <x:v>23.4490230912392</x:v>
      </x:c>
      <x:c r="H676" s="99"/>
      <x:c r="I676" s="100"/>
      <x:c r="J676" s="99" t="n">
        <x:v>8</x:v>
      </x:c>
      <x:c r="K676" s="100" t="n">
        <x:v>0.015625</x:v>
      </x:c>
      <x:c r="L676" s="99" t="n">
        <x:v>10</x:v>
      </x:c>
      <x:c r="M676" s="100" t="n">
        <x:v>-2.1639652252197266</x:v>
      </x:c>
    </x:row>
    <x:row r="677">
      <x:c r="A677" s="38" t="str">
        <x:v>Q018::B000FTO00M_review_2396570</x:v>
      </x:c>
      <x:c r="B677" s="38" t="str">
        <x:v>Q018</x:v>
      </x:c>
      <x:c r="C677" s="38" t="str">
        <x:v>B000FTO00M_review_2396570</x:v>
      </x:c>
      <x:c r="D677" s="38" t="str">
        <x:v>B000FTO00M</x:v>
      </x:c>
      <x:c r="E677" s="38" t="str">
        <x:v>bm25; dense; hybrid_rrf; cross_encoder</x:v>
      </x:c>
      <x:c r="F677" s="99" t="n">
        <x:v>6</x:v>
      </x:c>
      <x:c r="G677" s="100" t="n">
        <x:v>22.492245260069936</x:v>
      </x:c>
      <x:c r="H677" s="99" t="n">
        <x:v>2</x:v>
      </x:c>
      <x:c r="I677" s="100" t="n">
        <x:v>0.7687366604804993</x:v>
      </x:c>
      <x:c r="J677" s="99" t="n">
        <x:v>1</x:v>
      </x:c>
      <x:c r="K677" s="100" t="n">
        <x:v>0.03128054740957967</x:v>
      </x:c>
      <x:c r="L677" s="99" t="n">
        <x:v>6</x:v>
      </x:c>
      <x:c r="M677" s="100" t="n">
        <x:v>1.2165812253952026</x:v>
      </x:c>
    </x:row>
    <x:row r="678">
      <x:c r="A678" s="38" t="str">
        <x:v>Q018::B00FXPL272_review_3682448</x:v>
      </x:c>
      <x:c r="B678" s="38" t="str">
        <x:v>Q018</x:v>
      </x:c>
      <x:c r="C678" s="38" t="str">
        <x:v>B00FXPL272_review_3682448</x:v>
      </x:c>
      <x:c r="D678" s="38" t="str">
        <x:v>B00FXPL272</x:v>
      </x:c>
      <x:c r="E678" s="38" t="str">
        <x:v>dense; hybrid_rrf; cross_encoder</x:v>
      </x:c>
      <x:c r="F678" s="99"/>
      <x:c r="G678" s="100"/>
      <x:c r="H678" s="99" t="n">
        <x:v>4</x:v>
      </x:c>
      <x:c r="I678" s="100" t="n">
        <x:v>0.7490425705909729</x:v>
      </x:c>
      <x:c r="J678" s="99" t="n">
        <x:v>7</x:v>
      </x:c>
      <x:c r="K678" s="100" t="n">
        <x:v>0.015625</x:v>
      </x:c>
      <x:c r="L678" s="99" t="n">
        <x:v>11</x:v>
      </x:c>
      <x:c r="M678" s="100" t="n">
        <x:v>-2.7407259941101074</x:v>
      </x:c>
    </x:row>
    <x:row r="679">
      <x:c r="A679" s="38" t="str">
        <x:v>Q018::B01EUIG3CG_review_1677877</x:v>
      </x:c>
      <x:c r="B679" s="38" t="str">
        <x:v>Q018</x:v>
      </x:c>
      <x:c r="C679" s="38" t="str">
        <x:v>B01EUIG3CG_review_1677877</x:v>
      </x:c>
      <x:c r="D679" s="38" t="str">
        <x:v>B01EUIG3CG</x:v>
      </x:c>
      <x:c r="E679" s="38" t="str">
        <x:v>bm25</x:v>
      </x:c>
      <x:c r="F679" s="99" t="n">
        <x:v>18</x:v>
      </x:c>
      <x:c r="G679" s="100" t="n">
        <x:v>19.665740230691107</x:v>
      </x:c>
      <x:c r="H679" s="99"/>
      <x:c r="I679" s="100"/>
      <x:c r="J679" s="99"/>
      <x:c r="K679" s="100"/>
      <x:c r="L679" s="99"/>
      <x:c r="M679" s="100"/>
    </x:row>
    <x:row r="680">
      <x:c r="A680" s="38" t="str">
        <x:v>Q018::B0026SKZO0_review_2781312</x:v>
      </x:c>
      <x:c r="B680" s="38" t="str">
        <x:v>Q018</x:v>
      </x:c>
      <x:c r="C680" s="38" t="str">
        <x:v>B0026SKZO0_review_2781312</x:v>
      </x:c>
      <x:c r="D680" s="38" t="str">
        <x:v>B0026SKZO0</x:v>
      </x:c>
      <x:c r="E680" s="38" t="str">
        <x:v>dense</x:v>
      </x:c>
      <x:c r="F680" s="99"/>
      <x:c r="G680" s="100"/>
      <x:c r="H680" s="99" t="n">
        <x:v>12</x:v>
      </x:c>
      <x:c r="I680" s="100" t="n">
        <x:v>0.733055830001831</x:v>
      </x:c>
      <x:c r="J680" s="99"/>
      <x:c r="K680" s="100"/>
      <x:c r="L680" s="99"/>
      <x:c r="M680" s="100"/>
    </x:row>
    <x:row r="681">
      <x:c r="A681" s="38" t="str">
        <x:v>Q018::B0090I9NRE_review_2604747</x:v>
      </x:c>
      <x:c r="B681" s="38" t="str">
        <x:v>Q018</x:v>
      </x:c>
      <x:c r="C681" s="38" t="str">
        <x:v>B0090I9NRE_review_2604747</x:v>
      </x:c>
      <x:c r="D681" s="38" t="str">
        <x:v>B0090I9NRE</x:v>
      </x:c>
      <x:c r="E681" s="38" t="str">
        <x:v>dense</x:v>
      </x:c>
      <x:c r="F681" s="99"/>
      <x:c r="G681" s="100"/>
      <x:c r="H681" s="99" t="n">
        <x:v>11</x:v>
      </x:c>
      <x:c r="I681" s="100" t="n">
        <x:v>0.7334393262863159</x:v>
      </x:c>
      <x:c r="J681" s="99"/>
      <x:c r="K681" s="100"/>
      <x:c r="L681" s="99"/>
      <x:c r="M681" s="100"/>
    </x:row>
    <x:row r="682">
      <x:c r="A682" s="38" t="str">
        <x:v>Q018::B01MRUF1ZO_review_2692389</x:v>
      </x:c>
      <x:c r="B682" s="38" t="str">
        <x:v>Q018</x:v>
      </x:c>
      <x:c r="C682" s="38" t="str">
        <x:v>B01MRUF1ZO_review_2692389</x:v>
      </x:c>
      <x:c r="D682" s="38" t="str">
        <x:v>B01MRUF1ZO</x:v>
      </x:c>
      <x:c r="E682" s="38" t="str">
        <x:v>dense; hybrid_rrf; cross_encoder</x:v>
      </x:c>
      <x:c r="F682" s="99"/>
      <x:c r="G682" s="100"/>
      <x:c r="H682" s="99" t="n">
        <x:v>5</x:v>
      </x:c>
      <x:c r="I682" s="100" t="n">
        <x:v>0.7432303428649902</x:v>
      </x:c>
      <x:c r="J682" s="99" t="n">
        <x:v>9</x:v>
      </x:c>
      <x:c r="K682" s="100" t="n">
        <x:v>0.015384615384615385</x:v>
      </x:c>
      <x:c r="L682" s="99" t="n">
        <x:v>9</x:v>
      </x:c>
      <x:c r="M682" s="100" t="n">
        <x:v>-1.7809762954711914</x:v>
      </x:c>
    </x:row>
    <x:row r="683">
      <x:c r="A683" s="38" t="str">
        <x:v>Q018::B0026SKZO0_review_2781301</x:v>
      </x:c>
      <x:c r="B683" s="38" t="str">
        <x:v>Q018</x:v>
      </x:c>
      <x:c r="C683" s="38" t="str">
        <x:v>B0026SKZO0_review_2781301</x:v>
      </x:c>
      <x:c r="D683" s="38" t="str">
        <x:v>B0026SKZO0</x:v>
      </x:c>
      <x:c r="E683" s="38" t="str">
        <x:v>dense</x:v>
      </x:c>
      <x:c r="F683" s="99"/>
      <x:c r="G683" s="100"/>
      <x:c r="H683" s="99" t="n">
        <x:v>18</x:v>
      </x:c>
      <x:c r="I683" s="100" t="n">
        <x:v>0.7254418134689331</x:v>
      </x:c>
      <x:c r="J683" s="99"/>
      <x:c r="K683" s="100"/>
      <x:c r="L683" s="99"/>
      <x:c r="M683" s="100"/>
    </x:row>
    <x:row r="684">
      <x:c r="A684" s="38" t="str">
        <x:v>Q018::B006P18W58_review_2194773</x:v>
      </x:c>
      <x:c r="B684" s="38" t="str">
        <x:v>Q018</x:v>
      </x:c>
      <x:c r="C684" s="38" t="str">
        <x:v>B006P18W58_review_2194773</x:v>
      </x:c>
      <x:c r="D684" s="38" t="str">
        <x:v>B006P18W58</x:v>
      </x:c>
      <x:c r="E684" s="38" t="str">
        <x:v>dense; hybrid_rrf; cross_encoder</x:v>
      </x:c>
      <x:c r="F684" s="99"/>
      <x:c r="G684" s="100"/>
      <x:c r="H684" s="99" t="n">
        <x:v>3</x:v>
      </x:c>
      <x:c r="I684" s="100" t="n">
        <x:v>0.7534085512161255</x:v>
      </x:c>
      <x:c r="J684" s="99" t="n">
        <x:v>5</x:v>
      </x:c>
      <x:c r="K684" s="100" t="n">
        <x:v>0.015873015873015872</x:v>
      </x:c>
      <x:c r="L684" s="99" t="n">
        <x:v>12</x:v>
      </x:c>
      <x:c r="M684" s="100" t="n">
        <x:v>-2.7555885314941406</x:v>
      </x:c>
    </x:row>
    <x:row r="685">
      <x:c r="A685" s="38" t="str">
        <x:v>Q018::B01M0RY5JI_review_1499585</x:v>
      </x:c>
      <x:c r="B685" s="38" t="str">
        <x:v>Q018</x:v>
      </x:c>
      <x:c r="C685" s="38" t="str">
        <x:v>B01M0RY5JI_review_1499585</x:v>
      </x:c>
      <x:c r="D685" s="38" t="str">
        <x:v>B01M0RY5JI</x:v>
      </x:c>
      <x:c r="E685" s="38" t="str">
        <x:v>dense; hybrid_rrf; cross_encoder</x:v>
      </x:c>
      <x:c r="F685" s="99"/>
      <x:c r="G685" s="100"/>
      <x:c r="H685" s="99" t="n">
        <x:v>9</x:v>
      </x:c>
      <x:c r="I685" s="100" t="n">
        <x:v>0.7335899472236633</x:v>
      </x:c>
      <x:c r="J685" s="99" t="n">
        <x:v>17</x:v>
      </x:c>
      <x:c r="K685" s="100" t="n">
        <x:v>0.014492753623188406</x:v>
      </x:c>
      <x:c r="L685" s="99" t="n">
        <x:v>14</x:v>
      </x:c>
      <x:c r="M685" s="100" t="n">
        <x:v>-3.124051570892334</x:v>
      </x:c>
    </x:row>
    <x:row r="686">
      <x:c r="A686" s="38" t="str">
        <x:v>Q018::B000FBOVOK_review_874469</x:v>
      </x:c>
      <x:c r="B686" s="38" t="str">
        <x:v>Q018</x:v>
      </x:c>
      <x:c r="C686" s="38" t="str">
        <x:v>B000FBOVOK_review_874469</x:v>
      </x:c>
      <x:c r="D686" s="38" t="str">
        <x:v>B000FBOVOK</x:v>
      </x:c>
      <x:c r="E686" s="38" t="str">
        <x:v>dense</x:v>
      </x:c>
      <x:c r="F686" s="99"/>
      <x:c r="G686" s="100"/>
      <x:c r="H686" s="99" t="n">
        <x:v>14</x:v>
      </x:c>
      <x:c r="I686" s="100" t="n">
        <x:v>0.7306697368621826</x:v>
      </x:c>
      <x:c r="J686" s="99"/>
      <x:c r="K686" s="100"/>
      <x:c r="L686" s="99"/>
      <x:c r="M686" s="100"/>
    </x:row>
    <x:row r="687">
      <x:c r="A687" s="38" t="str">
        <x:v>Q018::B00AW0CSHQ_review_2769437</x:v>
      </x:c>
      <x:c r="B687" s="38" t="str">
        <x:v>Q018</x:v>
      </x:c>
      <x:c r="C687" s="38" t="str">
        <x:v>B00AW0CSHQ_review_2769437</x:v>
      </x:c>
      <x:c r="D687" s="38" t="str">
        <x:v>B00AW0CSHQ</x:v>
      </x:c>
      <x:c r="E687" s="38" t="str">
        <x:v>dense</x:v>
      </x:c>
      <x:c r="F687" s="99"/>
      <x:c r="G687" s="100"/>
      <x:c r="H687" s="99" t="n">
        <x:v>16</x:v>
      </x:c>
      <x:c r="I687" s="100" t="n">
        <x:v>0.7280900478363037</x:v>
      </x:c>
      <x:c r="J687" s="99"/>
      <x:c r="K687" s="100"/>
      <x:c r="L687" s="99"/>
      <x:c r="M687" s="100"/>
    </x:row>
    <x:row r="688">
      <x:c r="A688" s="38" t="str">
        <x:v>Q018::B00EB90RFY_review_2900865</x:v>
      </x:c>
      <x:c r="B688" s="38" t="str">
        <x:v>Q018</x:v>
      </x:c>
      <x:c r="C688" s="38" t="str">
        <x:v>B00EB90RFY_review_2900865</x:v>
      </x:c>
      <x:c r="D688" s="38" t="str">
        <x:v>B00EB90RFY</x:v>
      </x:c>
      <x:c r="E688" s="38" t="str">
        <x:v>bm25</x:v>
      </x:c>
      <x:c r="F688" s="99" t="n">
        <x:v>12</x:v>
      </x:c>
      <x:c r="G688" s="100" t="n">
        <x:v>19.961758932907294</x:v>
      </x:c>
      <x:c r="H688" s="99"/>
      <x:c r="I688" s="100"/>
      <x:c r="J688" s="99"/>
      <x:c r="K688" s="100"/>
      <x:c r="L688" s="99"/>
      <x:c r="M688" s="100"/>
    </x:row>
    <x:row r="689">
      <x:c r="A689" s="38" t="str">
        <x:v>Q018::B0797CHKDJ_review_918745</x:v>
      </x:c>
      <x:c r="B689" s="38" t="str">
        <x:v>Q018</x:v>
      </x:c>
      <x:c r="C689" s="38" t="str">
        <x:v>B0797CHKDJ_review_918745</x:v>
      </x:c>
      <x:c r="D689" s="38" t="str">
        <x:v>B0797CHKDJ</x:v>
      </x:c>
      <x:c r="E689" s="38" t="str">
        <x:v>bm25; hybrid_rrf; cross_encoder</x:v>
      </x:c>
      <x:c r="F689" s="99" t="n">
        <x:v>5</x:v>
      </x:c>
      <x:c r="G689" s="100" t="n">
        <x:v>23.357477048812562</x:v>
      </x:c>
      <x:c r="H689" s="99"/>
      <x:c r="I689" s="100"/>
      <x:c r="J689" s="99" t="n">
        <x:v>10</x:v>
      </x:c>
      <x:c r="K689" s="100" t="n">
        <x:v>0.015384615384615385</x:v>
      </x:c>
      <x:c r="L689" s="99" t="n">
        <x:v>8</x:v>
      </x:c>
      <x:c r="M689" s="100" t="n">
        <x:v>-0.5789192914962769</x:v>
      </x:c>
    </x:row>
    <x:row r="690">
      <x:c r="A690" s="38" t="str">
        <x:v>Q018::B00M4ZTI3Y_review_581686</x:v>
      </x:c>
      <x:c r="B690" s="38" t="str">
        <x:v>Q018</x:v>
      </x:c>
      <x:c r="C690" s="38" t="str">
        <x:v>B00M4ZTI3Y_review_581686</x:v>
      </x:c>
      <x:c r="D690" s="38" t="str">
        <x:v>B00M4ZTI3Y</x:v>
      </x:c>
      <x:c r="E690" s="38" t="str">
        <x:v>bm25</x:v>
      </x:c>
      <x:c r="F690" s="99" t="n">
        <x:v>15</x:v>
      </x:c>
      <x:c r="G690" s="100" t="n">
        <x:v>19.743975500774845</x:v>
      </x:c>
      <x:c r="H690" s="99"/>
      <x:c r="I690" s="100"/>
      <x:c r="J690" s="99"/>
      <x:c r="K690" s="100"/>
      <x:c r="L690" s="99"/>
      <x:c r="M690" s="100"/>
    </x:row>
    <x:row r="691">
      <x:c r="A691" s="38" t="str">
        <x:v>Q018::B00IQBSW28_review_2829134</x:v>
      </x:c>
      <x:c r="B691" s="38" t="str">
        <x:v>Q018</x:v>
      </x:c>
      <x:c r="C691" s="38" t="str">
        <x:v>B00IQBSW28_review_2829134</x:v>
      </x:c>
      <x:c r="D691" s="38" t="str">
        <x:v>B00IQBSW28</x:v>
      </x:c>
      <x:c r="E691" s="38" t="str">
        <x:v>dense; hybrid_rrf; cross_encoder</x:v>
      </x:c>
      <x:c r="F691" s="99"/>
      <x:c r="G691" s="100"/>
      <x:c r="H691" s="99" t="n">
        <x:v>1</x:v>
      </x:c>
      <x:c r="I691" s="100" t="n">
        <x:v>0.7715315818786621</x:v>
      </x:c>
      <x:c r="J691" s="99" t="n">
        <x:v>2</x:v>
      </x:c>
      <x:c r="K691" s="100" t="n">
        <x:v>0.01639344262295082</x:v>
      </x:c>
      <x:c r="L691" s="99" t="n">
        <x:v>7</x:v>
      </x:c>
      <x:c r="M691" s="100" t="n">
        <x:v>1.1689642667770386</x:v>
      </x:c>
    </x:row>
    <x:row r="692">
      <x:c r="A692" s="38" t="str">
        <x:v>Q018::B002BZXAFE_review_3708691</x:v>
      </x:c>
      <x:c r="B692" s="38" t="str">
        <x:v>Q018</x:v>
      </x:c>
      <x:c r="C692" s="38" t="str">
        <x:v>B002BZXAFE_review_3708691</x:v>
      </x:c>
      <x:c r="D692" s="38" t="str">
        <x:v>B002BZXAFE</x:v>
      </x:c>
      <x:c r="E692" s="38" t="str">
        <x:v>bm25; hybrid_rrf; cross_encoder</x:v>
      </x:c>
      <x:c r="F692" s="99" t="n">
        <x:v>10</x:v>
      </x:c>
      <x:c r="G692" s="100" t="n">
        <x:v>21.241798270330925</x:v>
      </x:c>
      <x:c r="H692" s="99"/>
      <x:c r="I692" s="100"/>
      <x:c r="J692" s="99" t="n">
        <x:v>19</x:v>
      </x:c>
      <x:c r="K692" s="100" t="n">
        <x:v>0.014285714285714285</x:v>
      </x:c>
      <x:c r="L692" s="99" t="n">
        <x:v>15</x:v>
      </x:c>
      <x:c r="M692" s="100" t="n">
        <x:v>-3.7935898303985596</x:v>
      </x:c>
    </x:row>
    <x:row r="693">
      <x:c r="A693" s="38" t="str">
        <x:v>Q018::B00FXPL272_review_3682419</x:v>
      </x:c>
      <x:c r="B693" s="38" t="str">
        <x:v>Q018</x:v>
      </x:c>
      <x:c r="C693" s="38" t="str">
        <x:v>B00FXPL272_review_3682419</x:v>
      </x:c>
      <x:c r="D693" s="38" t="str">
        <x:v>B00FXPL272</x:v>
      </x:c>
      <x:c r="E693" s="38" t="str">
        <x:v>bm25; hybrid_rrf; cross_encoder</x:v>
      </x:c>
      <x:c r="F693" s="99" t="n">
        <x:v>3</x:v>
      </x:c>
      <x:c r="G693" s="100" t="n">
        <x:v>25.444406604236665</x:v>
      </x:c>
      <x:c r="H693" s="99"/>
      <x:c r="I693" s="100"/>
      <x:c r="J693" s="99" t="n">
        <x:v>6</x:v>
      </x:c>
      <x:c r="K693" s="100" t="n">
        <x:v>0.015873015873015872</x:v>
      </x:c>
      <x:c r="L693" s="99" t="n">
        <x:v>3</x:v>
      </x:c>
      <x:c r="M693" s="100" t="n">
        <x:v>2.400414228439331</x:v>
      </x:c>
    </x:row>
    <x:row r="694">
      <x:c r="A694" s="38" t="str">
        <x:v>Q018::B000YMSYDY_review_1212087</x:v>
      </x:c>
      <x:c r="B694" s="38" t="str">
        <x:v>Q018</x:v>
      </x:c>
      <x:c r="C694" s="38" t="str">
        <x:v>B000YMSYDY_review_1212087</x:v>
      </x:c>
      <x:c r="D694" s="38" t="str">
        <x:v>B000YMSYDY</x:v>
      </x:c>
      <x:c r="E694" s="38" t="str">
        <x:v>dense</x:v>
      </x:c>
      <x:c r="F694" s="99"/>
      <x:c r="G694" s="100"/>
      <x:c r="H694" s="99" t="n">
        <x:v>19</x:v>
      </x:c>
      <x:c r="I694" s="100" t="n">
        <x:v>0.7242902517318726</x:v>
      </x:c>
      <x:c r="J694" s="99"/>
      <x:c r="K694" s="100"/>
      <x:c r="L694" s="99"/>
      <x:c r="M694" s="100"/>
    </x:row>
    <x:row r="695">
      <x:c r="A695" s="38" t="str">
        <x:v>Q018::B0BVJ4DHFQ_review_3684519</x:v>
      </x:c>
      <x:c r="B695" s="38" t="str">
        <x:v>Q018</x:v>
      </x:c>
      <x:c r="C695" s="38" t="str">
        <x:v>B0BVJ4DHFQ_review_3684519</x:v>
      </x:c>
      <x:c r="D695" s="38" t="str">
        <x:v>B0BVJ4DHFQ</x:v>
      </x:c>
      <x:c r="E695" s="38" t="str">
        <x:v>dense; hybrid_rrf; cross_encoder</x:v>
      </x:c>
      <x:c r="F695" s="99"/>
      <x:c r="G695" s="100"/>
      <x:c r="H695" s="99" t="n">
        <x:v>6</x:v>
      </x:c>
      <x:c r="I695" s="100" t="n">
        <x:v>0.7428219318389893</x:v>
      </x:c>
      <x:c r="J695" s="99" t="n">
        <x:v>11</x:v>
      </x:c>
      <x:c r="K695" s="100" t="n">
        <x:v>0.015151515151515152</x:v>
      </x:c>
      <x:c r="L695" s="99" t="n">
        <x:v>2</x:v>
      </x:c>
      <x:c r="M695" s="100" t="n">
        <x:v>4.493765830993652</x:v>
      </x:c>
    </x:row>
    <x:row r="696">
      <x:c r="A696" s="38" t="str">
        <x:v>Q018::B003OX2OMM_review_4017355</x:v>
      </x:c>
      <x:c r="B696" s="38" t="str">
        <x:v>Q018</x:v>
      </x:c>
      <x:c r="C696" s="38" t="str">
        <x:v>B003OX2OMM_review_4017355</x:v>
      </x:c>
      <x:c r="D696" s="38" t="str">
        <x:v>B003OX2OMM</x:v>
      </x:c>
      <x:c r="E696" s="38" t="str">
        <x:v>bm25; hybrid_rrf; cross_encoder</x:v>
      </x:c>
      <x:c r="F696" s="99" t="n">
        <x:v>8</x:v>
      </x:c>
      <x:c r="G696" s="100" t="n">
        <x:v>21.51354951869608</x:v>
      </x:c>
      <x:c r="H696" s="99"/>
      <x:c r="I696" s="100"/>
      <x:c r="J696" s="99" t="n">
        <x:v>14</x:v>
      </x:c>
      <x:c r="K696" s="100" t="n">
        <x:v>0.014705882352941176</x:v>
      </x:c>
      <x:c r="L696" s="99" t="n">
        <x:v>5</x:v>
      </x:c>
      <x:c r="M696" s="100" t="n">
        <x:v>1.5461037158966064</x:v>
      </x:c>
    </x:row>
    <x:row r="697">
      <x:c r="A697" s="38" t="str">
        <x:v>Q018::B00M9GFIJG_review_3483961</x:v>
      </x:c>
      <x:c r="B697" s="38" t="str">
        <x:v>Q018</x:v>
      </x:c>
      <x:c r="C697" s="38" t="str">
        <x:v>B00M9GFIJG_review_3483961</x:v>
      </x:c>
      <x:c r="D697" s="38" t="str">
        <x:v>B00M9GFIJG</x:v>
      </x:c>
      <x:c r="E697" s="38" t="str">
        <x:v>dense</x:v>
      </x:c>
      <x:c r="F697" s="99"/>
      <x:c r="G697" s="100"/>
      <x:c r="H697" s="99" t="n">
        <x:v>15</x:v>
      </x:c>
      <x:c r="I697" s="100" t="n">
        <x:v>0.7281020283699036</x:v>
      </x:c>
      <x:c r="J697" s="99"/>
      <x:c r="K697" s="100"/>
      <x:c r="L697" s="99"/>
      <x:c r="M697" s="100"/>
    </x:row>
    <x:row r="698">
      <x:c r="A698" s="38" t="str">
        <x:v>Q018::B00AW0CSHQ_review_2769452</x:v>
      </x:c>
      <x:c r="B698" s="38" t="str">
        <x:v>Q018</x:v>
      </x:c>
      <x:c r="C698" s="38" t="str">
        <x:v>B00AW0CSHQ_review_2769452</x:v>
      </x:c>
      <x:c r="D698" s="38" t="str">
        <x:v>B00AW0CSHQ</x:v>
      </x:c>
      <x:c r="E698" s="38" t="str">
        <x:v>dense; hybrid_rrf; cross_encoder</x:v>
      </x:c>
      <x:c r="F698" s="99"/>
      <x:c r="G698" s="100"/>
      <x:c r="H698" s="99" t="n">
        <x:v>7</x:v>
      </x:c>
      <x:c r="I698" s="100" t="n">
        <x:v>0.7421382665634155</x:v>
      </x:c>
      <x:c r="J698" s="99" t="n">
        <x:v>12</x:v>
      </x:c>
      <x:c r="K698" s="100" t="n">
        <x:v>0.014925373134328358</x:v>
      </x:c>
      <x:c r="L698" s="99" t="n">
        <x:v>18</x:v>
      </x:c>
      <x:c r="M698" s="100" t="n">
        <x:v>-4.499673843383789</x:v>
      </x:c>
    </x:row>
    <x:row r="699">
      <x:c r="A699" s="38" t="str">
        <x:v>Q018::B08FB388V1_review_3517307</x:v>
      </x:c>
      <x:c r="B699" s="38" t="str">
        <x:v>Q018</x:v>
      </x:c>
      <x:c r="C699" s="38" t="str">
        <x:v>B08FB388V1_review_3517307</x:v>
      </x:c>
      <x:c r="D699" s="38" t="str">
        <x:v>B08FB388V1</x:v>
      </x:c>
      <x:c r="E699" s="38" t="str">
        <x:v>bm25</x:v>
      </x:c>
      <x:c r="F699" s="99" t="n">
        <x:v>19</x:v>
      </x:c>
      <x:c r="G699" s="100" t="n">
        <x:v>19.429640605233516</x:v>
      </x:c>
      <x:c r="H699" s="99"/>
      <x:c r="I699" s="100"/>
      <x:c r="J699" s="99"/>
      <x:c r="K699" s="100"/>
      <x:c r="L699" s="99"/>
      <x:c r="M699" s="100"/>
    </x:row>
    <x:row r="700">
      <x:c r="A700" s="38" t="str">
        <x:v>Q018::B0BK7Y51NB_review_85412</x:v>
      </x:c>
      <x:c r="B700" s="38" t="str">
        <x:v>Q018</x:v>
      </x:c>
      <x:c r="C700" s="38" t="str">
        <x:v>B0BK7Y51NB_review_85412</x:v>
      </x:c>
      <x:c r="D700" s="38" t="str">
        <x:v>B0BK7Y51NB</x:v>
      </x:c>
      <x:c r="E700" s="38" t="str">
        <x:v>bm25</x:v>
      </x:c>
      <x:c r="F700" s="99" t="n">
        <x:v>14</x:v>
      </x:c>
      <x:c r="G700" s="100" t="n">
        <x:v>19.896204419366466</x:v>
      </x:c>
      <x:c r="H700" s="99"/>
      <x:c r="I700" s="100"/>
      <x:c r="J700" s="99"/>
      <x:c r="K700" s="100"/>
      <x:c r="L700" s="99"/>
      <x:c r="M700" s="100"/>
    </x:row>
    <x:row r="701">
      <x:c r="A701" s="38" t="str">
        <x:v>Q018::B00N7MFZA8_review_571154</x:v>
      </x:c>
      <x:c r="B701" s="38" t="str">
        <x:v>Q018</x:v>
      </x:c>
      <x:c r="C701" s="38" t="str">
        <x:v>B00N7MFZA8_review_571154</x:v>
      </x:c>
      <x:c r="D701" s="38" t="str">
        <x:v>B00N7MFZA8</x:v>
      </x:c>
      <x:c r="E701" s="38" t="str">
        <x:v>bm25; hybrid_rrf; cross_encoder</x:v>
      </x:c>
      <x:c r="F701" s="99" t="n">
        <x:v>9</x:v>
      </x:c>
      <x:c r="G701" s="100" t="n">
        <x:v>21.280633900264228</x:v>
      </x:c>
      <x:c r="H701" s="99"/>
      <x:c r="I701" s="100"/>
      <x:c r="J701" s="99" t="n">
        <x:v>16</x:v>
      </x:c>
      <x:c r="K701" s="100" t="n">
        <x:v>0.014492753623188406</x:v>
      </x:c>
      <x:c r="L701" s="99" t="n">
        <x:v>16</x:v>
      </x:c>
      <x:c r="M701" s="100" t="n">
        <x:v>-4.1309967041015625</x:v>
      </x:c>
    </x:row>
    <x:row r="702">
      <x:c r="A702" s="38" t="str">
        <x:v>Q018::B001F0R1CY_review_2071719</x:v>
      </x:c>
      <x:c r="B702" s="38" t="str">
        <x:v>Q018</x:v>
      </x:c>
      <x:c r="C702" s="38" t="str">
        <x:v>B001F0R1CY_review_2071719</x:v>
      </x:c>
      <x:c r="D702" s="38" t="str">
        <x:v>B001F0R1CY</x:v>
      </x:c>
      <x:c r="E702" s="38" t="str">
        <x:v>dense</x:v>
      </x:c>
      <x:c r="F702" s="99"/>
      <x:c r="G702" s="100"/>
      <x:c r="H702" s="99" t="n">
        <x:v>17</x:v>
      </x:c>
      <x:c r="I702" s="100" t="n">
        <x:v>0.7268235683441162</x:v>
      </x:c>
      <x:c r="J702" s="99"/>
      <x:c r="K702" s="100"/>
      <x:c r="L702" s="99"/>
      <x:c r="M702" s="100"/>
    </x:row>
    <x:row r="703">
      <x:c r="A703" s="38" t="str">
        <x:v>Q018::B004GJURHM_review_3940523</x:v>
      </x:c>
      <x:c r="B703" s="38" t="str">
        <x:v>Q018</x:v>
      </x:c>
      <x:c r="C703" s="38" t="str">
        <x:v>B004GJURHM_review_3940523</x:v>
      </x:c>
      <x:c r="D703" s="38" t="str">
        <x:v>B004GJURHM</x:v>
      </x:c>
      <x:c r="E703" s="38" t="str">
        <x:v>dense</x:v>
      </x:c>
      <x:c r="F703" s="99"/>
      <x:c r="G703" s="100"/>
      <x:c r="H703" s="99" t="n">
        <x:v>20</x:v>
      </x:c>
      <x:c r="I703" s="100" t="n">
        <x:v>0.7232828140258789</x:v>
      </x:c>
      <x:c r="J703" s="99"/>
      <x:c r="K703" s="100"/>
      <x:c r="L703" s="99"/>
      <x:c r="M703" s="100"/>
    </x:row>
    <x:row r="704">
      <x:c r="A704" s="38" t="str">
        <x:v>Q018::B0B52WR916_review_2925067</x:v>
      </x:c>
      <x:c r="B704" s="38" t="str">
        <x:v>Q018</x:v>
      </x:c>
      <x:c r="C704" s="38" t="str">
        <x:v>B0B52WR916_review_2925067</x:v>
      </x:c>
      <x:c r="D704" s="38" t="str">
        <x:v>B0B52WR916</x:v>
      </x:c>
      <x:c r="E704" s="38" t="str">
        <x:v>bm25</x:v>
      </x:c>
      <x:c r="F704" s="99" t="n">
        <x:v>20</x:v>
      </x:c>
      <x:c r="G704" s="100" t="n">
        <x:v>19.32514353870447</x:v>
      </x:c>
      <x:c r="H704" s="99"/>
      <x:c r="I704" s="100"/>
      <x:c r="J704" s="99"/>
      <x:c r="K704" s="100"/>
      <x:c r="L704" s="99"/>
      <x:c r="M704" s="100"/>
    </x:row>
    <x:row r="705">
      <x:c r="A705" s="38" t="str">
        <x:v>Q018::B008BC1U4O_review_3248425</x:v>
      </x:c>
      <x:c r="B705" s="38" t="str">
        <x:v>Q018</x:v>
      </x:c>
      <x:c r="C705" s="38" t="str">
        <x:v>B008BC1U4O_review_3248425</x:v>
      </x:c>
      <x:c r="D705" s="38" t="str">
        <x:v>B008BC1U4O</x:v>
      </x:c>
      <x:c r="E705" s="38" t="str">
        <x:v>dense; hybrid_rrf; cross_encoder</x:v>
      </x:c>
      <x:c r="F705" s="99"/>
      <x:c r="G705" s="100"/>
      <x:c r="H705" s="99" t="n">
        <x:v>8</x:v>
      </x:c>
      <x:c r="I705" s="100" t="n">
        <x:v>0.7365998029708862</x:v>
      </x:c>
      <x:c r="J705" s="99" t="n">
        <x:v>15</x:v>
      </x:c>
      <x:c r="K705" s="100" t="n">
        <x:v>0.014705882352941176</x:v>
      </x:c>
      <x:c r="L705" s="99" t="n">
        <x:v>17</x:v>
      </x:c>
      <x:c r="M705" s="100" t="n">
        <x:v>-4.135649681091309</x:v>
      </x:c>
    </x:row>
    <x:row r="706">
      <x:c r="A706" s="38" t="str">
        <x:v>Q018::B0BVJ4DHFQ_review_3684506</x:v>
      </x:c>
      <x:c r="B706" s="38" t="str">
        <x:v>Q018</x:v>
      </x:c>
      <x:c r="C706" s="38" t="str">
        <x:v>B0BVJ4DHFQ_review_3684506</x:v>
      </x:c>
      <x:c r="D706" s="38" t="str">
        <x:v>B0BVJ4DHFQ</x:v>
      </x:c>
      <x:c r="E706" s="38" t="str">
        <x:v>bm25; hybrid_rrf; cross_encoder</x:v>
      </x:c>
      <x:c r="F706" s="99" t="n">
        <x:v>2</x:v>
      </x:c>
      <x:c r="G706" s="100" t="n">
        <x:v>27.807738313386693</x:v>
      </x:c>
      <x:c r="H706" s="99"/>
      <x:c r="I706" s="100"/>
      <x:c r="J706" s="99" t="n">
        <x:v>4</x:v>
      </x:c>
      <x:c r="K706" s="100" t="n">
        <x:v>0.016129032258064516</x:v>
      </x:c>
      <x:c r="L706" s="99" t="n">
        <x:v>4</x:v>
      </x:c>
      <x:c r="M706" s="100" t="n">
        <x:v>2.208346128463745</x:v>
      </x:c>
    </x:row>
    <x:row r="707">
      <x:c r="A707" s="38" t="str">
        <x:v>Q018::B0026SKZO0_review_2781281</x:v>
      </x:c>
      <x:c r="B707" s="38" t="str">
        <x:v>Q018</x:v>
      </x:c>
      <x:c r="C707" s="38" t="str">
        <x:v>B0026SKZO0_review_2781281</x:v>
      </x:c>
      <x:c r="D707" s="38" t="str">
        <x:v>B0026SKZO0</x:v>
      </x:c>
      <x:c r="E707" s="38" t="str">
        <x:v>dense; hybrid_rrf; cross_encoder</x:v>
      </x:c>
      <x:c r="F707" s="99"/>
      <x:c r="G707" s="100"/>
      <x:c r="H707" s="99" t="n">
        <x:v>10</x:v>
      </x:c>
      <x:c r="I707" s="100" t="n">
        <x:v>0.7335379123687744</x:v>
      </x:c>
      <x:c r="J707" s="99" t="n">
        <x:v>18</x:v>
      </x:c>
      <x:c r="K707" s="100" t="n">
        <x:v>0.014285714285714285</x:v>
      </x:c>
      <x:c r="L707" s="99" t="n">
        <x:v>19</x:v>
      </x:c>
      <x:c r="M707" s="100" t="n">
        <x:v>-5.175293922424316</x:v>
      </x:c>
    </x:row>
    <x:row r="708">
      <x:c r="A708" s="38" t="str">
        <x:v>Q018::B00JAZGSXY_review_2564870</x:v>
      </x:c>
      <x:c r="B708" s="38" t="str">
        <x:v>Q018</x:v>
      </x:c>
      <x:c r="C708" s="38" t="str">
        <x:v>B00JAZGSXY_review_2564870</x:v>
      </x:c>
      <x:c r="D708" s="38" t="str">
        <x:v>B00JAZGSXY</x:v>
      </x:c>
      <x:c r="E708" s="38" t="str">
        <x:v>bm25</x:v>
      </x:c>
      <x:c r="F708" s="99" t="n">
        <x:v>16</x:v>
      </x:c>
      <x:c r="G708" s="100" t="n">
        <x:v>19.701883360546613</x:v>
      </x:c>
      <x:c r="H708" s="99"/>
      <x:c r="I708" s="100"/>
      <x:c r="J708" s="99"/>
      <x:c r="K708" s="100"/>
      <x:c r="L708" s="99"/>
      <x:c r="M708" s="100"/>
    </x:row>
    <x:row r="709">
      <x:c r="A709" s="38" t="str">
        <x:v>Q018::B0BSMW36LL_review_3151174</x:v>
      </x:c>
      <x:c r="B709" s="38" t="str">
        <x:v>Q018</x:v>
      </x:c>
      <x:c r="C709" s="38" t="str">
        <x:v>B0BSMW36LL_review_3151174</x:v>
      </x:c>
      <x:c r="D709" s="38" t="str">
        <x:v>B0BSMW36LL</x:v>
      </x:c>
      <x:c r="E709" s="38" t="str">
        <x:v>bm25; hybrid_rrf; cross_encoder</x:v>
      </x:c>
      <x:c r="F709" s="99" t="n">
        <x:v>1</x:v>
      </x:c>
      <x:c r="G709" s="100" t="n">
        <x:v>36.97694511328993</x:v>
      </x:c>
      <x:c r="H709" s="99"/>
      <x:c r="I709" s="100"/>
      <x:c r="J709" s="99" t="n">
        <x:v>3</x:v>
      </x:c>
      <x:c r="K709" s="100" t="n">
        <x:v>0.01639344262295082</x:v>
      </x:c>
      <x:c r="L709" s="99" t="n">
        <x:v>1</x:v>
      </x:c>
      <x:c r="M709" s="100" t="n">
        <x:v>5.561342239379883</x:v>
      </x:c>
    </x:row>
    <x:row r="710">
      <x:c r="A710" s="38" t="str">
        <x:v>Q018::B081V8TDMF_review_3647611</x:v>
      </x:c>
      <x:c r="B710" s="38" t="str">
        <x:v>Q018</x:v>
      </x:c>
      <x:c r="C710" s="38" t="str">
        <x:v>B081V8TDMF_review_3647611</x:v>
      </x:c>
      <x:c r="D710" s="38" t="str">
        <x:v>B081V8TDMF</x:v>
      </x:c>
      <x:c r="E710" s="38" t="str">
        <x:v>bm25</x:v>
      </x:c>
      <x:c r="F710" s="99" t="n">
        <x:v>17</x:v>
      </x:c>
      <x:c r="G710" s="100" t="n">
        <x:v>19.679285502849854</x:v>
      </x:c>
      <x:c r="H710" s="99"/>
      <x:c r="I710" s="100"/>
      <x:c r="J710" s="99"/>
      <x:c r="K710" s="100"/>
      <x:c r="L710" s="99"/>
      <x:c r="M710" s="100"/>
    </x:row>
    <x:row r="711">
      <x:c r="A711" s="38" t="str">
        <x:v>Q018::B08D3TK9RH_review_1638114</x:v>
      </x:c>
      <x:c r="B711" s="38" t="str">
        <x:v>Q018</x:v>
      </x:c>
      <x:c r="C711" s="38" t="str">
        <x:v>B08D3TK9RH_review_1638114</x:v>
      </x:c>
      <x:c r="D711" s="38" t="str">
        <x:v>B08D3TK9RH</x:v>
      </x:c>
      <x:c r="E711" s="38" t="str">
        <x:v>bm25; hybrid_rrf; cross_encoder</x:v>
      </x:c>
      <x:c r="F711" s="99" t="n">
        <x:v>7</x:v>
      </x:c>
      <x:c r="G711" s="100" t="n">
        <x:v>22.381890343801516</x:v>
      </x:c>
      <x:c r="H711" s="99"/>
      <x:c r="I711" s="100"/>
      <x:c r="J711" s="99" t="n">
        <x:v>13</x:v>
      </x:c>
      <x:c r="K711" s="100" t="n">
        <x:v>0.014925373134328358</x:v>
      </x:c>
      <x:c r="L711" s="99" t="n">
        <x:v>20</x:v>
      </x:c>
      <x:c r="M711" s="100" t="n">
        <x:v>-6.1719465255737305</x:v>
      </x:c>
    </x:row>
    <x:row r="712">
      <x:c r="A712" s="38" t="str">
        <x:v>Q018::B07D1ZVJ54_review_3784873</x:v>
      </x:c>
      <x:c r="B712" s="38" t="str">
        <x:v>Q018</x:v>
      </x:c>
      <x:c r="C712" s="38" t="str">
        <x:v>B07D1ZVJ54_review_3784873</x:v>
      </x:c>
      <x:c r="D712" s="38" t="str">
        <x:v>B07D1ZVJ54</x:v>
      </x:c>
      <x:c r="E712" s="38" t="str">
        <x:v>bm25</x:v>
      </x:c>
      <x:c r="F712" s="99" t="n">
        <x:v>13</x:v>
      </x:c>
      <x:c r="G712" s="100" t="n">
        <x:v>19.939996249735458</x:v>
      </x:c>
      <x:c r="H712" s="99"/>
      <x:c r="I712" s="100"/>
      <x:c r="J712" s="99"/>
      <x:c r="K712" s="100"/>
      <x:c r="L712" s="99"/>
      <x:c r="M712" s="100"/>
    </x:row>
    <x:row r="713">
      <x:c r="A713" s="38" t="str">
        <x:v>Q019::B01M0GHMCT_review_1481522</x:v>
      </x:c>
      <x:c r="B713" s="38" t="str">
        <x:v>Q019</x:v>
      </x:c>
      <x:c r="C713" s="38" t="str">
        <x:v>B01M0GHMCT_review_1481522</x:v>
      </x:c>
      <x:c r="D713" s="38" t="str">
        <x:v>B01M0GHMCT</x:v>
      </x:c>
      <x:c r="E713" s="38" t="str">
        <x:v>bm25</x:v>
      </x:c>
      <x:c r="F713" s="99" t="n">
        <x:v>15</x:v>
      </x:c>
      <x:c r="G713" s="100" t="n">
        <x:v>20.487699969149936</x:v>
      </x:c>
      <x:c r="H713" s="99"/>
      <x:c r="I713" s="100"/>
      <x:c r="J713" s="99"/>
      <x:c r="K713" s="100"/>
      <x:c r="L713" s="99"/>
      <x:c r="M713" s="100"/>
    </x:row>
    <x:row r="714">
      <x:c r="A714" s="38" t="str">
        <x:v>Q019::B089NDBM22_review_2258331</x:v>
      </x:c>
      <x:c r="B714" s="38" t="str">
        <x:v>Q019</x:v>
      </x:c>
      <x:c r="C714" s="38" t="str">
        <x:v>B089NDBM22_review_2258331</x:v>
      </x:c>
      <x:c r="D714" s="38" t="str">
        <x:v>B089NDBM22</x:v>
      </x:c>
      <x:c r="E714" s="38" t="str">
        <x:v>bm25</x:v>
      </x:c>
      <x:c r="F714" s="99" t="n">
        <x:v>20</x:v>
      </x:c>
      <x:c r="G714" s="100" t="n">
        <x:v>20.248414711470414</x:v>
      </x:c>
      <x:c r="H714" s="99"/>
      <x:c r="I714" s="100"/>
      <x:c r="J714" s="99"/>
      <x:c r="K714" s="100"/>
      <x:c r="L714" s="99"/>
      <x:c r="M714" s="100"/>
    </x:row>
    <x:row r="715">
      <x:c r="A715" s="38" t="str">
        <x:v>Q019::B08NV4XMWZ_review_821573</x:v>
      </x:c>
      <x:c r="B715" s="38" t="str">
        <x:v>Q019</x:v>
      </x:c>
      <x:c r="C715" s="38" t="str">
        <x:v>B08NV4XMWZ_review_821573</x:v>
      </x:c>
      <x:c r="D715" s="38" t="str">
        <x:v>B08NV4XMWZ</x:v>
      </x:c>
      <x:c r="E715" s="38" t="str">
        <x:v>bm25; hybrid_rrf; cross_encoder</x:v>
      </x:c>
      <x:c r="F715" s="99" t="n">
        <x:v>8</x:v>
      </x:c>
      <x:c r="G715" s="100" t="n">
        <x:v>21.091566899755062</x:v>
      </x:c>
      <x:c r="H715" s="99"/>
      <x:c r="I715" s="100"/>
      <x:c r="J715" s="99" t="n">
        <x:v>16</x:v>
      </x:c>
      <x:c r="K715" s="100" t="n">
        <x:v>0.014705882352941176</x:v>
      </x:c>
      <x:c r="L715" s="99" t="n">
        <x:v>9</x:v>
      </x:c>
      <x:c r="M715" s="100" t="n">
        <x:v>1.2991786003112793</x:v>
      </x:c>
    </x:row>
    <x:row r="716">
      <x:c r="A716" s="38" t="str">
        <x:v>Q019::B010MHZGOU_review_1507310</x:v>
      </x:c>
      <x:c r="B716" s="38" t="str">
        <x:v>Q019</x:v>
      </x:c>
      <x:c r="C716" s="38" t="str">
        <x:v>B010MHZGOU_review_1507310</x:v>
      </x:c>
      <x:c r="D716" s="38" t="str">
        <x:v>B010MHZGOU</x:v>
      </x:c>
      <x:c r="E716" s="38" t="str">
        <x:v>dense; hybrid_rrf; cross_encoder</x:v>
      </x:c>
      <x:c r="F716" s="99"/>
      <x:c r="G716" s="100"/>
      <x:c r="H716" s="99" t="n">
        <x:v>8</x:v>
      </x:c>
      <x:c r="I716" s="100" t="n">
        <x:v>0.7675867676734924</x:v>
      </x:c>
      <x:c r="J716" s="99" t="n">
        <x:v>15</x:v>
      </x:c>
      <x:c r="K716" s="100" t="n">
        <x:v>0.014705882352941176</x:v>
      </x:c>
      <x:c r="L716" s="99" t="n">
        <x:v>13</x:v>
      </x:c>
      <x:c r="M716" s="100" t="n">
        <x:v>-1.3279528617858887</x:v>
      </x:c>
    </x:row>
    <x:row r="717">
      <x:c r="A717" s="38" t="str">
        <x:v>Q019::B018JN2BU6_review_2230574</x:v>
      </x:c>
      <x:c r="B717" s="38" t="str">
        <x:v>Q019</x:v>
      </x:c>
      <x:c r="C717" s="38" t="str">
        <x:v>B018JN2BU6_review_2230574</x:v>
      </x:c>
      <x:c r="D717" s="38" t="str">
        <x:v>B018JN2BU6</x:v>
      </x:c>
      <x:c r="E717" s="38" t="str">
        <x:v>dense</x:v>
      </x:c>
      <x:c r="F717" s="99"/>
      <x:c r="G717" s="100"/>
      <x:c r="H717" s="99" t="n">
        <x:v>13</x:v>
      </x:c>
      <x:c r="I717" s="100" t="n">
        <x:v>0.7630127668380737</x:v>
      </x:c>
      <x:c r="J717" s="99"/>
      <x:c r="K717" s="100"/>
      <x:c r="L717" s="99"/>
      <x:c r="M717" s="100"/>
    </x:row>
    <x:row r="718">
      <x:c r="A718" s="38" t="str">
        <x:v>Q019::B01DFJMNWK_review_1099786</x:v>
      </x:c>
      <x:c r="B718" s="38" t="str">
        <x:v>Q019</x:v>
      </x:c>
      <x:c r="C718" s="38" t="str">
        <x:v>B01DFJMNWK_review_1099786</x:v>
      </x:c>
      <x:c r="D718" s="38" t="str">
        <x:v>B01DFJMNWK</x:v>
      </x:c>
      <x:c r="E718" s="38" t="str">
        <x:v>dense</x:v>
      </x:c>
      <x:c r="F718" s="99"/>
      <x:c r="G718" s="100"/>
      <x:c r="H718" s="99" t="n">
        <x:v>16</x:v>
      </x:c>
      <x:c r="I718" s="100" t="n">
        <x:v>0.7604554891586304</x:v>
      </x:c>
      <x:c r="J718" s="99"/>
      <x:c r="K718" s="100"/>
      <x:c r="L718" s="99"/>
      <x:c r="M718" s="100"/>
    </x:row>
    <x:row r="719">
      <x:c r="A719" s="38" t="str">
        <x:v>Q019::B006X59X9A_review_2897710</x:v>
      </x:c>
      <x:c r="B719" s="38" t="str">
        <x:v>Q019</x:v>
      </x:c>
      <x:c r="C719" s="38" t="str">
        <x:v>B006X59X9A_review_2897710</x:v>
      </x:c>
      <x:c r="D719" s="38" t="str">
        <x:v>B006X59X9A</x:v>
      </x:c>
      <x:c r="E719" s="38" t="str">
        <x:v>bm25; hybrid_rrf; cross_encoder</x:v>
      </x:c>
      <x:c r="F719" s="99" t="n">
        <x:v>9</x:v>
      </x:c>
      <x:c r="G719" s="100" t="n">
        <x:v>20.956596355044887</x:v>
      </x:c>
      <x:c r="H719" s="99"/>
      <x:c r="I719" s="100"/>
      <x:c r="J719" s="99" t="n">
        <x:v>18</x:v>
      </x:c>
      <x:c r="K719" s="100" t="n">
        <x:v>0.014492753623188406</x:v>
      </x:c>
      <x:c r="L719" s="99" t="n">
        <x:v>16</x:v>
      </x:c>
      <x:c r="M719" s="100" t="n">
        <x:v>-2.0343236923217773</x:v>
      </x:c>
    </x:row>
    <x:row r="720">
      <x:c r="A720" s="38" t="str">
        <x:v>Q019::B081G99954_review_2894071</x:v>
      </x:c>
      <x:c r="B720" s="38" t="str">
        <x:v>Q019</x:v>
      </x:c>
      <x:c r="C720" s="38" t="str">
        <x:v>B081G99954_review_2894071</x:v>
      </x:c>
      <x:c r="D720" s="38" t="str">
        <x:v>B081G99954</x:v>
      </x:c>
      <x:c r="E720" s="38" t="str">
        <x:v>bm25</x:v>
      </x:c>
      <x:c r="F720" s="99" t="n">
        <x:v>11</x:v>
      </x:c>
      <x:c r="G720" s="100" t="n">
        <x:v>20.867188179601047</x:v>
      </x:c>
      <x:c r="H720" s="99"/>
      <x:c r="I720" s="100"/>
      <x:c r="J720" s="99"/>
      <x:c r="K720" s="100"/>
      <x:c r="L720" s="99"/>
      <x:c r="M720" s="100"/>
    </x:row>
    <x:row r="721">
      <x:c r="A721" s="38" t="str">
        <x:v>Q019::B003LR9352_review_3915494</x:v>
      </x:c>
      <x:c r="B721" s="38" t="str">
        <x:v>Q019</x:v>
      </x:c>
      <x:c r="C721" s="38" t="str">
        <x:v>B003LR9352_review_3915494</x:v>
      </x:c>
      <x:c r="D721" s="38" t="str">
        <x:v>B003LR9352</x:v>
      </x:c>
      <x:c r="E721" s="38" t="str">
        <x:v>bm25; hybrid_rrf; cross_encoder</x:v>
      </x:c>
      <x:c r="F721" s="99" t="n">
        <x:v>6</x:v>
      </x:c>
      <x:c r="G721" s="100" t="n">
        <x:v>21.10360325325376</x:v>
      </x:c>
      <x:c r="H721" s="99"/>
      <x:c r="I721" s="100"/>
      <x:c r="J721" s="99" t="n">
        <x:v>11</x:v>
      </x:c>
      <x:c r="K721" s="100" t="n">
        <x:v>0.015151515151515152</x:v>
      </x:c>
      <x:c r="L721" s="99" t="n">
        <x:v>19</x:v>
      </x:c>
      <x:c r="M721" s="100" t="n">
        <x:v>-3.9802095890045166</x:v>
      </x:c>
    </x:row>
    <x:row r="722">
      <x:c r="A722" s="38" t="str">
        <x:v>Q019::B004I6AZ9S_review_1830130</x:v>
      </x:c>
      <x:c r="B722" s="38" t="str">
        <x:v>Q019</x:v>
      </x:c>
      <x:c r="C722" s="38" t="str">
        <x:v>B004I6AZ9S_review_1830130</x:v>
      </x:c>
      <x:c r="D722" s="38" t="str">
        <x:v>B004I6AZ9S</x:v>
      </x:c>
      <x:c r="E722" s="38" t="str">
        <x:v>dense</x:v>
      </x:c>
      <x:c r="F722" s="99"/>
      <x:c r="G722" s="100"/>
      <x:c r="H722" s="99" t="n">
        <x:v>11</x:v>
      </x:c>
      <x:c r="I722" s="100" t="n">
        <x:v>0.7636375427246094</x:v>
      </x:c>
      <x:c r="J722" s="99"/>
      <x:c r="K722" s="100"/>
      <x:c r="L722" s="99"/>
      <x:c r="M722" s="100"/>
    </x:row>
    <x:row r="723">
      <x:c r="A723" s="38" t="str">
        <x:v>Q019::B00NLXNUDW_review_1105036</x:v>
      </x:c>
      <x:c r="B723" s="38" t="str">
        <x:v>Q019</x:v>
      </x:c>
      <x:c r="C723" s="38" t="str">
        <x:v>B00NLXNUDW_review_1105036</x:v>
      </x:c>
      <x:c r="D723" s="38" t="str">
        <x:v>B00NLXNUDW</x:v>
      </x:c>
      <x:c r="E723" s="38" t="str">
        <x:v>bm25; hybrid_rrf; cross_encoder</x:v>
      </x:c>
      <x:c r="F723" s="99" t="n">
        <x:v>5</x:v>
      </x:c>
      <x:c r="G723" s="100" t="n">
        <x:v>21.142794289695704</x:v>
      </x:c>
      <x:c r="H723" s="99"/>
      <x:c r="I723" s="100"/>
      <x:c r="J723" s="99" t="n">
        <x:v>9</x:v>
      </x:c>
      <x:c r="K723" s="100" t="n">
        <x:v>0.015384615384615385</x:v>
      </x:c>
      <x:c r="L723" s="99" t="n">
        <x:v>7</x:v>
      </x:c>
      <x:c r="M723" s="100" t="n">
        <x:v>1.4708387851715088</x:v>
      </x:c>
    </x:row>
    <x:row r="724">
      <x:c r="A724" s="38" t="str">
        <x:v>Q019::B0019SEGUW_review_3789184</x:v>
      </x:c>
      <x:c r="B724" s="38" t="str">
        <x:v>Q019</x:v>
      </x:c>
      <x:c r="C724" s="38" t="str">
        <x:v>B0019SEGUW_review_3789184</x:v>
      </x:c>
      <x:c r="D724" s="38" t="str">
        <x:v>B0019SEGUW</x:v>
      </x:c>
      <x:c r="E724" s="38" t="str">
        <x:v>dense</x:v>
      </x:c>
      <x:c r="F724" s="99"/>
      <x:c r="G724" s="100"/>
      <x:c r="H724" s="99" t="n">
        <x:v>18</x:v>
      </x:c>
      <x:c r="I724" s="100" t="n">
        <x:v>0.7593667507171631</x:v>
      </x:c>
      <x:c r="J724" s="99"/>
      <x:c r="K724" s="100"/>
      <x:c r="L724" s="99"/>
      <x:c r="M724" s="100"/>
    </x:row>
    <x:row r="725">
      <x:c r="A725" s="38" t="str">
        <x:v>Q019::B07KHMZVQP_review_4141332</x:v>
      </x:c>
      <x:c r="B725" s="38" t="str">
        <x:v>Q019</x:v>
      </x:c>
      <x:c r="C725" s="38" t="str">
        <x:v>B07KHMZVQP_review_4141332</x:v>
      </x:c>
      <x:c r="D725" s="38" t="str">
        <x:v>B07KHMZVQP</x:v>
      </x:c>
      <x:c r="E725" s="38" t="str">
        <x:v>dense</x:v>
      </x:c>
      <x:c r="F725" s="99"/>
      <x:c r="G725" s="100"/>
      <x:c r="H725" s="99" t="n">
        <x:v>12</x:v>
      </x:c>
      <x:c r="I725" s="100" t="n">
        <x:v>0.7635887861251831</x:v>
      </x:c>
      <x:c r="J725" s="99"/>
      <x:c r="K725" s="100"/>
      <x:c r="L725" s="99"/>
      <x:c r="M725" s="100"/>
    </x:row>
    <x:row r="726">
      <x:c r="A726" s="38" t="str">
        <x:v>Q019::B08JLGX72X_review_375012</x:v>
      </x:c>
      <x:c r="B726" s="38" t="str">
        <x:v>Q019</x:v>
      </x:c>
      <x:c r="C726" s="38" t="str">
        <x:v>B08JLGX72X_review_375012</x:v>
      </x:c>
      <x:c r="D726" s="38" t="str">
        <x:v>B08JLGX72X</x:v>
      </x:c>
      <x:c r="E726" s="38" t="str">
        <x:v>dense</x:v>
      </x:c>
      <x:c r="F726" s="99"/>
      <x:c r="G726" s="100"/>
      <x:c r="H726" s="99" t="n">
        <x:v>15</x:v>
      </x:c>
      <x:c r="I726" s="100" t="n">
        <x:v>0.7606807947158813</x:v>
      </x:c>
      <x:c r="J726" s="99"/>
      <x:c r="K726" s="100"/>
      <x:c r="L726" s="99"/>
      <x:c r="M726" s="100"/>
    </x:row>
    <x:row r="727">
      <x:c r="A727" s="38" t="str">
        <x:v>Q019::B09B2CK7XD_review_3881666</x:v>
      </x:c>
      <x:c r="B727" s="38" t="str">
        <x:v>Q019</x:v>
      </x:c>
      <x:c r="C727" s="38" t="str">
        <x:v>B09B2CK7XD_review_3881666</x:v>
      </x:c>
      <x:c r="D727" s="38" t="str">
        <x:v>B09B2CK7XD</x:v>
      </x:c>
      <x:c r="E727" s="38" t="str">
        <x:v>bm25; hybrid_rrf; cross_encoder</x:v>
      </x:c>
      <x:c r="F727" s="99" t="n">
        <x:v>7</x:v>
      </x:c>
      <x:c r="G727" s="100" t="n">
        <x:v>21.101349956029566</x:v>
      </x:c>
      <x:c r="H727" s="99"/>
      <x:c r="I727" s="100"/>
      <x:c r="J727" s="99" t="n">
        <x:v>14</x:v>
      </x:c>
      <x:c r="K727" s="100" t="n">
        <x:v>0.014925373134328358</x:v>
      </x:c>
      <x:c r="L727" s="99" t="n">
        <x:v>8</x:v>
      </x:c>
      <x:c r="M727" s="100" t="n">
        <x:v>1.302819013595581</x:v>
      </x:c>
    </x:row>
    <x:row r="728">
      <x:c r="A728" s="38" t="str">
        <x:v>Q019::B0763YJR1N_review_3470453</x:v>
      </x:c>
      <x:c r="B728" s="38" t="str">
        <x:v>Q019</x:v>
      </x:c>
      <x:c r="C728" s="38" t="str">
        <x:v>B0763YJR1N_review_3470453</x:v>
      </x:c>
      <x:c r="D728" s="38" t="str">
        <x:v>B0763YJR1N</x:v>
      </x:c>
      <x:c r="E728" s="38" t="str">
        <x:v>dense; hybrid_rrf; cross_encoder</x:v>
      </x:c>
      <x:c r="F728" s="99"/>
      <x:c r="G728" s="100"/>
      <x:c r="H728" s="99" t="n">
        <x:v>2</x:v>
      </x:c>
      <x:c r="I728" s="100" t="n">
        <x:v>0.7877706289291382</x:v>
      </x:c>
      <x:c r="J728" s="99" t="n">
        <x:v>4</x:v>
      </x:c>
      <x:c r="K728" s="100" t="n">
        <x:v>0.016129032258064516</x:v>
      </x:c>
      <x:c r="L728" s="99" t="n">
        <x:v>5</x:v>
      </x:c>
      <x:c r="M728" s="100" t="n">
        <x:v>2.8213703632354736</x:v>
      </x:c>
    </x:row>
    <x:row r="729">
      <x:c r="A729" s="38" t="str">
        <x:v>Q019::B00763XONY_review_1660469</x:v>
      </x:c>
      <x:c r="B729" s="38" t="str">
        <x:v>Q019</x:v>
      </x:c>
      <x:c r="C729" s="38" t="str">
        <x:v>B00763XONY_review_1660469</x:v>
      </x:c>
      <x:c r="D729" s="38" t="str">
        <x:v>B00763XONY</x:v>
      </x:c>
      <x:c r="E729" s="38" t="str">
        <x:v>bm25</x:v>
      </x:c>
      <x:c r="F729" s="99" t="n">
        <x:v>17</x:v>
      </x:c>
      <x:c r="G729" s="100" t="n">
        <x:v>20.378118122406047</x:v>
      </x:c>
      <x:c r="H729" s="99"/>
      <x:c r="I729" s="100"/>
      <x:c r="J729" s="99"/>
      <x:c r="K729" s="100"/>
      <x:c r="L729" s="99"/>
      <x:c r="M729" s="100"/>
    </x:row>
    <x:row r="730">
      <x:c r="A730" s="38" t="str">
        <x:v>Q019::B004BHCKBK_review_442153</x:v>
      </x:c>
      <x:c r="B730" s="38" t="str">
        <x:v>Q019</x:v>
      </x:c>
      <x:c r="C730" s="38" t="str">
        <x:v>B004BHCKBK_review_442153</x:v>
      </x:c>
      <x:c r="D730" s="38" t="str">
        <x:v>B004BHCKBK</x:v>
      </x:c>
      <x:c r="E730" s="38" t="str">
        <x:v>dense; hybrid_rrf; cross_encoder</x:v>
      </x:c>
      <x:c r="F730" s="99"/>
      <x:c r="G730" s="100"/>
      <x:c r="H730" s="99" t="n">
        <x:v>9</x:v>
      </x:c>
      <x:c r="I730" s="100" t="n">
        <x:v>0.7667926549911499</x:v>
      </x:c>
      <x:c r="J730" s="99" t="n">
        <x:v>17</x:v>
      </x:c>
      <x:c r="K730" s="100" t="n">
        <x:v>0.014492753623188406</x:v>
      </x:c>
      <x:c r="L730" s="99" t="n">
        <x:v>17</x:v>
      </x:c>
      <x:c r="M730" s="100" t="n">
        <x:v>-2.5554275512695312</x:v>
      </x:c>
    </x:row>
    <x:row r="731">
      <x:c r="A731" s="38" t="str">
        <x:v>Q019::B00281T8HK_review_1428181</x:v>
      </x:c>
      <x:c r="B731" s="38" t="str">
        <x:v>Q019</x:v>
      </x:c>
      <x:c r="C731" s="38" t="str">
        <x:v>B00281T8HK_review_1428181</x:v>
      </x:c>
      <x:c r="D731" s="38" t="str">
        <x:v>B00281T8HK</x:v>
      </x:c>
      <x:c r="E731" s="38" t="str">
        <x:v>bm25</x:v>
      </x:c>
      <x:c r="F731" s="99" t="n">
        <x:v>12</x:v>
      </x:c>
      <x:c r="G731" s="100" t="n">
        <x:v>20.789720784111292</x:v>
      </x:c>
      <x:c r="H731" s="99"/>
      <x:c r="I731" s="100"/>
      <x:c r="J731" s="99"/>
      <x:c r="K731" s="100"/>
      <x:c r="L731" s="99"/>
      <x:c r="M731" s="100"/>
    </x:row>
    <x:row r="732">
      <x:c r="A732" s="38" t="str">
        <x:v>Q019::B004UGJLT6_review_3032788</x:v>
      </x:c>
      <x:c r="B732" s="38" t="str">
        <x:v>Q019</x:v>
      </x:c>
      <x:c r="C732" s="38" t="str">
        <x:v>B004UGJLT6_review_3032788</x:v>
      </x:c>
      <x:c r="D732" s="38" t="str">
        <x:v>B004UGJLT6</x:v>
      </x:c>
      <x:c r="E732" s="38" t="str">
        <x:v>dense; hybrid_rrf; cross_encoder</x:v>
      </x:c>
      <x:c r="F732" s="99"/>
      <x:c r="G732" s="100"/>
      <x:c r="H732" s="99" t="n">
        <x:v>6</x:v>
      </x:c>
      <x:c r="I732" s="100" t="n">
        <x:v>0.7689329385757446</x:v>
      </x:c>
      <x:c r="J732" s="99" t="n">
        <x:v>12</x:v>
      </x:c>
      <x:c r="K732" s="100" t="n">
        <x:v>0.015151515151515152</x:v>
      </x:c>
      <x:c r="L732" s="99" t="n">
        <x:v>6</x:v>
      </x:c>
      <x:c r="M732" s="100" t="n">
        <x:v>1.9287688732147217</x:v>
      </x:c>
    </x:row>
    <x:row r="733">
      <x:c r="A733" s="38" t="str">
        <x:v>Q019::B009UGAV36_review_955190</x:v>
      </x:c>
      <x:c r="B733" s="38" t="str">
        <x:v>Q019</x:v>
      </x:c>
      <x:c r="C733" s="38" t="str">
        <x:v>B009UGAV36_review_955190</x:v>
      </x:c>
      <x:c r="D733" s="38" t="str">
        <x:v>B009UGAV36</x:v>
      </x:c>
      <x:c r="E733" s="38" t="str">
        <x:v>dense</x:v>
      </x:c>
      <x:c r="F733" s="99"/>
      <x:c r="G733" s="100"/>
      <x:c r="H733" s="99" t="n">
        <x:v>20</x:v>
      </x:c>
      <x:c r="I733" s="100" t="n">
        <x:v>0.7590101361274719</x:v>
      </x:c>
      <x:c r="J733" s="99"/>
      <x:c r="K733" s="100"/>
      <x:c r="L733" s="99"/>
      <x:c r="M733" s="100"/>
    </x:row>
    <x:row r="734">
      <x:c r="A734" s="38" t="str">
        <x:v>Q019::B009HAUYQO_review_1080682</x:v>
      </x:c>
      <x:c r="B734" s="38" t="str">
        <x:v>Q019</x:v>
      </x:c>
      <x:c r="C734" s="38" t="str">
        <x:v>B009HAUYQO_review_1080682</x:v>
      </x:c>
      <x:c r="D734" s="38" t="str">
        <x:v>B009HAUYQO</x:v>
      </x:c>
      <x:c r="E734" s="38" t="str">
        <x:v>dense; hybrid_rrf; cross_encoder</x:v>
      </x:c>
      <x:c r="F734" s="99"/>
      <x:c r="G734" s="100"/>
      <x:c r="H734" s="99" t="n">
        <x:v>1</x:v>
      </x:c>
      <x:c r="I734" s="100" t="n">
        <x:v>0.7923598289489746</x:v>
      </x:c>
      <x:c r="J734" s="99" t="n">
        <x:v>1</x:v>
      </x:c>
      <x:c r="K734" s="100" t="n">
        <x:v>0.01639344262295082</x:v>
      </x:c>
      <x:c r="L734" s="99" t="n">
        <x:v>1</x:v>
      </x:c>
      <x:c r="M734" s="100" t="n">
        <x:v>3.8125929832458496</x:v>
      </x:c>
    </x:row>
    <x:row r="735">
      <x:c r="A735" s="38" t="str">
        <x:v>Q019::B009Z27U5W_review_1969208</x:v>
      </x:c>
      <x:c r="B735" s="38" t="str">
        <x:v>Q019</x:v>
      </x:c>
      <x:c r="C735" s="38" t="str">
        <x:v>B009Z27U5W_review_1969208</x:v>
      </x:c>
      <x:c r="D735" s="38" t="str">
        <x:v>B009Z27U5W</x:v>
      </x:c>
      <x:c r="E735" s="38" t="str">
        <x:v>dense; hybrid_rrf; cross_encoder</x:v>
      </x:c>
      <x:c r="F735" s="99"/>
      <x:c r="G735" s="100"/>
      <x:c r="H735" s="99" t="n">
        <x:v>4</x:v>
      </x:c>
      <x:c r="I735" s="100" t="n">
        <x:v>0.7731395363807678</x:v>
      </x:c>
      <x:c r="J735" s="99" t="n">
        <x:v>7</x:v>
      </x:c>
      <x:c r="K735" s="100" t="n">
        <x:v>0.015625</x:v>
      </x:c>
      <x:c r="L735" s="99" t="n">
        <x:v>18</x:v>
      </x:c>
      <x:c r="M735" s="100" t="n">
        <x:v>-3.8960275650024414</x:v>
      </x:c>
    </x:row>
    <x:row r="736">
      <x:c r="A736" s="38" t="str">
        <x:v>Q019::B00527J0OI_review_348701</x:v>
      </x:c>
      <x:c r="B736" s="38" t="str">
        <x:v>Q019</x:v>
      </x:c>
      <x:c r="C736" s="38" t="str">
        <x:v>B00527J0OI_review_348701</x:v>
      </x:c>
      <x:c r="D736" s="38" t="str">
        <x:v>B00527J0OI</x:v>
      </x:c>
      <x:c r="E736" s="38" t="str">
        <x:v>dense</x:v>
      </x:c>
      <x:c r="F736" s="99"/>
      <x:c r="G736" s="100"/>
      <x:c r="H736" s="99" t="n">
        <x:v>17</x:v>
      </x:c>
      <x:c r="I736" s="100" t="n">
        <x:v>0.759998083114624</x:v>
      </x:c>
      <x:c r="J736" s="99"/>
      <x:c r="K736" s="100"/>
      <x:c r="L736" s="99"/>
      <x:c r="M736" s="100"/>
    </x:row>
    <x:row r="737">
      <x:c r="A737" s="38" t="str">
        <x:v>Q019::B010EZ2M9C_review_827734</x:v>
      </x:c>
      <x:c r="B737" s="38" t="str">
        <x:v>Q019</x:v>
      </x:c>
      <x:c r="C737" s="38" t="str">
        <x:v>B010EZ2M9C_review_827734</x:v>
      </x:c>
      <x:c r="D737" s="38" t="str">
        <x:v>B010EZ2M9C</x:v>
      </x:c>
      <x:c r="E737" s="38" t="str">
        <x:v>bm25; hybrid_rrf; cross_encoder</x:v>
      </x:c>
      <x:c r="F737" s="99" t="n">
        <x:v>2</x:v>
      </x:c>
      <x:c r="G737" s="100" t="n">
        <x:v>21.659630558310745</x:v>
      </x:c>
      <x:c r="H737" s="99"/>
      <x:c r="I737" s="100"/>
      <x:c r="J737" s="99" t="n">
        <x:v>3</x:v>
      </x:c>
      <x:c r="K737" s="100" t="n">
        <x:v>0.016129032258064516</x:v>
      </x:c>
      <x:c r="L737" s="99" t="n">
        <x:v>15</x:v>
      </x:c>
      <x:c r="M737" s="100" t="n">
        <x:v>-1.631874442100525</x:v>
      </x:c>
    </x:row>
    <x:row r="738">
      <x:c r="A738" s="38" t="str">
        <x:v>Q019::B01LX8LLRD_review_1480078</x:v>
      </x:c>
      <x:c r="B738" s="38" t="str">
        <x:v>Q019</x:v>
      </x:c>
      <x:c r="C738" s="38" t="str">
        <x:v>B01LX8LLRD_review_1480078</x:v>
      </x:c>
      <x:c r="D738" s="38" t="str">
        <x:v>B01LX8LLRD</x:v>
      </x:c>
      <x:c r="E738" s="38" t="str">
        <x:v>dense; hybrid_rrf; cross_encoder</x:v>
      </x:c>
      <x:c r="F738" s="99"/>
      <x:c r="G738" s="100"/>
      <x:c r="H738" s="99" t="n">
        <x:v>5</x:v>
      </x:c>
      <x:c r="I738" s="100" t="n">
        <x:v>0.7707056403160095</x:v>
      </x:c>
      <x:c r="J738" s="99" t="n">
        <x:v>10</x:v>
      </x:c>
      <x:c r="K738" s="100" t="n">
        <x:v>0.015384615384615385</x:v>
      </x:c>
      <x:c r="L738" s="99" t="n">
        <x:v>2</x:v>
      </x:c>
      <x:c r="M738" s="100" t="n">
        <x:v>3.538053274154663</x:v>
      </x:c>
    </x:row>
    <x:row r="739">
      <x:c r="A739" s="38" t="str">
        <x:v>Q019::B009Z27U5W_review_1969205</x:v>
      </x:c>
      <x:c r="B739" s="38" t="str">
        <x:v>Q019</x:v>
      </x:c>
      <x:c r="C739" s="38" t="str">
        <x:v>B009Z27U5W_review_1969205</x:v>
      </x:c>
      <x:c r="D739" s="38" t="str">
        <x:v>B009Z27U5W</x:v>
      </x:c>
      <x:c r="E739" s="38" t="str">
        <x:v>dense</x:v>
      </x:c>
      <x:c r="F739" s="99"/>
      <x:c r="G739" s="100"/>
      <x:c r="H739" s="99" t="n">
        <x:v>14</x:v>
      </x:c>
      <x:c r="I739" s="100" t="n">
        <x:v>0.7611080408096313</x:v>
      </x:c>
      <x:c r="J739" s="99"/>
      <x:c r="K739" s="100"/>
      <x:c r="L739" s="99"/>
      <x:c r="M739" s="100"/>
    </x:row>
    <x:row r="740">
      <x:c r="A740" s="38" t="str">
        <x:v>Q019::B06XQYW3Z8_review_2240223</x:v>
      </x:c>
      <x:c r="B740" s="38" t="str">
        <x:v>Q019</x:v>
      </x:c>
      <x:c r="C740" s="38" t="str">
        <x:v>B06XQYW3Z8_review_2240223</x:v>
      </x:c>
      <x:c r="D740" s="38" t="str">
        <x:v>B06XQYW3Z8</x:v>
      </x:c>
      <x:c r="E740" s="38" t="str">
        <x:v>bm25</x:v>
      </x:c>
      <x:c r="F740" s="99" t="n">
        <x:v>16</x:v>
      </x:c>
      <x:c r="G740" s="100" t="n">
        <x:v>20.404430235300207</x:v>
      </x:c>
      <x:c r="H740" s="99"/>
      <x:c r="I740" s="100"/>
      <x:c r="J740" s="99"/>
      <x:c r="K740" s="100"/>
      <x:c r="L740" s="99"/>
      <x:c r="M740" s="100"/>
    </x:row>
    <x:row r="741">
      <x:c r="A741" s="38" t="str">
        <x:v>Q019::B00RZ3ADFC_review_2195841</x:v>
      </x:c>
      <x:c r="B741" s="38" t="str">
        <x:v>Q019</x:v>
      </x:c>
      <x:c r="C741" s="38" t="str">
        <x:v>B00RZ3ADFC_review_2195841</x:v>
      </x:c>
      <x:c r="D741" s="38" t="str">
        <x:v>B00RZ3ADFC</x:v>
      </x:c>
      <x:c r="E741" s="38" t="str">
        <x:v>bm25; hybrid_rrf; cross_encoder</x:v>
      </x:c>
      <x:c r="F741" s="99" t="n">
        <x:v>10</x:v>
      </x:c>
      <x:c r="G741" s="100" t="n">
        <x:v>20.87880908776443</x:v>
      </x:c>
      <x:c r="H741" s="99"/>
      <x:c r="I741" s="100"/>
      <x:c r="J741" s="99" t="n">
        <x:v>20</x:v>
      </x:c>
      <x:c r="K741" s="100" t="n">
        <x:v>0.014285714285714285</x:v>
      </x:c>
      <x:c r="L741" s="99" t="n">
        <x:v>14</x:v>
      </x:c>
      <x:c r="M741" s="100" t="n">
        <x:v>-1.5503329038619995</x:v>
      </x:c>
    </x:row>
    <x:row r="742">
      <x:c r="A742" s="38" t="str">
        <x:v>Q019::B001MQ89BS_review_1707776</x:v>
      </x:c>
      <x:c r="B742" s="38" t="str">
        <x:v>Q019</x:v>
      </x:c>
      <x:c r="C742" s="38" t="str">
        <x:v>B001MQ89BS_review_1707776</x:v>
      </x:c>
      <x:c r="D742" s="38" t="str">
        <x:v>B001MQ89BS</x:v>
      </x:c>
      <x:c r="E742" s="38" t="str">
        <x:v>dense</x:v>
      </x:c>
      <x:c r="F742" s="99"/>
      <x:c r="G742" s="100"/>
      <x:c r="H742" s="99" t="n">
        <x:v>19</x:v>
      </x:c>
      <x:c r="I742" s="100" t="n">
        <x:v>0.7591288685798645</x:v>
      </x:c>
      <x:c r="J742" s="99"/>
      <x:c r="K742" s="100"/>
      <x:c r="L742" s="99"/>
      <x:c r="M742" s="100"/>
    </x:row>
    <x:row r="743">
      <x:c r="A743" s="38" t="str">
        <x:v>Q019::B089F8YCPF_review_2475779</x:v>
      </x:c>
      <x:c r="B743" s="38" t="str">
        <x:v>Q019</x:v>
      </x:c>
      <x:c r="C743" s="38" t="str">
        <x:v>B089F8YCPF_review_2475779</x:v>
      </x:c>
      <x:c r="D743" s="38" t="str">
        <x:v>B089F8YCPF</x:v>
      </x:c>
      <x:c r="E743" s="38" t="str">
        <x:v>bm25</x:v>
      </x:c>
      <x:c r="F743" s="99" t="n">
        <x:v>13</x:v>
      </x:c>
      <x:c r="G743" s="100" t="n">
        <x:v>20.606686053209003</x:v>
      </x:c>
      <x:c r="H743" s="99"/>
      <x:c r="I743" s="100"/>
      <x:c r="J743" s="99"/>
      <x:c r="K743" s="100"/>
      <x:c r="L743" s="99"/>
      <x:c r="M743" s="100"/>
    </x:row>
    <x:row r="744">
      <x:c r="A744" s="38" t="str">
        <x:v>Q019::B009VJBUEG_review_1211350</x:v>
      </x:c>
      <x:c r="B744" s="38" t="str">
        <x:v>Q019</x:v>
      </x:c>
      <x:c r="C744" s="38" t="str">
        <x:v>B009VJBUEG_review_1211350</x:v>
      </x:c>
      <x:c r="D744" s="38" t="str">
        <x:v>B009VJBUEG</x:v>
      </x:c>
      <x:c r="E744" s="38" t="str">
        <x:v>dense; hybrid_rrf; cross_encoder</x:v>
      </x:c>
      <x:c r="F744" s="99"/>
      <x:c r="G744" s="100"/>
      <x:c r="H744" s="99" t="n">
        <x:v>10</x:v>
      </x:c>
      <x:c r="I744" s="100" t="n">
        <x:v>0.7654588222503662</x:v>
      </x:c>
      <x:c r="J744" s="99" t="n">
        <x:v>19</x:v>
      </x:c>
      <x:c r="K744" s="100" t="n">
        <x:v>0.014285714285714285</x:v>
      </x:c>
      <x:c r="L744" s="99" t="n">
        <x:v>10</x:v>
      </x:c>
      <x:c r="M744" s="100" t="n">
        <x:v>0.6832374334335327</x:v>
      </x:c>
    </x:row>
    <x:row r="745">
      <x:c r="A745" s="38" t="str">
        <x:v>Q019::B00CU4LDLE_review_857839</x:v>
      </x:c>
      <x:c r="B745" s="38" t="str">
        <x:v>Q019</x:v>
      </x:c>
      <x:c r="C745" s="38" t="str">
        <x:v>B00CU4LDLE_review_857839</x:v>
      </x:c>
      <x:c r="D745" s="38" t="str">
        <x:v>B00CU4LDLE</x:v>
      </x:c>
      <x:c r="E745" s="38" t="str">
        <x:v>dense; hybrid_rrf; cross_encoder</x:v>
      </x:c>
      <x:c r="F745" s="99"/>
      <x:c r="G745" s="100"/>
      <x:c r="H745" s="99" t="n">
        <x:v>7</x:v>
      </x:c>
      <x:c r="I745" s="100" t="n">
        <x:v>0.7686432600021362</x:v>
      </x:c>
      <x:c r="J745" s="99" t="n">
        <x:v>13</x:v>
      </x:c>
      <x:c r="K745" s="100" t="n">
        <x:v>0.014925373134328358</x:v>
      </x:c>
      <x:c r="L745" s="99" t="n">
        <x:v>4</x:v>
      </x:c>
      <x:c r="M745" s="100" t="n">
        <x:v>3.0364203453063965</x:v>
      </x:c>
    </x:row>
    <x:row r="746">
      <x:c r="A746" s="38" t="str">
        <x:v>Q019::B00SCOF1QE_review_2654496</x:v>
      </x:c>
      <x:c r="B746" s="38" t="str">
        <x:v>Q019</x:v>
      </x:c>
      <x:c r="C746" s="38" t="str">
        <x:v>B00SCOF1QE_review_2654496</x:v>
      </x:c>
      <x:c r="D746" s="38" t="str">
        <x:v>B00SCOF1QE</x:v>
      </x:c>
      <x:c r="E746" s="38" t="str">
        <x:v>bm25</x:v>
      </x:c>
      <x:c r="F746" s="99" t="n">
        <x:v>18</x:v>
      </x:c>
      <x:c r="G746" s="100" t="n">
        <x:v>20.329537385762315</x:v>
      </x:c>
      <x:c r="H746" s="99"/>
      <x:c r="I746" s="100"/>
      <x:c r="J746" s="99"/>
      <x:c r="K746" s="100"/>
      <x:c r="L746" s="99"/>
      <x:c r="M746" s="100"/>
    </x:row>
    <x:row r="747">
      <x:c r="A747" s="38" t="str">
        <x:v>Q019::B009XN91BY_review_2340183</x:v>
      </x:c>
      <x:c r="B747" s="38" t="str">
        <x:v>Q019</x:v>
      </x:c>
      <x:c r="C747" s="38" t="str">
        <x:v>B009XN91BY_review_2340183</x:v>
      </x:c>
      <x:c r="D747" s="38" t="str">
        <x:v>B009XN91BY</x:v>
      </x:c>
      <x:c r="E747" s="38" t="str">
        <x:v>bm25; hybrid_rrf; cross_encoder</x:v>
      </x:c>
      <x:c r="F747" s="99" t="n">
        <x:v>3</x:v>
      </x:c>
      <x:c r="G747" s="100" t="n">
        <x:v>21.418245240961614</x:v>
      </x:c>
      <x:c r="H747" s="99"/>
      <x:c r="I747" s="100"/>
      <x:c r="J747" s="99" t="n">
        <x:v>5</x:v>
      </x:c>
      <x:c r="K747" s="100" t="n">
        <x:v>0.015873015873015872</x:v>
      </x:c>
      <x:c r="L747" s="99" t="n">
        <x:v>20</x:v>
      </x:c>
      <x:c r="M747" s="100" t="n">
        <x:v>-5.265316486358643</x:v>
      </x:c>
    </x:row>
    <x:row r="748">
      <x:c r="A748" s="38" t="str">
        <x:v>Q019::B08GY7QFBC_review_3153724</x:v>
      </x:c>
      <x:c r="B748" s="38" t="str">
        <x:v>Q019</x:v>
      </x:c>
      <x:c r="C748" s="38" t="str">
        <x:v>B08GY7QFBC_review_3153724</x:v>
      </x:c>
      <x:c r="D748" s="38" t="str">
        <x:v>B08GY7QFBC</x:v>
      </x:c>
      <x:c r="E748" s="38" t="str">
        <x:v>bm25</x:v>
      </x:c>
      <x:c r="F748" s="99" t="n">
        <x:v>14</x:v>
      </x:c>
      <x:c r="G748" s="100" t="n">
        <x:v>20.604716567827616</x:v>
      </x:c>
      <x:c r="H748" s="99"/>
      <x:c r="I748" s="100"/>
      <x:c r="J748" s="99"/>
      <x:c r="K748" s="100"/>
      <x:c r="L748" s="99"/>
      <x:c r="M748" s="100"/>
    </x:row>
    <x:row r="749">
      <x:c r="A749" s="38" t="str">
        <x:v>Q019::B0BC8KN2LN_review_390046</x:v>
      </x:c>
      <x:c r="B749" s="38" t="str">
        <x:v>Q019</x:v>
      </x:c>
      <x:c r="C749" s="38" t="str">
        <x:v>B0BC8KN2LN_review_390046</x:v>
      </x:c>
      <x:c r="D749" s="38" t="str">
        <x:v>B0BC8KN2LN</x:v>
      </x:c>
      <x:c r="E749" s="38" t="str">
        <x:v>bm25; hybrid_rrf; cross_encoder</x:v>
      </x:c>
      <x:c r="F749" s="99" t="n">
        <x:v>1</x:v>
      </x:c>
      <x:c r="G749" s="100" t="n">
        <x:v>23.888842962456682</x:v>
      </x:c>
      <x:c r="H749" s="99"/>
      <x:c r="I749" s="100"/>
      <x:c r="J749" s="99" t="n">
        <x:v>2</x:v>
      </x:c>
      <x:c r="K749" s="100" t="n">
        <x:v>0.01639344262295082</x:v>
      </x:c>
      <x:c r="L749" s="99" t="n">
        <x:v>12</x:v>
      </x:c>
      <x:c r="M749" s="100" t="n">
        <x:v>-0.43261462450027466</x:v>
      </x:c>
    </x:row>
    <x:row r="750">
      <x:c r="A750" s="38" t="str">
        <x:v>Q019::B08M9Y9XFC_review_3257463</x:v>
      </x:c>
      <x:c r="B750" s="38" t="str">
        <x:v>Q019</x:v>
      </x:c>
      <x:c r="C750" s="38" t="str">
        <x:v>B08M9Y9XFC_review_3257463</x:v>
      </x:c>
      <x:c r="D750" s="38" t="str">
        <x:v>B08M9Y9XFC</x:v>
      </x:c>
      <x:c r="E750" s="38" t="str">
        <x:v>dense; hybrid_rrf; cross_encoder</x:v>
      </x:c>
      <x:c r="F750" s="99"/>
      <x:c r="G750" s="100"/>
      <x:c r="H750" s="99" t="n">
        <x:v>3</x:v>
      </x:c>
      <x:c r="I750" s="100" t="n">
        <x:v>0.783553957939148</x:v>
      </x:c>
      <x:c r="J750" s="99" t="n">
        <x:v>6</x:v>
      </x:c>
      <x:c r="K750" s="100" t="n">
        <x:v>0.015873015873015872</x:v>
      </x:c>
      <x:c r="L750" s="99" t="n">
        <x:v>3</x:v>
      </x:c>
      <x:c r="M750" s="100" t="n">
        <x:v>3.1089067459106445</x:v>
      </x:c>
    </x:row>
    <x:row r="751">
      <x:c r="A751" s="38" t="str">
        <x:v>Q019::B004P616IU_review_1905089</x:v>
      </x:c>
      <x:c r="B751" s="38" t="str">
        <x:v>Q019</x:v>
      </x:c>
      <x:c r="C751" s="38" t="str">
        <x:v>B004P616IU_review_1905089</x:v>
      </x:c>
      <x:c r="D751" s="38" t="str">
        <x:v>B004P616IU</x:v>
      </x:c>
      <x:c r="E751" s="38" t="str">
        <x:v>bm25</x:v>
      </x:c>
      <x:c r="F751" s="99" t="n">
        <x:v>19</x:v>
      </x:c>
      <x:c r="G751" s="100" t="n">
        <x:v>20.285205059361804</x:v>
      </x:c>
      <x:c r="H751" s="99"/>
      <x:c r="I751" s="100"/>
      <x:c r="J751" s="99"/>
      <x:c r="K751" s="100"/>
      <x:c r="L751" s="99"/>
      <x:c r="M751" s="100"/>
    </x:row>
    <x:row r="752">
      <x:c r="A752" s="38" t="str">
        <x:v>Q019::B00G0URWNW_review_2886234</x:v>
      </x:c>
      <x:c r="B752" s="38" t="str">
        <x:v>Q019</x:v>
      </x:c>
      <x:c r="C752" s="38" t="str">
        <x:v>B00G0URWNW_review_2886234</x:v>
      </x:c>
      <x:c r="D752" s="38" t="str">
        <x:v>B00G0URWNW</x:v>
      </x:c>
      <x:c r="E752" s="38" t="str">
        <x:v>bm25; hybrid_rrf; cross_encoder</x:v>
      </x:c>
      <x:c r="F752" s="99" t="n">
        <x:v>4</x:v>
      </x:c>
      <x:c r="G752" s="100" t="n">
        <x:v>21.30560403056755</x:v>
      </x:c>
      <x:c r="H752" s="99"/>
      <x:c r="I752" s="100"/>
      <x:c r="J752" s="99" t="n">
        <x:v>8</x:v>
      </x:c>
      <x:c r="K752" s="100" t="n">
        <x:v>0.015625</x:v>
      </x:c>
      <x:c r="L752" s="99" t="n">
        <x:v>11</x:v>
      </x:c>
      <x:c r="M752" s="100" t="n">
        <x:v>-0.4162534177303314</x:v>
      </x:c>
    </x:row>
    <x:row r="753">
      <x:c r="A753" s="38" t="str">
        <x:v>Q020::B00MTITJ94_review_2659474</x:v>
      </x:c>
      <x:c r="B753" s="38" t="str">
        <x:v>Q020</x:v>
      </x:c>
      <x:c r="C753" s="38" t="str">
        <x:v>B00MTITJ94_review_2659474</x:v>
      </x:c>
      <x:c r="D753" s="38" t="str">
        <x:v>B00MTITJ94</x:v>
      </x:c>
      <x:c r="E753" s="38" t="str">
        <x:v>bm25</x:v>
      </x:c>
      <x:c r="F753" s="99" t="n">
        <x:v>16</x:v>
      </x:c>
      <x:c r="G753" s="100" t="n">
        <x:v>21.88402032920152</x:v>
      </x:c>
      <x:c r="H753" s="99"/>
      <x:c r="I753" s="100"/>
      <x:c r="J753" s="99"/>
      <x:c r="K753" s="100"/>
      <x:c r="L753" s="99"/>
      <x:c r="M753" s="100"/>
    </x:row>
    <x:row r="754">
      <x:c r="A754" s="38" t="str">
        <x:v>Q020::B0000C8WP9_review_1129047</x:v>
      </x:c>
      <x:c r="B754" s="38" t="str">
        <x:v>Q020</x:v>
      </x:c>
      <x:c r="C754" s="38" t="str">
        <x:v>B0000C8WP9_review_1129047</x:v>
      </x:c>
      <x:c r="D754" s="38" t="str">
        <x:v>B0000C8WP9</x:v>
      </x:c>
      <x:c r="E754" s="38" t="str">
        <x:v>bm25; hybrid_rrf; cross_encoder</x:v>
      </x:c>
      <x:c r="F754" s="99" t="n">
        <x:v>7</x:v>
      </x:c>
      <x:c r="G754" s="100" t="n">
        <x:v>23.06775363462586</x:v>
      </x:c>
      <x:c r="H754" s="99"/>
      <x:c r="I754" s="100"/>
      <x:c r="J754" s="99" t="n">
        <x:v>13</x:v>
      </x:c>
      <x:c r="K754" s="100" t="n">
        <x:v>0.014925373134328358</x:v>
      </x:c>
      <x:c r="L754" s="99" t="n">
        <x:v>13</x:v>
      </x:c>
      <x:c r="M754" s="100" t="n">
        <x:v>-8.238790512084961</x:v>
      </x:c>
    </x:row>
    <x:row r="755">
      <x:c r="A755" s="38" t="str">
        <x:v>Q020::B00EJGW5R2_review_1006325</x:v>
      </x:c>
      <x:c r="B755" s="38" t="str">
        <x:v>Q020</x:v>
      </x:c>
      <x:c r="C755" s="38" t="str">
        <x:v>B00EJGW5R2_review_1006325</x:v>
      </x:c>
      <x:c r="D755" s="38" t="str">
        <x:v>B00EJGW5R2</x:v>
      </x:c>
      <x:c r="E755" s="38" t="str">
        <x:v>bm25</x:v>
      </x:c>
      <x:c r="F755" s="99" t="n">
        <x:v>13</x:v>
      </x:c>
      <x:c r="G755" s="100" t="n">
        <x:v>22.147722256637355</x:v>
      </x:c>
      <x:c r="H755" s="99"/>
      <x:c r="I755" s="100"/>
      <x:c r="J755" s="99"/>
      <x:c r="K755" s="100"/>
      <x:c r="L755" s="99"/>
      <x:c r="M755" s="100"/>
    </x:row>
    <x:row r="756">
      <x:c r="A756" s="38" t="str">
        <x:v>Q020::B00BXUYDMM_review_1821979</x:v>
      </x:c>
      <x:c r="B756" s="38" t="str">
        <x:v>Q020</x:v>
      </x:c>
      <x:c r="C756" s="38" t="str">
        <x:v>B00BXUYDMM_review_1821979</x:v>
      </x:c>
      <x:c r="D756" s="38" t="str">
        <x:v>B00BXUYDMM</x:v>
      </x:c>
      <x:c r="E756" s="38" t="str">
        <x:v>bm25</x:v>
      </x:c>
      <x:c r="F756" s="99" t="n">
        <x:v>18</x:v>
      </x:c>
      <x:c r="G756" s="100" t="n">
        <x:v>21.77547396112853</x:v>
      </x:c>
      <x:c r="H756" s="99"/>
      <x:c r="I756" s="100"/>
      <x:c r="J756" s="99"/>
      <x:c r="K756" s="100"/>
      <x:c r="L756" s="99"/>
      <x:c r="M756" s="100"/>
    </x:row>
    <x:row r="757">
      <x:c r="A757" s="38" t="str">
        <x:v>Q020::B007PBPYVC_review_1795261</x:v>
      </x:c>
      <x:c r="B757" s="38" t="str">
        <x:v>Q020</x:v>
      </x:c>
      <x:c r="C757" s="38" t="str">
        <x:v>B007PBPYVC_review_1795261</x:v>
      </x:c>
      <x:c r="D757" s="38" t="str">
        <x:v>B007PBPYVC</x:v>
      </x:c>
      <x:c r="E757" s="38" t="str">
        <x:v>dense; hybrid_rrf; cross_encoder</x:v>
      </x:c>
      <x:c r="F757" s="99"/>
      <x:c r="G757" s="100"/>
      <x:c r="H757" s="99" t="n">
        <x:v>9</x:v>
      </x:c>
      <x:c r="I757" s="100" t="n">
        <x:v>0.6567087173461914</x:v>
      </x:c>
      <x:c r="J757" s="99" t="n">
        <x:v>17</x:v>
      </x:c>
      <x:c r="K757" s="100" t="n">
        <x:v>0.014492753623188406</x:v>
      </x:c>
      <x:c r="L757" s="99" t="n">
        <x:v>18</x:v>
      </x:c>
      <x:c r="M757" s="100" t="n">
        <x:v>-8.73161506652832</x:v>
      </x:c>
    </x:row>
    <x:row r="758">
      <x:c r="A758" s="38" t="str">
        <x:v>Q020::B002OHDFOA_review_3597106</x:v>
      </x:c>
      <x:c r="B758" s="38" t="str">
        <x:v>Q020</x:v>
      </x:c>
      <x:c r="C758" s="38" t="str">
        <x:v>B002OHDFOA_review_3597106</x:v>
      </x:c>
      <x:c r="D758" s="38" t="str">
        <x:v>B002OHDFOA</x:v>
      </x:c>
      <x:c r="E758" s="38" t="str">
        <x:v>bm25; hybrid_rrf; cross_encoder</x:v>
      </x:c>
      <x:c r="F758" s="99" t="n">
        <x:v>8</x:v>
      </x:c>
      <x:c r="G758" s="100" t="n">
        <x:v>22.94888404369926</x:v>
      </x:c>
      <x:c r="H758" s="99"/>
      <x:c r="I758" s="100"/>
      <x:c r="J758" s="99" t="n">
        <x:v>15</x:v>
      </x:c>
      <x:c r="K758" s="100" t="n">
        <x:v>0.014705882352941176</x:v>
      </x:c>
      <x:c r="L758" s="99" t="n">
        <x:v>19</x:v>
      </x:c>
      <x:c r="M758" s="100" t="n">
        <x:v>-8.882318496704102</x:v>
      </x:c>
    </x:row>
    <x:row r="759">
      <x:c r="A759" s="38" t="str">
        <x:v>Q020::B008COCW48_review_248950</x:v>
      </x:c>
      <x:c r="B759" s="38" t="str">
        <x:v>Q020</x:v>
      </x:c>
      <x:c r="C759" s="38" t="str">
        <x:v>B008COCW48_review_248950</x:v>
      </x:c>
      <x:c r="D759" s="38" t="str">
        <x:v>B008COCW48</x:v>
      </x:c>
      <x:c r="E759" s="38" t="str">
        <x:v>dense; hybrid_rrf; cross_encoder</x:v>
      </x:c>
      <x:c r="F759" s="99"/>
      <x:c r="G759" s="100"/>
      <x:c r="H759" s="99" t="n">
        <x:v>5</x:v>
      </x:c>
      <x:c r="I759" s="100" t="n">
        <x:v>0.6592712998390198</x:v>
      </x:c>
      <x:c r="J759" s="99" t="n">
        <x:v>9</x:v>
      </x:c>
      <x:c r="K759" s="100" t="n">
        <x:v>0.015384615384615385</x:v>
      </x:c>
      <x:c r="L759" s="99" t="n">
        <x:v>16</x:v>
      </x:c>
      <x:c r="M759" s="100" t="n">
        <x:v>-8.608519554138184</x:v>
      </x:c>
    </x:row>
    <x:row r="760">
      <x:c r="A760" s="38" t="str">
        <x:v>Q020::B008I65K7Q_review_2504813</x:v>
      </x:c>
      <x:c r="B760" s="38" t="str">
        <x:v>Q020</x:v>
      </x:c>
      <x:c r="C760" s="38" t="str">
        <x:v>B008I65K7Q_review_2504813</x:v>
      </x:c>
      <x:c r="D760" s="38" t="str">
        <x:v>B008I65K7Q</x:v>
      </x:c>
      <x:c r="E760" s="38" t="str">
        <x:v>bm25; hybrid_rrf; cross_encoder</x:v>
      </x:c>
      <x:c r="F760" s="99" t="n">
        <x:v>9</x:v>
      </x:c>
      <x:c r="G760" s="100" t="n">
        <x:v>22.945139430844634</x:v>
      </x:c>
      <x:c r="H760" s="99"/>
      <x:c r="I760" s="100"/>
      <x:c r="J760" s="99" t="n">
        <x:v>18</x:v>
      </x:c>
      <x:c r="K760" s="100" t="n">
        <x:v>0.014492753623188406</x:v>
      </x:c>
      <x:c r="L760" s="99" t="n">
        <x:v>5</x:v>
      </x:c>
      <x:c r="M760" s="100" t="n">
        <x:v>-5.579983234405518</x:v>
      </x:c>
    </x:row>
    <x:row r="761">
      <x:c r="A761" s="38" t="str">
        <x:v>Q020::B00S8U0VT4_review_2387766</x:v>
      </x:c>
      <x:c r="B761" s="38" t="str">
        <x:v>Q020</x:v>
      </x:c>
      <x:c r="C761" s="38" t="str">
        <x:v>B00S8U0VT4_review_2387766</x:v>
      </x:c>
      <x:c r="D761" s="38" t="str">
        <x:v>B00S8U0VT4</x:v>
      </x:c>
      <x:c r="E761" s="38" t="str">
        <x:v>dense</x:v>
      </x:c>
      <x:c r="F761" s="99"/>
      <x:c r="G761" s="100"/>
      <x:c r="H761" s="99" t="n">
        <x:v>14</x:v>
      </x:c>
      <x:c r="I761" s="100" t="n">
        <x:v>0.6540178060531616</x:v>
      </x:c>
      <x:c r="J761" s="99"/>
      <x:c r="K761" s="100"/>
      <x:c r="L761" s="99"/>
      <x:c r="M761" s="100"/>
    </x:row>
    <x:row r="762">
      <x:c r="A762" s="38" t="str">
        <x:v>Q020::B00NIMJXVY_review_1317154</x:v>
      </x:c>
      <x:c r="B762" s="38" t="str">
        <x:v>Q020</x:v>
      </x:c>
      <x:c r="C762" s="38" t="str">
        <x:v>B00NIMJXVY_review_1317154</x:v>
      </x:c>
      <x:c r="D762" s="38" t="str">
        <x:v>B00NIMJXVY</x:v>
      </x:c>
      <x:c r="E762" s="38" t="str">
        <x:v>bm25; hybrid_rrf; cross_encoder</x:v>
      </x:c>
      <x:c r="F762" s="99" t="n">
        <x:v>3</x:v>
      </x:c>
      <x:c r="G762" s="100" t="n">
        <x:v>24.449979637330088</x:v>
      </x:c>
      <x:c r="H762" s="99"/>
      <x:c r="I762" s="100"/>
      <x:c r="J762" s="99" t="n">
        <x:v>6</x:v>
      </x:c>
      <x:c r="K762" s="100" t="n">
        <x:v>0.015873015873015872</x:v>
      </x:c>
      <x:c r="L762" s="99" t="n">
        <x:v>3</x:v>
      </x:c>
      <x:c r="M762" s="100" t="n">
        <x:v>-2.9002187252044678</x:v>
      </x:c>
    </x:row>
    <x:row r="763">
      <x:c r="A763" s="38" t="str">
        <x:v>Q020::B0088IAXJY_review_1748390</x:v>
      </x:c>
      <x:c r="B763" s="38" t="str">
        <x:v>Q020</x:v>
      </x:c>
      <x:c r="C763" s="38" t="str">
        <x:v>B0088IAXJY_review_1748390</x:v>
      </x:c>
      <x:c r="D763" s="38" t="str">
        <x:v>B0088IAXJY</x:v>
      </x:c>
      <x:c r="E763" s="38" t="str">
        <x:v>dense</x:v>
      </x:c>
      <x:c r="F763" s="99"/>
      <x:c r="G763" s="100"/>
      <x:c r="H763" s="99" t="n">
        <x:v>12</x:v>
      </x:c>
      <x:c r="I763" s="100" t="n">
        <x:v>0.6545017957687378</x:v>
      </x:c>
      <x:c r="J763" s="99"/>
      <x:c r="K763" s="100"/>
      <x:c r="L763" s="99"/>
      <x:c r="M763" s="100"/>
    </x:row>
    <x:row r="764">
      <x:c r="A764" s="38" t="str">
        <x:v>Q020::B008COCW48_review_248956</x:v>
      </x:c>
      <x:c r="B764" s="38" t="str">
        <x:v>Q020</x:v>
      </x:c>
      <x:c r="C764" s="38" t="str">
        <x:v>B008COCW48_review_248956</x:v>
      </x:c>
      <x:c r="D764" s="38" t="str">
        <x:v>B008COCW48</x:v>
      </x:c>
      <x:c r="E764" s="38" t="str">
        <x:v>dense; hybrid_rrf; cross_encoder</x:v>
      </x:c>
      <x:c r="F764" s="99"/>
      <x:c r="G764" s="100"/>
      <x:c r="H764" s="99" t="n">
        <x:v>10</x:v>
      </x:c>
      <x:c r="I764" s="100" t="n">
        <x:v>0.6564100980758667</x:v>
      </x:c>
      <x:c r="J764" s="99" t="n">
        <x:v>20</x:v>
      </x:c>
      <x:c r="K764" s="100" t="n">
        <x:v>0.014285714285714285</x:v>
      </x:c>
      <x:c r="L764" s="99" t="n">
        <x:v>12</x:v>
      </x:c>
      <x:c r="M764" s="100" t="n">
        <x:v>-8.147289276123047</x:v>
      </x:c>
    </x:row>
    <x:row r="765">
      <x:c r="A765" s="38" t="str">
        <x:v>Q020::B00004U47N_review_3575947</x:v>
      </x:c>
      <x:c r="B765" s="38" t="str">
        <x:v>Q020</x:v>
      </x:c>
      <x:c r="C765" s="38" t="str">
        <x:v>B00004U47N_review_3575947</x:v>
      </x:c>
      <x:c r="D765" s="38" t="str">
        <x:v>B00004U47N</x:v>
      </x:c>
      <x:c r="E765" s="38" t="str">
        <x:v>dense</x:v>
      </x:c>
      <x:c r="F765" s="99"/>
      <x:c r="G765" s="100"/>
      <x:c r="H765" s="99" t="n">
        <x:v>17</x:v>
      </x:c>
      <x:c r="I765" s="100" t="n">
        <x:v>0.6523739099502563</x:v>
      </x:c>
      <x:c r="J765" s="99"/>
      <x:c r="K765" s="100"/>
      <x:c r="L765" s="99"/>
      <x:c r="M765" s="100"/>
    </x:row>
    <x:row r="766">
      <x:c r="A766" s="38" t="str">
        <x:v>Q020::B00DFL0VX2_review_3777516</x:v>
      </x:c>
      <x:c r="B766" s="38" t="str">
        <x:v>Q020</x:v>
      </x:c>
      <x:c r="C766" s="38" t="str">
        <x:v>B00DFL0VX2_review_3777516</x:v>
      </x:c>
      <x:c r="D766" s="38" t="str">
        <x:v>B00DFL0VX2</x:v>
      </x:c>
      <x:c r="E766" s="38" t="str">
        <x:v>dense; hybrid_rrf; cross_encoder</x:v>
      </x:c>
      <x:c r="F766" s="99"/>
      <x:c r="G766" s="100"/>
      <x:c r="H766" s="99" t="n">
        <x:v>6</x:v>
      </x:c>
      <x:c r="I766" s="100" t="n">
        <x:v>0.659271240234375</x:v>
      </x:c>
      <x:c r="J766" s="99" t="n">
        <x:v>12</x:v>
      </x:c>
      <x:c r="K766" s="100" t="n">
        <x:v>0.015151515151515152</x:v>
      </x:c>
      <x:c r="L766" s="99" t="n">
        <x:v>17</x:v>
      </x:c>
      <x:c r="M766" s="100" t="n">
        <x:v>-8.727066993713379</x:v>
      </x:c>
    </x:row>
    <x:row r="767">
      <x:c r="A767" s="38" t="str">
        <x:v>Q020::B00FWP0MII_review_925663</x:v>
      </x:c>
      <x:c r="B767" s="38" t="str">
        <x:v>Q020</x:v>
      </x:c>
      <x:c r="C767" s="38" t="str">
        <x:v>B00FWP0MII_review_925663</x:v>
      </x:c>
      <x:c r="D767" s="38" t="str">
        <x:v>B00FWP0MII</x:v>
      </x:c>
      <x:c r="E767" s="38" t="str">
        <x:v>dense</x:v>
      </x:c>
      <x:c r="F767" s="99"/>
      <x:c r="G767" s="100"/>
      <x:c r="H767" s="99" t="n">
        <x:v>13</x:v>
      </x:c>
      <x:c r="I767" s="100" t="n">
        <x:v>0.6541751623153687</x:v>
      </x:c>
      <x:c r="J767" s="99"/>
      <x:c r="K767" s="100"/>
      <x:c r="L767" s="99"/>
      <x:c r="M767" s="100"/>
    </x:row>
    <x:row r="768">
      <x:c r="A768" s="38" t="str">
        <x:v>Q020::B010HA3NK6_review_4031023</x:v>
      </x:c>
      <x:c r="B768" s="38" t="str">
        <x:v>Q020</x:v>
      </x:c>
      <x:c r="C768" s="38" t="str">
        <x:v>B010HA3NK6_review_4031023</x:v>
      </x:c>
      <x:c r="D768" s="38" t="str">
        <x:v>B010HA3NK6</x:v>
      </x:c>
      <x:c r="E768" s="38" t="str">
        <x:v>bm25</x:v>
      </x:c>
      <x:c r="F768" s="99" t="n">
        <x:v>12</x:v>
      </x:c>
      <x:c r="G768" s="100" t="n">
        <x:v>22.270498552973663</x:v>
      </x:c>
      <x:c r="H768" s="99"/>
      <x:c r="I768" s="100"/>
      <x:c r="J768" s="99"/>
      <x:c r="K768" s="100"/>
      <x:c r="L768" s="99"/>
      <x:c r="M768" s="100"/>
    </x:row>
    <x:row r="769">
      <x:c r="A769" s="38" t="str">
        <x:v>Q020::B001T8UDH2_review_3062774</x:v>
      </x:c>
      <x:c r="B769" s="38" t="str">
        <x:v>Q020</x:v>
      </x:c>
      <x:c r="C769" s="38" t="str">
        <x:v>B001T8UDH2_review_3062774</x:v>
      </x:c>
      <x:c r="D769" s="38" t="str">
        <x:v>B001T8UDH2</x:v>
      </x:c>
      <x:c r="E769" s="38" t="str">
        <x:v>bm25; hybrid_rrf; cross_encoder</x:v>
      </x:c>
      <x:c r="F769" s="99" t="n">
        <x:v>6</x:v>
      </x:c>
      <x:c r="G769" s="100" t="n">
        <x:v>23.20112094319179</x:v>
      </x:c>
      <x:c r="H769" s="99"/>
      <x:c r="I769" s="100"/>
      <x:c r="J769" s="99" t="n">
        <x:v>11</x:v>
      </x:c>
      <x:c r="K769" s="100" t="n">
        <x:v>0.015151515151515152</x:v>
      </x:c>
      <x:c r="L769" s="99" t="n">
        <x:v>10</x:v>
      </x:c>
      <x:c r="M769" s="100" t="n">
        <x:v>-7.786284446716309</x:v>
      </x:c>
    </x:row>
    <x:row r="770">
      <x:c r="A770" s="38" t="str">
        <x:v>Q020::B07G8MJJWS_review_2137101</x:v>
      </x:c>
      <x:c r="B770" s="38" t="str">
        <x:v>Q020</x:v>
      </x:c>
      <x:c r="C770" s="38" t="str">
        <x:v>B07G8MJJWS_review_2137101</x:v>
      </x:c>
      <x:c r="D770" s="38" t="str">
        <x:v>B07G8MJJWS</x:v>
      </x:c>
      <x:c r="E770" s="38" t="str">
        <x:v>bm25</x:v>
      </x:c>
      <x:c r="F770" s="99" t="n">
        <x:v>20</x:v>
      </x:c>
      <x:c r="G770" s="100" t="n">
        <x:v>21.738644170910295</x:v>
      </x:c>
      <x:c r="H770" s="99"/>
      <x:c r="I770" s="100"/>
      <x:c r="J770" s="99"/>
      <x:c r="K770" s="100"/>
      <x:c r="L770" s="99"/>
      <x:c r="M770" s="100"/>
    </x:row>
    <x:row r="771">
      <x:c r="A771" s="38" t="str">
        <x:v>Q020::B00ZYKTQA6_review_1871939</x:v>
      </x:c>
      <x:c r="B771" s="38" t="str">
        <x:v>Q020</x:v>
      </x:c>
      <x:c r="C771" s="38" t="str">
        <x:v>B00ZYKTQA6_review_1871939</x:v>
      </x:c>
      <x:c r="D771" s="38" t="str">
        <x:v>B00ZYKTQA6</x:v>
      </x:c>
      <x:c r="E771" s="38" t="str">
        <x:v>bm25; hybrid_rrf; cross_encoder</x:v>
      </x:c>
      <x:c r="F771" s="99" t="n">
        <x:v>1</x:v>
      </x:c>
      <x:c r="G771" s="100" t="n">
        <x:v>25.694629985909582</x:v>
      </x:c>
      <x:c r="H771" s="99"/>
      <x:c r="I771" s="100"/>
      <x:c r="J771" s="99" t="n">
        <x:v>2</x:v>
      </x:c>
      <x:c r="K771" s="100" t="n">
        <x:v>0.01639344262295082</x:v>
      </x:c>
      <x:c r="L771" s="99" t="n">
        <x:v>4</x:v>
      </x:c>
      <x:c r="M771" s="100" t="n">
        <x:v>-4.2582316398620605</x:v>
      </x:c>
    </x:row>
    <x:row r="772">
      <x:c r="A772" s="38" t="str">
        <x:v>Q020::B00E3W1ALE_review_1531455</x:v>
      </x:c>
      <x:c r="B772" s="38" t="str">
        <x:v>Q020</x:v>
      </x:c>
      <x:c r="C772" s="38" t="str">
        <x:v>B00E3W1ALE_review_1531455</x:v>
      </x:c>
      <x:c r="D772" s="38" t="str">
        <x:v>B00E3W1ALE</x:v>
      </x:c>
      <x:c r="E772" s="38" t="str">
        <x:v>bm25</x:v>
      </x:c>
      <x:c r="F772" s="99" t="n">
        <x:v>17</x:v>
      </x:c>
      <x:c r="G772" s="100" t="n">
        <x:v>21.812378903436972</x:v>
      </x:c>
      <x:c r="H772" s="99"/>
      <x:c r="I772" s="100"/>
      <x:c r="J772" s="99"/>
      <x:c r="K772" s="100"/>
      <x:c r="L772" s="99"/>
      <x:c r="M772" s="100"/>
    </x:row>
    <x:row r="773">
      <x:c r="A773" s="38" t="str">
        <x:v>Q020::B005M0LWXW_review_3681563</x:v>
      </x:c>
      <x:c r="B773" s="38" t="str">
        <x:v>Q020</x:v>
      </x:c>
      <x:c r="C773" s="38" t="str">
        <x:v>B005M0LWXW_review_3681563</x:v>
      </x:c>
      <x:c r="D773" s="38" t="str">
        <x:v>B005M0LWXW</x:v>
      </x:c>
      <x:c r="E773" s="38" t="str">
        <x:v>bm25</x:v>
      </x:c>
      <x:c r="F773" s="99" t="n">
        <x:v>15</x:v>
      </x:c>
      <x:c r="G773" s="100" t="n">
        <x:v>21.95348930102363</x:v>
      </x:c>
      <x:c r="H773" s="99"/>
      <x:c r="I773" s="100"/>
      <x:c r="J773" s="99"/>
      <x:c r="K773" s="100"/>
      <x:c r="L773" s="99"/>
      <x:c r="M773" s="100"/>
    </x:row>
    <x:row r="774">
      <x:c r="A774" s="38" t="str">
        <x:v>Q020::B006FMLQU0_review_1141707</x:v>
      </x:c>
      <x:c r="B774" s="38" t="str">
        <x:v>Q020</x:v>
      </x:c>
      <x:c r="C774" s="38" t="str">
        <x:v>B006FMLQU0_review_1141707</x:v>
      </x:c>
      <x:c r="D774" s="38" t="str">
        <x:v>B006FMLQU0</x:v>
      </x:c>
      <x:c r="E774" s="38" t="str">
        <x:v>bm25; hybrid_rrf; cross_encoder</x:v>
      </x:c>
      <x:c r="F774" s="99" t="n">
        <x:v>4</x:v>
      </x:c>
      <x:c r="G774" s="100" t="n">
        <x:v>23.542980770596778</x:v>
      </x:c>
      <x:c r="H774" s="99"/>
      <x:c r="I774" s="100"/>
      <x:c r="J774" s="99" t="n">
        <x:v>8</x:v>
      </x:c>
      <x:c r="K774" s="100" t="n">
        <x:v>0.015625</x:v>
      </x:c>
      <x:c r="L774" s="99" t="n">
        <x:v>6</x:v>
      </x:c>
      <x:c r="M774" s="100" t="n">
        <x:v>-6.198452472686768</x:v>
      </x:c>
    </x:row>
    <x:row r="775">
      <x:c r="A775" s="38" t="str">
        <x:v>Q020::B00C7LIHKA_review_2289478</x:v>
      </x:c>
      <x:c r="B775" s="38" t="str">
        <x:v>Q020</x:v>
      </x:c>
      <x:c r="C775" s="38" t="str">
        <x:v>B00C7LIHKA_review_2289478</x:v>
      </x:c>
      <x:c r="D775" s="38" t="str">
        <x:v>B00C7LIHKA</x:v>
      </x:c>
      <x:c r="E775" s="38" t="str">
        <x:v>bm25; hybrid_rrf; cross_encoder</x:v>
      </x:c>
      <x:c r="F775" s="99" t="n">
        <x:v>2</x:v>
      </x:c>
      <x:c r="G775" s="100" t="n">
        <x:v>24.701013227757144</x:v>
      </x:c>
      <x:c r="H775" s="99"/>
      <x:c r="I775" s="100"/>
      <x:c r="J775" s="99" t="n">
        <x:v>4</x:v>
      </x:c>
      <x:c r="K775" s="100" t="n">
        <x:v>0.016129032258064516</x:v>
      </x:c>
      <x:c r="L775" s="99" t="n">
        <x:v>2</x:v>
      </x:c>
      <x:c r="M775" s="100" t="n">
        <x:v>-1.5587774515151978</x:v>
      </x:c>
    </x:row>
    <x:row r="776">
      <x:c r="A776" s="38" t="str">
        <x:v>Q020::B07HPGDLGY_review_296347</x:v>
      </x:c>
      <x:c r="B776" s="38" t="str">
        <x:v>Q020</x:v>
      </x:c>
      <x:c r="C776" s="38" t="str">
        <x:v>B07HPGDLGY_review_296347</x:v>
      </x:c>
      <x:c r="D776" s="38" t="str">
        <x:v>B07HPGDLGY</x:v>
      </x:c>
      <x:c r="E776" s="38" t="str">
        <x:v>bm25; hybrid_rrf; cross_encoder</x:v>
      </x:c>
      <x:c r="F776" s="99" t="n">
        <x:v>5</x:v>
      </x:c>
      <x:c r="G776" s="100" t="n">
        <x:v>23.382574361716067</x:v>
      </x:c>
      <x:c r="H776" s="99"/>
      <x:c r="I776" s="100"/>
      <x:c r="J776" s="99" t="n">
        <x:v>10</x:v>
      </x:c>
      <x:c r="K776" s="100" t="n">
        <x:v>0.015384615384615385</x:v>
      </x:c>
      <x:c r="L776" s="99" t="n">
        <x:v>1</x:v>
      </x:c>
      <x:c r="M776" s="100" t="n">
        <x:v>-0.17693394422531128</x:v>
      </x:c>
    </x:row>
    <x:row r="777">
      <x:c r="A777" s="38" t="str">
        <x:v>Q020::B00FWP0MII_review_925673</x:v>
      </x:c>
      <x:c r="B777" s="38" t="str">
        <x:v>Q020</x:v>
      </x:c>
      <x:c r="C777" s="38" t="str">
        <x:v>B00FWP0MII_review_925673</x:v>
      </x:c>
      <x:c r="D777" s="38" t="str">
        <x:v>B00FWP0MII</x:v>
      </x:c>
      <x:c r="E777" s="38" t="str">
        <x:v>dense; hybrid_rrf; cross_encoder</x:v>
      </x:c>
      <x:c r="F777" s="99"/>
      <x:c r="G777" s="100"/>
      <x:c r="H777" s="99" t="n">
        <x:v>8</x:v>
      </x:c>
      <x:c r="I777" s="100" t="n">
        <x:v>0.6569701433181763</x:v>
      </x:c>
      <x:c r="J777" s="99" t="n">
        <x:v>16</x:v>
      </x:c>
      <x:c r="K777" s="100" t="n">
        <x:v>0.014705882352941176</x:v>
      </x:c>
      <x:c r="L777" s="99" t="n">
        <x:v>20</x:v>
      </x:c>
      <x:c r="M777" s="100" t="n">
        <x:v>-9.425251007080078</x:v>
      </x:c>
    </x:row>
    <x:row r="778">
      <x:c r="A778" s="38" t="str">
        <x:v>Q020::B00FWP0MII_review_925664</x:v>
      </x:c>
      <x:c r="B778" s="38" t="str">
        <x:v>Q020</x:v>
      </x:c>
      <x:c r="C778" s="38" t="str">
        <x:v>B00FWP0MII_review_925664</x:v>
      </x:c>
      <x:c r="D778" s="38" t="str">
        <x:v>B00FWP0MII</x:v>
      </x:c>
      <x:c r="E778" s="38" t="str">
        <x:v>dense</x:v>
      </x:c>
      <x:c r="F778" s="99"/>
      <x:c r="G778" s="100"/>
      <x:c r="H778" s="99" t="n">
        <x:v>16</x:v>
      </x:c>
      <x:c r="I778" s="100" t="n">
        <x:v>0.6534729599952698</x:v>
      </x:c>
      <x:c r="J778" s="99"/>
      <x:c r="K778" s="100"/>
      <x:c r="L778" s="99"/>
      <x:c r="M778" s="100"/>
    </x:row>
    <x:row r="779">
      <x:c r="A779" s="38" t="str">
        <x:v>Q020::B01K9H1AXO_review_3365927</x:v>
      </x:c>
      <x:c r="B779" s="38" t="str">
        <x:v>Q020</x:v>
      </x:c>
      <x:c r="C779" s="38" t="str">
        <x:v>B01K9H1AXO_review_3365927</x:v>
      </x:c>
      <x:c r="D779" s="38" t="str">
        <x:v>B01K9H1AXO</x:v>
      </x:c>
      <x:c r="E779" s="38" t="str">
        <x:v>dense</x:v>
      </x:c>
      <x:c r="F779" s="99"/>
      <x:c r="G779" s="100"/>
      <x:c r="H779" s="99" t="n">
        <x:v>19</x:v>
      </x:c>
      <x:c r="I779" s="100" t="n">
        <x:v>0.6513689756393433</x:v>
      </x:c>
      <x:c r="J779" s="99"/>
      <x:c r="K779" s="100"/>
      <x:c r="L779" s="99"/>
      <x:c r="M779" s="100"/>
    </x:row>
    <x:row r="780">
      <x:c r="A780" s="38" t="str">
        <x:v>Q020::B00S8U0VT4_review_2387776</x:v>
      </x:c>
      <x:c r="B780" s="38" t="str">
        <x:v>Q020</x:v>
      </x:c>
      <x:c r="C780" s="38" t="str">
        <x:v>B00S8U0VT4_review_2387776</x:v>
      </x:c>
      <x:c r="D780" s="38" t="str">
        <x:v>B00S8U0VT4</x:v>
      </x:c>
      <x:c r="E780" s="38" t="str">
        <x:v>dense</x:v>
      </x:c>
      <x:c r="F780" s="99"/>
      <x:c r="G780" s="100"/>
      <x:c r="H780" s="99" t="n">
        <x:v>20</x:v>
      </x:c>
      <x:c r="I780" s="100" t="n">
        <x:v>0.6506779193878174</x:v>
      </x:c>
      <x:c r="J780" s="99"/>
      <x:c r="K780" s="100"/>
      <x:c r="L780" s="99"/>
      <x:c r="M780" s="100"/>
    </x:row>
    <x:row r="781">
      <x:c r="A781" s="38" t="str">
        <x:v>Q020::B0027IGKV6_review_1169352</x:v>
      </x:c>
      <x:c r="B781" s="38" t="str">
        <x:v>Q020</x:v>
      </x:c>
      <x:c r="C781" s="38" t="str">
        <x:v>B0027IGKV6_review_1169352</x:v>
      </x:c>
      <x:c r="D781" s="38" t="str">
        <x:v>B0027IGKV6</x:v>
      </x:c>
      <x:c r="E781" s="38" t="str">
        <x:v>bm25; hybrid_rrf; cross_encoder</x:v>
      </x:c>
      <x:c r="F781" s="99" t="n">
        <x:v>10</x:v>
      </x:c>
      <x:c r="G781" s="100" t="n">
        <x:v>22.6966859783348</x:v>
      </x:c>
      <x:c r="H781" s="99"/>
      <x:c r="I781" s="100"/>
      <x:c r="J781" s="99" t="n">
        <x:v>19</x:v>
      </x:c>
      <x:c r="K781" s="100" t="n">
        <x:v>0.014285714285714285</x:v>
      </x:c>
      <x:c r="L781" s="99" t="n">
        <x:v>7</x:v>
      </x:c>
      <x:c r="M781" s="100" t="n">
        <x:v>-7.251059532165527</x:v>
      </x:c>
    </x:row>
    <x:row r="782">
      <x:c r="A782" s="38" t="str">
        <x:v>Q020::B001B822GA_review_1428972</x:v>
      </x:c>
      <x:c r="B782" s="38" t="str">
        <x:v>Q020</x:v>
      </x:c>
      <x:c r="C782" s="38" t="str">
        <x:v>B001B822GA_review_1428972</x:v>
      </x:c>
      <x:c r="D782" s="38" t="str">
        <x:v>B001B822GA</x:v>
      </x:c>
      <x:c r="E782" s="38" t="str">
        <x:v>dense; hybrid_rrf; cross_encoder</x:v>
      </x:c>
      <x:c r="F782" s="99"/>
      <x:c r="G782" s="100"/>
      <x:c r="H782" s="99" t="n">
        <x:v>3</x:v>
      </x:c>
      <x:c r="I782" s="100" t="n">
        <x:v>0.6646093130111694</x:v>
      </x:c>
      <x:c r="J782" s="99" t="n">
        <x:v>5</x:v>
      </x:c>
      <x:c r="K782" s="100" t="n">
        <x:v>0.015873015873015872</x:v>
      </x:c>
      <x:c r="L782" s="99" t="n">
        <x:v>9</x:v>
      </x:c>
      <x:c r="M782" s="100" t="n">
        <x:v>-7.757147789001465</x:v>
      </x:c>
    </x:row>
    <x:row r="783">
      <x:c r="A783" s="38" t="str">
        <x:v>Q020::B001B822GA_review_1428973</x:v>
      </x:c>
      <x:c r="B783" s="38" t="str">
        <x:v>Q020</x:v>
      </x:c>
      <x:c r="C783" s="38" t="str">
        <x:v>B001B822GA_review_1428973</x:v>
      </x:c>
      <x:c r="D783" s="38" t="str">
        <x:v>B001B822GA</x:v>
      </x:c>
      <x:c r="E783" s="38" t="str">
        <x:v>dense; hybrid_rrf; cross_encoder</x:v>
      </x:c>
      <x:c r="F783" s="99"/>
      <x:c r="G783" s="100"/>
      <x:c r="H783" s="99" t="n">
        <x:v>4</x:v>
      </x:c>
      <x:c r="I783" s="100" t="n">
        <x:v>0.6614013314247131</x:v>
      </x:c>
      <x:c r="J783" s="99" t="n">
        <x:v>7</x:v>
      </x:c>
      <x:c r="K783" s="100" t="n">
        <x:v>0.015625</x:v>
      </x:c>
      <x:c r="L783" s="99" t="n">
        <x:v>8</x:v>
      </x:c>
      <x:c r="M783" s="100" t="n">
        <x:v>-7.623590469360352</x:v>
      </x:c>
    </x:row>
    <x:row r="784">
      <x:c r="A784" s="38" t="str">
        <x:v>Q020::B007L5TXMI_review_139307</x:v>
      </x:c>
      <x:c r="B784" s="38" t="str">
        <x:v>Q020</x:v>
      </x:c>
      <x:c r="C784" s="38" t="str">
        <x:v>B007L5TXMI_review_139307</x:v>
      </x:c>
      <x:c r="D784" s="38" t="str">
        <x:v>B007L5TXMI</x:v>
      </x:c>
      <x:c r="E784" s="38" t="str">
        <x:v>bm25</x:v>
      </x:c>
      <x:c r="F784" s="99" t="n">
        <x:v>14</x:v>
      </x:c>
      <x:c r="G784" s="100" t="n">
        <x:v>22.031931375100534</x:v>
      </x:c>
      <x:c r="H784" s="99"/>
      <x:c r="I784" s="100"/>
      <x:c r="J784" s="99"/>
      <x:c r="K784" s="100"/>
      <x:c r="L784" s="99"/>
      <x:c r="M784" s="100"/>
    </x:row>
    <x:row r="785">
      <x:c r="A785" s="38" t="str">
        <x:v>Q020::B00WGLO53E_review_1771543</x:v>
      </x:c>
      <x:c r="B785" s="38" t="str">
        <x:v>Q020</x:v>
      </x:c>
      <x:c r="C785" s="38" t="str">
        <x:v>B00WGLO53E_review_1771543</x:v>
      </x:c>
      <x:c r="D785" s="38" t="str">
        <x:v>B00WGLO53E</x:v>
      </x:c>
      <x:c r="E785" s="38" t="str">
        <x:v>bm25</x:v>
      </x:c>
      <x:c r="F785" s="99" t="n">
        <x:v>11</x:v>
      </x:c>
      <x:c r="G785" s="100" t="n">
        <x:v>22.69501605441154</x:v>
      </x:c>
      <x:c r="H785" s="99"/>
      <x:c r="I785" s="100"/>
      <x:c r="J785" s="99"/>
      <x:c r="K785" s="100"/>
      <x:c r="L785" s="99"/>
      <x:c r="M785" s="100"/>
    </x:row>
    <x:row r="786">
      <x:c r="A786" s="38" t="str">
        <x:v>Q020::B007PBPYVC_review_1795267</x:v>
      </x:c>
      <x:c r="B786" s="38" t="str">
        <x:v>Q020</x:v>
      </x:c>
      <x:c r="C786" s="38" t="str">
        <x:v>B007PBPYVC_review_1795267</x:v>
      </x:c>
      <x:c r="D786" s="38" t="str">
        <x:v>B007PBPYVC</x:v>
      </x:c>
      <x:c r="E786" s="38" t="str">
        <x:v>dense; hybrid_rrf; cross_encoder</x:v>
      </x:c>
      <x:c r="F786" s="99"/>
      <x:c r="G786" s="100"/>
      <x:c r="H786" s="99" t="n">
        <x:v>7</x:v>
      </x:c>
      <x:c r="I786" s="100" t="n">
        <x:v>0.658159613609314</x:v>
      </x:c>
      <x:c r="J786" s="99" t="n">
        <x:v>14</x:v>
      </x:c>
      <x:c r="K786" s="100" t="n">
        <x:v>0.014925373134328358</x:v>
      </x:c>
      <x:c r="L786" s="99" t="n">
        <x:v>14</x:v>
      </x:c>
      <x:c r="M786" s="100" t="n">
        <x:v>-8.29255199432373</x:v>
      </x:c>
    </x:row>
    <x:row r="787">
      <x:c r="A787" s="38" t="str">
        <x:v>Q020::B00DFL0VX2_review_3777519</x:v>
      </x:c>
      <x:c r="B787" s="38" t="str">
        <x:v>Q020</x:v>
      </x:c>
      <x:c r="C787" s="38" t="str">
        <x:v>B00DFL0VX2_review_3777519</x:v>
      </x:c>
      <x:c r="D787" s="38" t="str">
        <x:v>B00DFL0VX2</x:v>
      </x:c>
      <x:c r="E787" s="38" t="str">
        <x:v>dense; hybrid_rrf; cross_encoder</x:v>
      </x:c>
      <x:c r="F787" s="99"/>
      <x:c r="G787" s="100"/>
      <x:c r="H787" s="99" t="n">
        <x:v>1</x:v>
      </x:c>
      <x:c r="I787" s="100" t="n">
        <x:v>0.6732233762741089</x:v>
      </x:c>
      <x:c r="J787" s="99" t="n">
        <x:v>1</x:v>
      </x:c>
      <x:c r="K787" s="100" t="n">
        <x:v>0.01639344262295082</x:v>
      </x:c>
      <x:c r="L787" s="99" t="n">
        <x:v>11</x:v>
      </x:c>
      <x:c r="M787" s="100" t="n">
        <x:v>-7.982237815856934</x:v>
      </x:c>
    </x:row>
    <x:row r="788">
      <x:c r="A788" s="38" t="str">
        <x:v>Q020::B00S8U0VT4_review_2387761</x:v>
      </x:c>
      <x:c r="B788" s="38" t="str">
        <x:v>Q020</x:v>
      </x:c>
      <x:c r="C788" s="38" t="str">
        <x:v>B00S8U0VT4_review_2387761</x:v>
      </x:c>
      <x:c r="D788" s="38" t="str">
        <x:v>B00S8U0VT4</x:v>
      </x:c>
      <x:c r="E788" s="38" t="str">
        <x:v>dense</x:v>
      </x:c>
      <x:c r="F788" s="99"/>
      <x:c r="G788" s="100"/>
      <x:c r="H788" s="99" t="n">
        <x:v>11</x:v>
      </x:c>
      <x:c r="I788" s="100" t="n">
        <x:v>0.656207799911499</x:v>
      </x:c>
      <x:c r="J788" s="99"/>
      <x:c r="K788" s="100"/>
      <x:c r="L788" s="99"/>
      <x:c r="M788" s="100"/>
    </x:row>
    <x:row r="789">
      <x:c r="A789" s="38" t="str">
        <x:v>Q020::B007PBPYVC_review_1795265</x:v>
      </x:c>
      <x:c r="B789" s="38" t="str">
        <x:v>Q020</x:v>
      </x:c>
      <x:c r="C789" s="38" t="str">
        <x:v>B007PBPYVC_review_1795265</x:v>
      </x:c>
      <x:c r="D789" s="38" t="str">
        <x:v>B007PBPYVC</x:v>
      </x:c>
      <x:c r="E789" s="38" t="str">
        <x:v>dense</x:v>
      </x:c>
      <x:c r="F789" s="99"/>
      <x:c r="G789" s="100"/>
      <x:c r="H789" s="99" t="n">
        <x:v>15</x:v>
      </x:c>
      <x:c r="I789" s="100" t="n">
        <x:v>0.653981626033783</x:v>
      </x:c>
      <x:c r="J789" s="99"/>
      <x:c r="K789" s="100"/>
      <x:c r="L789" s="99"/>
      <x:c r="M789" s="100"/>
    </x:row>
    <x:row r="790">
      <x:c r="A790" s="38" t="str">
        <x:v>Q020::B007PBPYVC_review_1795272</x:v>
      </x:c>
      <x:c r="B790" s="38" t="str">
        <x:v>Q020</x:v>
      </x:c>
      <x:c r="C790" s="38" t="str">
        <x:v>B007PBPYVC_review_1795272</x:v>
      </x:c>
      <x:c r="D790" s="38" t="str">
        <x:v>B007PBPYVC</x:v>
      </x:c>
      <x:c r="E790" s="38" t="str">
        <x:v>dense; hybrid_rrf; cross_encoder</x:v>
      </x:c>
      <x:c r="F790" s="99"/>
      <x:c r="G790" s="100"/>
      <x:c r="H790" s="99" t="n">
        <x:v>2</x:v>
      </x:c>
      <x:c r="I790" s="100" t="n">
        <x:v>0.6675743460655212</x:v>
      </x:c>
      <x:c r="J790" s="99" t="n">
        <x:v>3</x:v>
      </x:c>
      <x:c r="K790" s="100" t="n">
        <x:v>0.016129032258064516</x:v>
      </x:c>
      <x:c r="L790" s="99" t="n">
        <x:v>15</x:v>
      </x:c>
      <x:c r="M790" s="100" t="n">
        <x:v>-8.36294174194336</x:v>
      </x:c>
    </x:row>
    <x:row r="791">
      <x:c r="A791" s="38" t="str">
        <x:v>Q020::B007PBPYVC_review_1795264</x:v>
      </x:c>
      <x:c r="B791" s="38" t="str">
        <x:v>Q020</x:v>
      </x:c>
      <x:c r="C791" s="38" t="str">
        <x:v>B007PBPYVC_review_1795264</x:v>
      </x:c>
      <x:c r="D791" s="38" t="str">
        <x:v>B007PBPYVC</x:v>
      </x:c>
      <x:c r="E791" s="38" t="str">
        <x:v>dense</x:v>
      </x:c>
      <x:c r="F791" s="99"/>
      <x:c r="G791" s="100"/>
      <x:c r="H791" s="99" t="n">
        <x:v>18</x:v>
      </x:c>
      <x:c r="I791" s="100" t="n">
        <x:v>0.6519171595573425</x:v>
      </x:c>
      <x:c r="J791" s="99"/>
      <x:c r="K791" s="100"/>
      <x:c r="L791" s="99"/>
      <x:c r="M791" s="100"/>
    </x:row>
    <x:row r="792">
      <x:c r="A792" s="38" t="str">
        <x:v>Q020::B0798X559S_review_1816363</x:v>
      </x:c>
      <x:c r="B792" s="38" t="str">
        <x:v>Q020</x:v>
      </x:c>
      <x:c r="C792" s="38" t="str">
        <x:v>B0798X559S_review_1816363</x:v>
      </x:c>
      <x:c r="D792" s="38" t="str">
        <x:v>B0798X559S</x:v>
      </x:c>
      <x:c r="E792" s="38" t="str">
        <x:v>bm25</x:v>
      </x:c>
      <x:c r="F792" s="99" t="n">
        <x:v>19</x:v>
      </x:c>
      <x:c r="G792" s="100" t="n">
        <x:v>21.757231752584044</x:v>
      </x:c>
      <x:c r="H792" s="99"/>
      <x:c r="I792" s="100"/>
      <x:c r="J792" s="99"/>
      <x:c r="K792" s="100"/>
      <x:c r="L792" s="99"/>
      <x:c r="M792" s="100"/>
    </x:row>
  </x:sheetData>
  <x:pageMargins left="0.7" right="0.7" top="0.75" bottom="0.75" header="0.3" footer="0.3"/>
  <x:tableParts count="1">
    <x:tablePart xmlns:r="http://schemas.openxmlformats.org/officeDocument/2006/relationships" r:id="Rfe4e2f2ca23a47d0"/>
  </x:tableParts>
</x:worksheet>
</file>